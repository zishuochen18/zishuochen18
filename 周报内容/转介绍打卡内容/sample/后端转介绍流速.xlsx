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26年5月后端转介绍流速" sheetId="1" r:id="rId1"/>
    <sheet name="26年6月后端转介绍流速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<sst xmlns="http://schemas.openxmlformats.org/spreadsheetml/2006/main" count="10" uniqueCount="5">
  <si>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非台湾</t>
  </si>
  <si>
    <t>星期</t>
  </si>
  <si>
    <t>手推</t>
  </si>
  <si>
    <t>非手推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</si>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</sst>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rgb="FFFFFFFF"/>
      <name val="微软雅黑"/>
      <charset val="134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F60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henzishuo\Desktop\&#38472;&#26771;&#28865;-&#24605;&#32500;\26&#24180;&#27719;&#24635;\5&#26376;\&#12304;5&#26376;&#28023;&#22806;&#30446;&#26631;&#12305;2026&#24180;5&#26376;&#24605;&#32500;-v2-2026042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henzishuo\Desktop\&#38472;&#26771;&#28865;-&#24605;&#32500;\26&#24180;&#27719;&#24635;\6&#26376;\&#12304;6&#26376;&#28023;&#22806;&#30446;&#26631;&#12305;2026&#24180;6&#26376;&#24605;&#32500;-v1-2026052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&gt;&gt;目标调整"/>
      <sheetName val="&gt;&gt;现金流差异分析"/>
      <sheetName val="目标调整"/>
      <sheetName val="总览"/>
      <sheetName val="参数表"/>
      <sheetName val="26年年度目标达成情况"/>
      <sheetName val="25年年度目标达成情况"/>
      <sheetName val="思维销售目标"/>
      <sheetName val="&gt;&gt;美术销售目标"/>
      <sheetName val="销售人力流动情况"/>
      <sheetName val="LP人力流动情况"/>
      <sheetName val="LP人效情况"/>
      <sheetName val="思维学科端-非台"/>
      <sheetName val="&gt;&gt;美术学科端-整体"/>
      <sheetName val="思维学科端-欧美澳"/>
      <sheetName val="思维学科端-港澳"/>
      <sheetName val="思维学科端-台湾"/>
      <sheetName val="&gt;&gt;美术学科端-欧美澳"/>
      <sheetName val="&gt;&gt;美术学科端-港澳"/>
      <sheetName val="&gt;&gt;投放目标-美术"/>
      <sheetName val="投放目标-思维"/>
      <sheetName val="转拓目标"/>
      <sheetName val="商务目标"/>
      <sheetName val="销售基准&amp;流速"/>
      <sheetName val="&gt;&gt;美术MTD"/>
      <sheetName val="思维MTD"/>
      <sheetName val="投放历史数据"/>
      <sheetName val="思维-投放历史数据"/>
      <sheetName val="思维-非台"/>
      <sheetName val="&gt;&gt;美术-非台"/>
      <sheetName val="思维-欧美澳"/>
      <sheetName val="&gt;&gt;美术-欧美澳"/>
      <sheetName val="思维-港澳"/>
      <sheetName val="思维-台湾"/>
      <sheetName val="&gt;&gt;美术-港澳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>
            <v>46143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&gt;&gt;目标调整"/>
      <sheetName val="&gt;&gt;现金流差异分析"/>
      <sheetName val="目标调整"/>
      <sheetName val="总览"/>
      <sheetName val="参数表"/>
      <sheetName val="26年年度目标达成情况"/>
      <sheetName val="25年年度目标达成情况"/>
      <sheetName val="思维销售目标"/>
      <sheetName val="&gt;&gt;美术销售目标"/>
      <sheetName val="销售人力流动情况"/>
      <sheetName val="LP人力流动情况"/>
      <sheetName val="LP人效情况"/>
      <sheetName val="思维学科端-非台"/>
      <sheetName val="&gt;&gt;美术学科端-整体"/>
      <sheetName val="思维学科端-欧美澳"/>
      <sheetName val="思维学科端-港澳"/>
      <sheetName val="思维学科端-台湾"/>
      <sheetName val="&gt;&gt;美术学科端-欧美澳"/>
      <sheetName val="&gt;&gt;美术学科端-港澳"/>
      <sheetName val="&gt;&gt;投放目标-美术"/>
      <sheetName val="投放目标-思维"/>
      <sheetName val="转拓目标"/>
      <sheetName val="商务目标"/>
      <sheetName val="销售基准&amp;流速"/>
      <sheetName val="&gt;&gt;美术MTD"/>
      <sheetName val="思维MTD"/>
      <sheetName val="投放历史数据"/>
      <sheetName val="思维-投放历史数据"/>
      <sheetName val="思维-非台"/>
      <sheetName val="&gt;&gt;美术-非台"/>
      <sheetName val="思维-欧美澳"/>
      <sheetName val="&gt;&gt;美术-欧美澳"/>
      <sheetName val="思维-港澳"/>
      <sheetName val="思维-台湾"/>
      <sheetName val="&gt;&gt;美术-港澳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>
            <v>46174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H19" sqref="H18:H19"/>
    </sheetView>
  </sheetViews>
  <sheetFormatPr defaultColWidth="9" defaultRowHeight="13.5" outlineLevelCol="3"/>
  <cols>
    <col min="3" max="3" width="8.875" customWidth="1"/>
    <col min="4" max="4" width="10.875" customWidth="1"/>
  </cols>
  <sheetData>
    <row r="1" ht="14.25" spans="1:4">
      <c r="A1" s="1" t="s">
        <v>0</v>
      </c>
      <c r="B1" s="1" t="s">
        <v>1</v>
      </c>
      <c r="C1" s="2" t="s">
        <v>2</v>
      </c>
      <c r="D1" s="2" t="s">
        <v>3</v>
      </c>
    </row>
    <row r="2" ht="14.25" spans="1:4">
      <c r="A2" s="3">
        <f>[1]思维销售目标!B1</f>
        <v>46143</v>
      </c>
      <c r="B2" s="2" t="str">
        <f t="shared" ref="B2:B32" si="0">TEXT(A2,"AAAA")</f>
        <v>星期五</v>
      </c>
      <c r="C2" s="2">
        <v>4</v>
      </c>
      <c r="D2" s="2">
        <v>9</v>
      </c>
    </row>
    <row r="3" ht="14.25" spans="1:4">
      <c r="A3" s="3">
        <f t="shared" ref="A3:A32" si="1">A2+1</f>
        <v>46144</v>
      </c>
      <c r="B3" s="2" t="str">
        <f t="shared" si="0"/>
        <v>星期六</v>
      </c>
      <c r="C3" s="2">
        <v>5</v>
      </c>
      <c r="D3" s="2">
        <v>9</v>
      </c>
    </row>
    <row r="4" ht="14.25" spans="1:4">
      <c r="A4" s="3">
        <f t="shared" si="1"/>
        <v>46145</v>
      </c>
      <c r="B4" s="2" t="str">
        <f t="shared" si="0"/>
        <v>星期日</v>
      </c>
      <c r="C4" s="2">
        <v>5</v>
      </c>
      <c r="D4" s="2">
        <v>9</v>
      </c>
    </row>
    <row r="5" ht="14.25" spans="1:4">
      <c r="A5" s="3">
        <f t="shared" si="1"/>
        <v>46146</v>
      </c>
      <c r="B5" s="2" t="str">
        <f t="shared" si="0"/>
        <v>星期一</v>
      </c>
      <c r="C5" s="2">
        <v>5</v>
      </c>
      <c r="D5" s="2">
        <v>16</v>
      </c>
    </row>
    <row r="6" ht="14.25" spans="1:4">
      <c r="A6" s="3">
        <f t="shared" si="1"/>
        <v>46147</v>
      </c>
      <c r="B6" s="2" t="str">
        <f t="shared" si="0"/>
        <v>星期二</v>
      </c>
      <c r="C6" s="2">
        <v>5</v>
      </c>
      <c r="D6" s="2">
        <v>16</v>
      </c>
    </row>
    <row r="7" ht="14.25" spans="1:4">
      <c r="A7" s="3">
        <f t="shared" si="1"/>
        <v>46148</v>
      </c>
      <c r="B7" s="2" t="str">
        <f t="shared" si="0"/>
        <v>星期三</v>
      </c>
      <c r="C7" s="2">
        <v>104</v>
      </c>
      <c r="D7" s="2">
        <v>14</v>
      </c>
    </row>
    <row r="8" ht="14.25" spans="1:4">
      <c r="A8" s="3">
        <f t="shared" si="1"/>
        <v>46149</v>
      </c>
      <c r="B8" s="2" t="str">
        <f t="shared" si="0"/>
        <v>星期四</v>
      </c>
      <c r="C8" s="2">
        <v>104</v>
      </c>
      <c r="D8" s="2">
        <v>13</v>
      </c>
    </row>
    <row r="9" ht="14.25" spans="1:4">
      <c r="A9" s="3">
        <f t="shared" si="1"/>
        <v>46150</v>
      </c>
      <c r="B9" s="2" t="str">
        <f t="shared" si="0"/>
        <v>星期五</v>
      </c>
      <c r="C9" s="2">
        <v>26</v>
      </c>
      <c r="D9" s="2">
        <v>9</v>
      </c>
    </row>
    <row r="10" ht="14.25" spans="1:4">
      <c r="A10" s="3">
        <f t="shared" si="1"/>
        <v>46151</v>
      </c>
      <c r="B10" s="2" t="str">
        <f t="shared" si="0"/>
        <v>星期六</v>
      </c>
      <c r="C10" s="2">
        <v>21</v>
      </c>
      <c r="D10" s="2">
        <v>9</v>
      </c>
    </row>
    <row r="11" ht="14.25" spans="1:4">
      <c r="A11" s="3">
        <f t="shared" si="1"/>
        <v>46152</v>
      </c>
      <c r="B11" s="2" t="str">
        <f t="shared" si="0"/>
        <v>星期日</v>
      </c>
      <c r="C11" s="2">
        <v>5</v>
      </c>
      <c r="D11" s="2">
        <v>9</v>
      </c>
    </row>
    <row r="12" ht="14.25" spans="1:4">
      <c r="A12" s="3">
        <f t="shared" si="1"/>
        <v>46153</v>
      </c>
      <c r="B12" s="2" t="str">
        <f t="shared" si="0"/>
        <v>星期一</v>
      </c>
      <c r="C12" s="2">
        <v>0</v>
      </c>
      <c r="D12" s="2">
        <v>16</v>
      </c>
    </row>
    <row r="13" ht="14.25" spans="1:4">
      <c r="A13" s="3">
        <f t="shared" si="1"/>
        <v>46154</v>
      </c>
      <c r="B13" s="2" t="str">
        <f t="shared" si="0"/>
        <v>星期二</v>
      </c>
      <c r="C13" s="2">
        <v>50</v>
      </c>
      <c r="D13" s="2">
        <v>16</v>
      </c>
    </row>
    <row r="14" ht="14.25" spans="1:4">
      <c r="A14" s="3">
        <f t="shared" si="1"/>
        <v>46155</v>
      </c>
      <c r="B14" s="2" t="str">
        <f t="shared" si="0"/>
        <v>星期三</v>
      </c>
      <c r="C14" s="2">
        <v>103</v>
      </c>
      <c r="D14" s="2">
        <v>14</v>
      </c>
    </row>
    <row r="15" ht="14.25" spans="1:4">
      <c r="A15" s="3">
        <f t="shared" si="1"/>
        <v>46156</v>
      </c>
      <c r="B15" s="2" t="str">
        <f t="shared" si="0"/>
        <v>星期四</v>
      </c>
      <c r="C15" s="2">
        <v>68</v>
      </c>
      <c r="D15" s="2">
        <v>13</v>
      </c>
    </row>
    <row r="16" ht="14.25" spans="1:4">
      <c r="A16" s="3">
        <f t="shared" si="1"/>
        <v>46157</v>
      </c>
      <c r="B16" s="2" t="str">
        <f t="shared" si="0"/>
        <v>星期五</v>
      </c>
      <c r="C16" s="2">
        <v>21</v>
      </c>
      <c r="D16" s="2">
        <v>9</v>
      </c>
    </row>
    <row r="17" ht="14.25" spans="1:4">
      <c r="A17" s="3">
        <f t="shared" si="1"/>
        <v>46158</v>
      </c>
      <c r="B17" s="2" t="str">
        <f t="shared" si="0"/>
        <v>星期六</v>
      </c>
      <c r="C17" s="2">
        <v>11</v>
      </c>
      <c r="D17" s="2">
        <v>9</v>
      </c>
    </row>
    <row r="18" ht="14.25" spans="1:4">
      <c r="A18" s="3">
        <f t="shared" si="1"/>
        <v>46159</v>
      </c>
      <c r="B18" s="2" t="str">
        <f t="shared" si="0"/>
        <v>星期日</v>
      </c>
      <c r="C18" s="2">
        <v>5</v>
      </c>
      <c r="D18" s="2">
        <v>9</v>
      </c>
    </row>
    <row r="19" ht="14.25" spans="1:4">
      <c r="A19" s="3">
        <f t="shared" si="1"/>
        <v>46160</v>
      </c>
      <c r="B19" s="2" t="str">
        <f t="shared" si="0"/>
        <v>星期一</v>
      </c>
      <c r="C19" s="2">
        <v>0</v>
      </c>
      <c r="D19" s="2">
        <v>16</v>
      </c>
    </row>
    <row r="20" ht="14.25" spans="1:4">
      <c r="A20" s="3">
        <f t="shared" si="1"/>
        <v>46161</v>
      </c>
      <c r="B20" s="2" t="str">
        <f t="shared" si="0"/>
        <v>星期二</v>
      </c>
      <c r="C20" s="2">
        <v>103</v>
      </c>
      <c r="D20" s="2">
        <v>16</v>
      </c>
    </row>
    <row r="21" ht="14.25" spans="1:4">
      <c r="A21" s="3">
        <f t="shared" si="1"/>
        <v>46162</v>
      </c>
      <c r="B21" s="2" t="str">
        <f t="shared" si="0"/>
        <v>星期三</v>
      </c>
      <c r="C21" s="2">
        <v>103</v>
      </c>
      <c r="D21" s="2">
        <v>14</v>
      </c>
    </row>
    <row r="22" ht="14.25" spans="1:4">
      <c r="A22" s="3">
        <f t="shared" si="1"/>
        <v>46163</v>
      </c>
      <c r="B22" s="2" t="str">
        <f t="shared" si="0"/>
        <v>星期四</v>
      </c>
      <c r="C22" s="2">
        <v>41</v>
      </c>
      <c r="D22" s="2">
        <v>13</v>
      </c>
    </row>
    <row r="23" ht="14.25" spans="1:4">
      <c r="A23" s="3">
        <f t="shared" si="1"/>
        <v>46164</v>
      </c>
      <c r="B23" s="2" t="str">
        <f t="shared" si="0"/>
        <v>星期五</v>
      </c>
      <c r="C23" s="2">
        <v>21</v>
      </c>
      <c r="D23" s="2">
        <v>9</v>
      </c>
    </row>
    <row r="24" ht="14.25" spans="1:4">
      <c r="A24" s="3">
        <f t="shared" si="1"/>
        <v>46165</v>
      </c>
      <c r="B24" s="2" t="str">
        <f t="shared" si="0"/>
        <v>星期六</v>
      </c>
      <c r="C24" s="2">
        <v>11</v>
      </c>
      <c r="D24" s="2">
        <v>9</v>
      </c>
    </row>
    <row r="25" ht="14.25" spans="1:4">
      <c r="A25" s="3">
        <f t="shared" si="1"/>
        <v>46166</v>
      </c>
      <c r="B25" s="2" t="str">
        <f t="shared" si="0"/>
        <v>星期日</v>
      </c>
      <c r="C25" s="2">
        <v>5</v>
      </c>
      <c r="D25" s="2">
        <v>9</v>
      </c>
    </row>
    <row r="26" ht="14.25" spans="1:4">
      <c r="A26" s="3">
        <f t="shared" si="1"/>
        <v>46167</v>
      </c>
      <c r="B26" s="2" t="str">
        <f t="shared" si="0"/>
        <v>星期一</v>
      </c>
      <c r="C26" s="2">
        <v>0</v>
      </c>
      <c r="D26" s="2">
        <v>16</v>
      </c>
    </row>
    <row r="27" ht="14.25" spans="1:4">
      <c r="A27" s="3">
        <f t="shared" si="1"/>
        <v>46168</v>
      </c>
      <c r="B27" s="2" t="str">
        <f t="shared" si="0"/>
        <v>星期二</v>
      </c>
      <c r="C27" s="2">
        <v>50</v>
      </c>
      <c r="D27" s="2">
        <v>16</v>
      </c>
    </row>
    <row r="28" ht="14.25" spans="1:4">
      <c r="A28" s="3">
        <f t="shared" si="1"/>
        <v>46169</v>
      </c>
      <c r="B28" s="2" t="str">
        <f t="shared" si="0"/>
        <v>星期三</v>
      </c>
      <c r="C28" s="2">
        <v>103</v>
      </c>
      <c r="D28" s="2">
        <v>13</v>
      </c>
    </row>
    <row r="29" ht="14.25" spans="1:4">
      <c r="A29" s="3">
        <f t="shared" si="1"/>
        <v>46170</v>
      </c>
      <c r="B29" s="2" t="str">
        <f t="shared" si="0"/>
        <v>星期四</v>
      </c>
      <c r="C29" s="2">
        <v>41</v>
      </c>
      <c r="D29" s="2">
        <v>13</v>
      </c>
    </row>
    <row r="30" ht="14.25" spans="1:4">
      <c r="A30" s="3">
        <f t="shared" si="1"/>
        <v>46171</v>
      </c>
      <c r="B30" s="2" t="str">
        <f t="shared" si="0"/>
        <v>星期五</v>
      </c>
      <c r="C30" s="2">
        <v>10</v>
      </c>
      <c r="D30" s="2">
        <v>9</v>
      </c>
    </row>
    <row r="31" ht="14.25" spans="1:4">
      <c r="A31" s="3">
        <f t="shared" si="1"/>
        <v>46172</v>
      </c>
      <c r="B31" s="2" t="str">
        <f t="shared" si="0"/>
        <v>星期六</v>
      </c>
      <c r="C31" s="2">
        <v>0</v>
      </c>
      <c r="D31" s="2">
        <v>9</v>
      </c>
    </row>
    <row r="32" ht="14.25" spans="1:4">
      <c r="A32" s="3">
        <f t="shared" si="1"/>
        <v>46173</v>
      </c>
      <c r="B32" s="2" t="str">
        <f t="shared" si="0"/>
        <v>星期日</v>
      </c>
      <c r="C32" s="2">
        <v>0</v>
      </c>
      <c r="D32" s="2">
        <v>9</v>
      </c>
    </row>
    <row r="33" ht="14.25" spans="1:4">
      <c r="A33" s="4" t="s">
        <v>4</v>
      </c>
      <c r="B33" s="4"/>
      <c r="C33" s="2">
        <v>1030</v>
      </c>
      <c r="D33" s="2">
        <v>370</v>
      </c>
    </row>
  </sheetData>
  <mergeCells count="1">
    <mergeCell ref="A33:B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1" sqref="C1:D1"/>
    </sheetView>
  </sheetViews>
  <sheetFormatPr defaultColWidth="9" defaultRowHeight="13.5" outlineLevelCol="3"/>
  <sheetData>
    <row r="1" ht="14.25" spans="1:4">
      <c r="A1" s="1" t="s">
        <v>0</v>
      </c>
      <c r="B1" s="1" t="s">
        <v>1</v>
      </c>
      <c r="C1" s="2" t="s">
        <v>2</v>
      </c>
      <c r="D1" s="2" t="s">
        <v>3</v>
      </c>
    </row>
    <row r="2" ht="14.25" spans="1:4">
      <c r="A2" s="3">
        <f>[2]思维销售目标!B1</f>
        <v>46174</v>
      </c>
      <c r="B2" s="2" t="str">
        <f t="shared" ref="B2:B32" si="0">TEXT(A2,"AAAA")</f>
        <v>星期一</v>
      </c>
      <c r="C2" s="2">
        <v>0</v>
      </c>
      <c r="D2" s="2">
        <v>16</v>
      </c>
    </row>
    <row r="3" ht="14.25" spans="1:4">
      <c r="A3" s="3">
        <f t="shared" ref="A3:A32" si="1">A2+1</f>
        <v>46175</v>
      </c>
      <c r="B3" s="2" t="str">
        <f t="shared" si="0"/>
        <v>星期二</v>
      </c>
      <c r="C3" s="2">
        <v>113</v>
      </c>
      <c r="D3" s="2">
        <v>16</v>
      </c>
    </row>
    <row r="4" ht="14.25" spans="1:4">
      <c r="A4" s="3">
        <f t="shared" si="1"/>
        <v>46176</v>
      </c>
      <c r="B4" s="2" t="str">
        <f t="shared" si="0"/>
        <v>星期三</v>
      </c>
      <c r="C4" s="2">
        <v>115</v>
      </c>
      <c r="D4" s="2">
        <v>11</v>
      </c>
    </row>
    <row r="5" ht="14.25" spans="1:4">
      <c r="A5" s="3">
        <f t="shared" si="1"/>
        <v>46177</v>
      </c>
      <c r="B5" s="2" t="str">
        <f t="shared" si="0"/>
        <v>星期四</v>
      </c>
      <c r="C5" s="2">
        <v>7</v>
      </c>
      <c r="D5" s="2">
        <v>13</v>
      </c>
    </row>
    <row r="6" ht="14.25" spans="1:4">
      <c r="A6" s="3">
        <f t="shared" si="1"/>
        <v>46178</v>
      </c>
      <c r="B6" s="2" t="str">
        <f t="shared" si="0"/>
        <v>星期五</v>
      </c>
      <c r="C6" s="2">
        <v>7</v>
      </c>
      <c r="D6" s="2">
        <v>8</v>
      </c>
    </row>
    <row r="7" ht="14.25" spans="1:4">
      <c r="A7" s="3">
        <f t="shared" si="1"/>
        <v>46179</v>
      </c>
      <c r="B7" s="2" t="str">
        <f t="shared" si="0"/>
        <v>星期六</v>
      </c>
      <c r="C7" s="2">
        <v>7</v>
      </c>
      <c r="D7" s="2">
        <v>8</v>
      </c>
    </row>
    <row r="8" ht="14.25" spans="1:4">
      <c r="A8" s="3">
        <f t="shared" si="1"/>
        <v>46180</v>
      </c>
      <c r="B8" s="2" t="str">
        <f t="shared" si="0"/>
        <v>星期日</v>
      </c>
      <c r="C8" s="2">
        <v>7</v>
      </c>
      <c r="D8" s="2">
        <v>7</v>
      </c>
    </row>
    <row r="9" ht="14.25" spans="1:4">
      <c r="A9" s="3">
        <f t="shared" si="1"/>
        <v>46181</v>
      </c>
      <c r="B9" s="2" t="str">
        <f t="shared" si="0"/>
        <v>星期一</v>
      </c>
      <c r="C9" s="2">
        <v>0</v>
      </c>
      <c r="D9" s="2">
        <v>16</v>
      </c>
    </row>
    <row r="10" ht="14.25" spans="1:4">
      <c r="A10" s="3">
        <f t="shared" si="1"/>
        <v>46182</v>
      </c>
      <c r="B10" s="2" t="str">
        <f t="shared" si="0"/>
        <v>星期二</v>
      </c>
      <c r="C10" s="2">
        <v>67</v>
      </c>
      <c r="D10" s="2">
        <v>17</v>
      </c>
    </row>
    <row r="11" ht="14.25" spans="1:4">
      <c r="A11" s="3">
        <f t="shared" si="1"/>
        <v>46183</v>
      </c>
      <c r="B11" s="2" t="str">
        <f t="shared" si="0"/>
        <v>星期三</v>
      </c>
      <c r="C11" s="2">
        <v>128</v>
      </c>
      <c r="D11" s="2">
        <v>11</v>
      </c>
    </row>
    <row r="12" ht="14.25" spans="1:4">
      <c r="A12" s="3">
        <f t="shared" si="1"/>
        <v>46184</v>
      </c>
      <c r="B12" s="2" t="str">
        <f t="shared" si="0"/>
        <v>星期四</v>
      </c>
      <c r="C12" s="2">
        <v>61</v>
      </c>
      <c r="D12" s="2">
        <v>13</v>
      </c>
    </row>
    <row r="13" ht="14.25" spans="1:4">
      <c r="A13" s="3">
        <f t="shared" si="1"/>
        <v>46185</v>
      </c>
      <c r="B13" s="2" t="str">
        <f t="shared" si="0"/>
        <v>星期五</v>
      </c>
      <c r="C13" s="2">
        <v>0</v>
      </c>
      <c r="D13" s="2">
        <v>8</v>
      </c>
    </row>
    <row r="14" ht="14.25" spans="1:4">
      <c r="A14" s="3">
        <f t="shared" si="1"/>
        <v>46186</v>
      </c>
      <c r="B14" s="2" t="str">
        <f t="shared" si="0"/>
        <v>星期六</v>
      </c>
      <c r="C14" s="2">
        <v>0</v>
      </c>
      <c r="D14" s="2">
        <v>8</v>
      </c>
    </row>
    <row r="15" ht="14.25" spans="1:4">
      <c r="A15" s="3">
        <f t="shared" si="1"/>
        <v>46187</v>
      </c>
      <c r="B15" s="2" t="str">
        <f t="shared" si="0"/>
        <v>星期日</v>
      </c>
      <c r="C15" s="2">
        <v>0</v>
      </c>
      <c r="D15" s="2">
        <v>7</v>
      </c>
    </row>
    <row r="16" ht="14.25" spans="1:4">
      <c r="A16" s="3">
        <f t="shared" si="1"/>
        <v>46188</v>
      </c>
      <c r="B16" s="2" t="str">
        <f t="shared" si="0"/>
        <v>星期一</v>
      </c>
      <c r="C16" s="2">
        <v>0</v>
      </c>
      <c r="D16" s="2">
        <v>16</v>
      </c>
    </row>
    <row r="17" ht="14.25" spans="1:4">
      <c r="A17" s="3">
        <f t="shared" si="1"/>
        <v>46189</v>
      </c>
      <c r="B17" s="2" t="str">
        <f t="shared" si="0"/>
        <v>星期二</v>
      </c>
      <c r="C17" s="2">
        <v>95</v>
      </c>
      <c r="D17" s="2">
        <v>17</v>
      </c>
    </row>
    <row r="18" ht="14.25" spans="1:4">
      <c r="A18" s="3">
        <f t="shared" si="1"/>
        <v>46190</v>
      </c>
      <c r="B18" s="2" t="str">
        <f t="shared" si="0"/>
        <v>星期三</v>
      </c>
      <c r="C18" s="2">
        <v>43</v>
      </c>
      <c r="D18" s="2">
        <v>11</v>
      </c>
    </row>
    <row r="19" ht="14.25" spans="1:4">
      <c r="A19" s="3">
        <f t="shared" si="1"/>
        <v>46191</v>
      </c>
      <c r="B19" s="2" t="str">
        <f t="shared" si="0"/>
        <v>星期四</v>
      </c>
      <c r="C19" s="2">
        <v>38</v>
      </c>
      <c r="D19" s="2">
        <v>13</v>
      </c>
    </row>
    <row r="20" ht="14.25" spans="1:4">
      <c r="A20" s="3">
        <f t="shared" si="1"/>
        <v>46192</v>
      </c>
      <c r="B20" s="2" t="str">
        <f t="shared" si="0"/>
        <v>星期五</v>
      </c>
      <c r="C20" s="2">
        <v>0</v>
      </c>
      <c r="D20" s="2">
        <v>8</v>
      </c>
    </row>
    <row r="21" ht="14.25" spans="1:4">
      <c r="A21" s="3">
        <f t="shared" si="1"/>
        <v>46193</v>
      </c>
      <c r="B21" s="2" t="str">
        <f t="shared" si="0"/>
        <v>星期六</v>
      </c>
      <c r="C21" s="2">
        <v>12</v>
      </c>
      <c r="D21" s="2">
        <v>8</v>
      </c>
    </row>
    <row r="22" ht="14.25" spans="1:4">
      <c r="A22" s="3">
        <f t="shared" si="1"/>
        <v>46194</v>
      </c>
      <c r="B22" s="2" t="str">
        <f t="shared" si="0"/>
        <v>星期日</v>
      </c>
      <c r="C22" s="2">
        <v>34</v>
      </c>
      <c r="D22" s="2">
        <v>7</v>
      </c>
    </row>
    <row r="23" ht="14.25" spans="1:4">
      <c r="A23" s="3">
        <f t="shared" si="1"/>
        <v>46195</v>
      </c>
      <c r="B23" s="2" t="str">
        <f t="shared" si="0"/>
        <v>星期一</v>
      </c>
      <c r="C23" s="2">
        <v>0</v>
      </c>
      <c r="D23" s="2">
        <v>16</v>
      </c>
    </row>
    <row r="24" ht="14.25" spans="1:4">
      <c r="A24" s="3">
        <f t="shared" si="1"/>
        <v>46196</v>
      </c>
      <c r="B24" s="2" t="str">
        <f t="shared" si="0"/>
        <v>星期二</v>
      </c>
      <c r="C24" s="2">
        <v>61</v>
      </c>
      <c r="D24" s="2">
        <v>17</v>
      </c>
    </row>
    <row r="25" ht="14.25" spans="1:4">
      <c r="A25" s="3">
        <f t="shared" si="1"/>
        <v>46197</v>
      </c>
      <c r="B25" s="2" t="str">
        <f t="shared" si="0"/>
        <v>星期三</v>
      </c>
      <c r="C25" s="2">
        <v>142</v>
      </c>
      <c r="D25" s="2">
        <v>11</v>
      </c>
    </row>
    <row r="26" ht="14.25" spans="1:4">
      <c r="A26" s="3">
        <f t="shared" si="1"/>
        <v>46198</v>
      </c>
      <c r="B26" s="2" t="str">
        <f t="shared" si="0"/>
        <v>星期四</v>
      </c>
      <c r="C26" s="2">
        <v>149</v>
      </c>
      <c r="D26" s="2">
        <v>13</v>
      </c>
    </row>
    <row r="27" ht="14.25" spans="1:4">
      <c r="A27" s="3">
        <f t="shared" si="1"/>
        <v>46199</v>
      </c>
      <c r="B27" s="2" t="str">
        <f t="shared" si="0"/>
        <v>星期五</v>
      </c>
      <c r="C27" s="2">
        <v>97</v>
      </c>
      <c r="D27" s="2">
        <v>8</v>
      </c>
    </row>
    <row r="28" ht="14.25" spans="1:4">
      <c r="A28" s="3">
        <f t="shared" si="1"/>
        <v>46200</v>
      </c>
      <c r="B28" s="2" t="str">
        <f t="shared" si="0"/>
        <v>星期六</v>
      </c>
      <c r="C28" s="2">
        <v>34</v>
      </c>
      <c r="D28" s="2">
        <v>8</v>
      </c>
    </row>
    <row r="29" ht="14.25" spans="1:4">
      <c r="A29" s="3">
        <f t="shared" si="1"/>
        <v>46201</v>
      </c>
      <c r="B29" s="2" t="str">
        <f t="shared" si="0"/>
        <v>星期日</v>
      </c>
      <c r="C29" s="2">
        <v>34</v>
      </c>
      <c r="D29" s="2">
        <v>7</v>
      </c>
    </row>
    <row r="30" ht="14.25" spans="1:4">
      <c r="A30" s="3">
        <f t="shared" si="1"/>
        <v>46202</v>
      </c>
      <c r="B30" s="2" t="str">
        <f t="shared" si="0"/>
        <v>星期一</v>
      </c>
      <c r="C30" s="2">
        <v>0</v>
      </c>
      <c r="D30" s="2">
        <v>16</v>
      </c>
    </row>
    <row r="31" ht="14.25" spans="1:4">
      <c r="A31" s="3">
        <f t="shared" si="1"/>
        <v>46203</v>
      </c>
      <c r="B31" s="2" t="str">
        <f t="shared" si="0"/>
        <v>星期二</v>
      </c>
      <c r="C31" s="2">
        <v>30</v>
      </c>
      <c r="D31" s="2">
        <v>17</v>
      </c>
    </row>
    <row r="32" ht="14.25" spans="1:4">
      <c r="C32" s="2">
        <v>0</v>
      </c>
      <c r="D32" s="2"/>
    </row>
    <row r="33" ht="14.25" spans="1:4">
      <c r="A33" s="4" t="s">
        <v>4</v>
      </c>
      <c r="B33" s="4"/>
      <c r="C33" s="2">
        <v>1281</v>
      </c>
      <c r="D33" s="2">
        <v>352</v>
      </c>
    </row>
  </sheetData>
  <mergeCells count="1">
    <mergeCell ref="A33:B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26年5月后端转介绍流速</vt:lpstr>
      <vt:lpstr>26年6月后端转介绍流速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chenzishuo</dc:creator>
  <cp:lastModifiedBy>陈梓烁</cp:lastModifiedBy>
  <dcterms:created xsi:type="dcterms:W3CDTF">2026-06-03T06:21:00Z</dcterms:created>
  <dcterms:modified xsi:type="dcterms:W3CDTF">2026-06-03T07:11:07Z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F46292E9071F4BB1B1E5B0FB295927AB_11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