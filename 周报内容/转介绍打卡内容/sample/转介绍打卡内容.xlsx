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后端非手推达成情况" sheetId="1" r:id="rId1"/>
    <sheet name="打卡链路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<sst xmlns="http://schemas.openxmlformats.org/spreadsheetml/2006/main" count="44" uniqueCount="33">
  <si>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日期</t>
  </si>
  <si>
    <t>后端</t>
  </si>
  <si>
    <t>例子数</t>
  </si>
  <si>
    <t>目标例子数</t>
  </si>
  <si>
    <t>MTD达成率</t>
  </si>
  <si>
    <t>例子占比</t>
  </si>
  <si>
    <t>约课人数</t>
  </si>
  <si>
    <t>到课人数</t>
  </si>
  <si>
    <t>正式课成单数</t>
  </si>
  <si>
    <t>正式课GMV</t>
  </si>
  <si>
    <t>约课率</t>
  </si>
  <si>
    <t>约课到课率</t>
  </si>
  <si>
    <t>到课转化率</t>
  </si>
  <si>
    <t>转化率</t>
  </si>
  <si>
    <t>ASP</t>
  </si>
  <si>
    <t>正式课GMV占比</t>
  </si>
  <si>
    <t>5.1-5.17</t>
  </si>
  <si>
    <t>非手推链接</t>
  </si>
  <si>
    <t>手推链接</t>
  </si>
  <si>
    <t>汇总</t>
  </si>
  <si>
    <t>4.1-4.17</t>
  </si>
  <si>
    <t>可打卡学员</t>
  </si>
  <si>
    <t>打卡人数</t>
  </si>
  <si>
    <t>打卡次数</t>
  </si>
  <si>
    <t>打卡率</t>
  </si>
  <si>
    <t>人均打卡次数</t>
  </si>
  <si>
    <t>打卡裂变率</t>
  </si>
  <si>
    <t>约课数</t>
  </si>
  <si>
    <t>到课数</t>
  </si>
  <si>
    <t>转化例子数</t>
  </si>
  <si>
    <t>注册转化率</t>
  </si>
  <si>
    <t>GMV</t>
  </si>
  <si>
    <t>环比上月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</si>
</sst>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#,##0_);\(#,##0\)"/>
  </numFmts>
  <fonts count="27">
    <font>
      <sz val="10"/>
      <color theme="1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1F2329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33C9A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9BC2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0" fontId="3" fillId="5" borderId="0" xfId="0" applyNumberFormat="1" applyFont="1" applyFill="1" applyAlignment="1">
      <alignment horizontal="center" vertical="center"/>
    </xf>
    <xf numFmtId="10" fontId="3" fillId="6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7"/>
  <sheetViews>
    <sheetView tabSelected="1" workbookViewId="0">
      <selection activeCell="M18" sqref="M18"/>
    </sheetView>
  </sheetViews>
  <sheetFormatPr defaultColWidth="14" defaultRowHeight="12.75" outlineLevelRow="6"/>
  <cols>
    <col min="1" max="1" width="11" customWidth="1"/>
    <col min="2" max="2" width="10" customWidth="1"/>
    <col min="3" max="3" width="6" customWidth="1"/>
    <col min="4" max="5" width="10" customWidth="1"/>
    <col min="6" max="8" width="8" customWidth="1"/>
    <col min="9" max="9" width="11" customWidth="1"/>
    <col min="10" max="10" width="10" customWidth="1"/>
    <col min="11" max="11" width="7" customWidth="1"/>
    <col min="12" max="13" width="10" customWidth="1"/>
    <col min="14" max="14" width="7" customWidth="1"/>
    <col min="15" max="15" width="6" customWidth="1"/>
    <col min="16" max="17" width="14" customWidth="1"/>
    <col min="18" max="18" width="10" customWidth="1"/>
    <col min="19" max="19" width="14" customWidth="1"/>
    <col min="20" max="20" width="9" customWidth="1"/>
    <col min="21" max="21" width="12" customWidth="1"/>
    <col min="22" max="22" width="8" customWidth="1"/>
    <col min="23" max="27" width="10" customWidth="1"/>
    <col min="28" max="28" width="11" customWidth="1"/>
    <col min="29" max="31" width="10" customWidth="1"/>
    <col min="32" max="32" width="14" customWidth="1"/>
    <col min="33" max="33" width="9" customWidth="1"/>
  </cols>
  <sheetData>
    <row r="1" spans="1:16">
      <c r="A1" s="14" t="s">
        <v>0</v>
      </c>
      <c r="B1" s="14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5" t="s">
        <v>15</v>
      </c>
    </row>
    <row r="2" ht="14.25" spans="1:16">
      <c r="A2" s="5" t="s">
        <v>16</v>
      </c>
      <c r="B2" s="5" t="s">
        <v>17</v>
      </c>
      <c r="C2" s="4">
        <v>179</v>
      </c>
      <c r="D2" s="4">
        <v>215</v>
      </c>
      <c r="E2" s="16">
        <f t="shared" ref="E2:E7" si="0">C2/D2</f>
        <v>0.832558139534884</v>
      </c>
      <c r="F2" s="7">
        <f>C2/C4</f>
        <v>0.243537414965986</v>
      </c>
      <c r="G2" s="4">
        <v>88</v>
      </c>
      <c r="H2" s="17">
        <v>75</v>
      </c>
      <c r="I2" s="4">
        <v>26</v>
      </c>
      <c r="J2" s="18">
        <v>166810.4</v>
      </c>
      <c r="K2" s="16">
        <f t="shared" ref="K2:K7" si="1">G2/C2</f>
        <v>0.491620111731844</v>
      </c>
      <c r="L2" s="7">
        <f t="shared" ref="L2:L7" si="2">H2/G2</f>
        <v>0.852272727272727</v>
      </c>
      <c r="M2" s="16">
        <f t="shared" ref="M2:M7" si="3">I2/H2</f>
        <v>0.346666666666667</v>
      </c>
      <c r="N2" s="16">
        <f t="shared" ref="N2:N7" si="4">I2/C2</f>
        <v>0.145251396648045</v>
      </c>
      <c r="O2" s="19">
        <f t="shared" ref="O2:O7" si="5">J2/I2</f>
        <v>6415.78461538461</v>
      </c>
      <c r="P2" s="7">
        <f>J2/J4</f>
        <v>0.25022756087741</v>
      </c>
    </row>
    <row r="3" ht="14.25" spans="1:16">
      <c r="A3" s="5"/>
      <c r="B3" s="4" t="s">
        <v>18</v>
      </c>
      <c r="C3" s="4">
        <v>556</v>
      </c>
      <c r="D3" s="4">
        <v>542</v>
      </c>
      <c r="E3" s="7">
        <f t="shared" si="0"/>
        <v>1.02583025830258</v>
      </c>
      <c r="F3" s="16">
        <f>C3/C4</f>
        <v>0.756462585034014</v>
      </c>
      <c r="G3" s="4">
        <v>435</v>
      </c>
      <c r="H3" s="17">
        <v>324</v>
      </c>
      <c r="I3" s="4">
        <v>79</v>
      </c>
      <c r="J3" s="18">
        <v>499824.4</v>
      </c>
      <c r="K3" s="16">
        <f t="shared" si="1"/>
        <v>0.782374100719424</v>
      </c>
      <c r="L3" s="7">
        <f t="shared" si="2"/>
        <v>0.744827586206897</v>
      </c>
      <c r="M3" s="16">
        <f t="shared" si="3"/>
        <v>0.243827160493827</v>
      </c>
      <c r="N3" s="16">
        <f t="shared" si="4"/>
        <v>0.142086330935252</v>
      </c>
      <c r="O3" s="19">
        <f t="shared" si="5"/>
        <v>6326.89113924051</v>
      </c>
      <c r="P3" s="7">
        <f>J3/J4</f>
        <v>0.74977243912259</v>
      </c>
    </row>
    <row r="4" ht="14.25" spans="1:16">
      <c r="A4" s="5"/>
      <c r="B4" s="20" t="s">
        <v>19</v>
      </c>
      <c r="C4" s="20">
        <f>SUM(C2:C3)</f>
        <v>735</v>
      </c>
      <c r="D4" s="4">
        <f>SUM(D2:D3)</f>
        <v>757</v>
      </c>
      <c r="E4" s="7">
        <f t="shared" si="0"/>
        <v>0.970937912813738</v>
      </c>
      <c r="F4" s="21">
        <f>C4/C4</f>
        <v>1</v>
      </c>
      <c r="G4" s="20">
        <f>SUM(G2:G3)</f>
        <v>523</v>
      </c>
      <c r="H4" s="20">
        <f>SUM(H2:H3)</f>
        <v>399</v>
      </c>
      <c r="I4" s="20">
        <f>SUM(I2:I3)</f>
        <v>105</v>
      </c>
      <c r="J4" s="22">
        <f>SUM(J2:J3)</f>
        <v>666634.8</v>
      </c>
      <c r="K4" s="21">
        <f t="shared" si="1"/>
        <v>0.71156462585034</v>
      </c>
      <c r="L4" s="21">
        <f t="shared" si="2"/>
        <v>0.762906309751434</v>
      </c>
      <c r="M4" s="21">
        <f t="shared" si="3"/>
        <v>0.263157894736842</v>
      </c>
      <c r="N4" s="21">
        <f t="shared" si="4"/>
        <v>0.142857142857143</v>
      </c>
      <c r="O4" s="23">
        <f t="shared" si="5"/>
        <v>6348.90285714286</v>
      </c>
      <c r="P4" s="21">
        <f>J4/J4</f>
        <v>1</v>
      </c>
    </row>
    <row r="5" ht="14.25" spans="1:16">
      <c r="A5" s="5" t="s">
        <v>20</v>
      </c>
      <c r="B5" s="5" t="s">
        <v>17</v>
      </c>
      <c r="C5" s="4">
        <v>165</v>
      </c>
      <c r="D5" s="4">
        <v>208</v>
      </c>
      <c r="E5" s="7">
        <f t="shared" si="0"/>
        <v>0.793269230769231</v>
      </c>
      <c r="F5" s="7">
        <f>C5/C7</f>
        <v>0.197132616487455</v>
      </c>
      <c r="G5" s="4">
        <v>68</v>
      </c>
      <c r="H5" s="17">
        <v>46</v>
      </c>
      <c r="I5" s="4">
        <v>19</v>
      </c>
      <c r="J5" s="18">
        <v>110949.4</v>
      </c>
      <c r="K5" s="16">
        <f t="shared" si="1"/>
        <v>0.412121212121212</v>
      </c>
      <c r="L5" s="7">
        <f t="shared" si="2"/>
        <v>0.676470588235294</v>
      </c>
      <c r="M5" s="16">
        <f t="shared" si="3"/>
        <v>0.41304347826087</v>
      </c>
      <c r="N5" s="16">
        <f t="shared" si="4"/>
        <v>0.115151515151515</v>
      </c>
      <c r="O5" s="19">
        <f t="shared" si="5"/>
        <v>5839.44210526316</v>
      </c>
      <c r="P5" s="7">
        <f>J5/J7</f>
        <v>0.183905230031132</v>
      </c>
    </row>
    <row r="6" ht="14.25" spans="1:16">
      <c r="A6" s="5"/>
      <c r="B6" s="4" t="s">
        <v>18</v>
      </c>
      <c r="C6" s="4">
        <v>672</v>
      </c>
      <c r="D6" s="4">
        <v>742</v>
      </c>
      <c r="E6" s="7">
        <f t="shared" si="0"/>
        <v>0.905660377358491</v>
      </c>
      <c r="F6" s="16">
        <f>C6/C7</f>
        <v>0.802867383512545</v>
      </c>
      <c r="G6" s="4">
        <v>571</v>
      </c>
      <c r="H6" s="17">
        <v>370</v>
      </c>
      <c r="I6" s="4">
        <v>76</v>
      </c>
      <c r="J6" s="18">
        <v>492347.2</v>
      </c>
      <c r="K6" s="16">
        <f t="shared" si="1"/>
        <v>0.849702380952381</v>
      </c>
      <c r="L6" s="7">
        <f t="shared" si="2"/>
        <v>0.647985989492119</v>
      </c>
      <c r="M6" s="16">
        <f t="shared" si="3"/>
        <v>0.205405405405405</v>
      </c>
      <c r="N6" s="16">
        <f t="shared" si="4"/>
        <v>0.113095238095238</v>
      </c>
      <c r="O6" s="19">
        <f t="shared" si="5"/>
        <v>6478.25263157895</v>
      </c>
      <c r="P6" s="7">
        <f>J6/J7</f>
        <v>0.816094769968868</v>
      </c>
    </row>
    <row r="7" ht="14.25" spans="1:16">
      <c r="A7" s="5"/>
      <c r="B7" s="20" t="s">
        <v>19</v>
      </c>
      <c r="C7" s="20">
        <f>SUM(C5:C6)</f>
        <v>837</v>
      </c>
      <c r="D7" s="4">
        <f>SUM(D5:D6)</f>
        <v>950</v>
      </c>
      <c r="E7" s="7">
        <f t="shared" si="0"/>
        <v>0.881052631578947</v>
      </c>
      <c r="F7" s="21">
        <f>C7/C7</f>
        <v>1</v>
      </c>
      <c r="G7" s="20">
        <f>SUM(G5:G6)</f>
        <v>639</v>
      </c>
      <c r="H7" s="20">
        <f>SUM(H5:H6)</f>
        <v>416</v>
      </c>
      <c r="I7" s="20">
        <f>SUM(I5:I6)</f>
        <v>95</v>
      </c>
      <c r="J7" s="22">
        <f>SUM(J5:J6)</f>
        <v>603296.6</v>
      </c>
      <c r="K7" s="21">
        <f t="shared" si="1"/>
        <v>0.763440860215054</v>
      </c>
      <c r="L7" s="21">
        <f t="shared" si="2"/>
        <v>0.651017214397496</v>
      </c>
      <c r="M7" s="21">
        <f t="shared" si="3"/>
        <v>0.228365384615385</v>
      </c>
      <c r="N7" s="21">
        <f t="shared" si="4"/>
        <v>0.113500597371565</v>
      </c>
      <c r="O7" s="23">
        <f t="shared" si="5"/>
        <v>6350.49052631579</v>
      </c>
      <c r="P7" s="21">
        <f>J7/J7</f>
        <v>1</v>
      </c>
    </row>
  </sheetData>
  <mergeCells count="2">
    <mergeCell ref="A2:A4"/>
    <mergeCell ref="A5:A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4"/>
  <sheetViews>
    <sheetView workbookViewId="0">
      <selection activeCell="A1" sqref="A1"/>
    </sheetView>
  </sheetViews>
  <sheetFormatPr defaultColWidth="14" defaultRowHeight="12.75" outlineLevelRow="3"/>
  <cols>
    <col min="1" max="2" width="14" customWidth="1"/>
    <col min="5" max="8" width="14" customWidth="1"/>
    <col min="10" max="10" width="14" customWidth="1"/>
    <col min="12" max="17" width="14" customWidth="1"/>
  </cols>
  <sheetData>
    <row r="1" ht="14.25" spans="1:17">
      <c r="A1" s="1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1" t="s">
        <v>2</v>
      </c>
      <c r="H1" s="3" t="s">
        <v>26</v>
      </c>
      <c r="I1" s="4" t="s">
        <v>27</v>
      </c>
      <c r="J1" s="4" t="s">
        <v>10</v>
      </c>
      <c r="K1" s="4" t="s">
        <v>28</v>
      </c>
      <c r="L1" s="4" t="s">
        <v>11</v>
      </c>
      <c r="M1" s="4" t="s">
        <v>29</v>
      </c>
      <c r="N1" s="4" t="s">
        <v>12</v>
      </c>
      <c r="O1" s="4" t="s">
        <v>30</v>
      </c>
      <c r="P1" s="4" t="s">
        <v>31</v>
      </c>
      <c r="Q1" s="4" t="s">
        <v>14</v>
      </c>
    </row>
    <row r="2" ht="14.25" spans="1:17">
      <c r="A2" s="5" t="s">
        <v>16</v>
      </c>
      <c r="B2" s="6">
        <v>25779</v>
      </c>
      <c r="C2" s="6">
        <v>6614</v>
      </c>
      <c r="D2" s="6">
        <v>12472</v>
      </c>
      <c r="E2" s="7">
        <v>0.2566</v>
      </c>
      <c r="F2" s="5">
        <v>1.89</v>
      </c>
      <c r="G2" s="4">
        <v>148</v>
      </c>
      <c r="H2" s="7">
        <v>0.0119</v>
      </c>
      <c r="I2" s="4">
        <v>65</v>
      </c>
      <c r="J2" s="8">
        <f>I2/G2</f>
        <v>0.439189189189189</v>
      </c>
      <c r="K2" s="4">
        <v>54</v>
      </c>
      <c r="L2" s="8">
        <f>K2/I2</f>
        <v>0.830769230769231</v>
      </c>
      <c r="M2" s="4">
        <v>14</v>
      </c>
      <c r="N2" s="8">
        <f>M2/K2</f>
        <v>0.259259259259259</v>
      </c>
      <c r="O2" s="8">
        <f>M2/G2</f>
        <v>0.0945945945945946</v>
      </c>
      <c r="P2" s="9">
        <v>89632</v>
      </c>
      <c r="Q2" s="9">
        <f>P2/M2</f>
        <v>6402.28571428571</v>
      </c>
    </row>
    <row r="3" ht="15" spans="1:17">
      <c r="A3" s="5" t="s">
        <v>20</v>
      </c>
      <c r="B3" s="6">
        <v>25696</v>
      </c>
      <c r="C3" s="6">
        <v>6523</v>
      </c>
      <c r="D3" s="6">
        <v>12830</v>
      </c>
      <c r="E3" s="7">
        <v>0.2539</v>
      </c>
      <c r="F3" s="5">
        <v>1.97</v>
      </c>
      <c r="G3" s="10">
        <v>134</v>
      </c>
      <c r="H3" s="7">
        <v>0.0104</v>
      </c>
      <c r="I3" s="10">
        <v>45</v>
      </c>
      <c r="J3" s="8">
        <f>I3/G3</f>
        <v>0.335820895522388</v>
      </c>
      <c r="K3" s="10">
        <v>27</v>
      </c>
      <c r="L3" s="8">
        <f>K3/I3</f>
        <v>0.6</v>
      </c>
      <c r="M3" s="10">
        <v>7</v>
      </c>
      <c r="N3" s="8">
        <f>M3/K3</f>
        <v>0.259259259259259</v>
      </c>
      <c r="O3" s="8">
        <f>M3/G3</f>
        <v>0.0522388059701493</v>
      </c>
      <c r="P3" s="11">
        <v>45216</v>
      </c>
      <c r="Q3" s="9">
        <f>P3/M3</f>
        <v>6459.42857142857</v>
      </c>
    </row>
    <row r="4" spans="1:17">
      <c r="A4" s="5" t="s">
        <v>32</v>
      </c>
      <c r="B4" s="12">
        <f t="shared" ref="B4:H4" si="0">B2/B3-1</f>
        <v>0.00323007471980086</v>
      </c>
      <c r="C4" s="12">
        <f t="shared" si="0"/>
        <v>0.0139506362103328</v>
      </c>
      <c r="D4" s="13">
        <f t="shared" si="0"/>
        <v>-0.0279033515198753</v>
      </c>
      <c r="E4" s="12">
        <f t="shared" si="0"/>
        <v>0.0106341079165024</v>
      </c>
      <c r="F4" s="13">
        <f t="shared" si="0"/>
        <v>-0.0406091370558376</v>
      </c>
      <c r="G4" s="12">
        <f t="shared" si="0"/>
        <v>0.104477611940299</v>
      </c>
      <c r="H4" s="13">
        <f t="shared" si="0"/>
        <v>0.144230769230769</v>
      </c>
      <c r="I4" s="12"/>
      <c r="J4" s="12">
        <f>J2/J3-1</f>
        <v>0.307807807807808</v>
      </c>
      <c r="K4" s="12"/>
      <c r="L4" s="12">
        <f t="shared" ref="L4:Q4" si="1">L2/L3-1</f>
        <v>0.384615384615385</v>
      </c>
      <c r="M4" s="13">
        <f t="shared" si="1"/>
        <v>1</v>
      </c>
      <c r="N4" s="12">
        <f t="shared" si="1"/>
        <v>0</v>
      </c>
      <c r="O4" s="12">
        <f t="shared" si="1"/>
        <v>0.810810810810811</v>
      </c>
      <c r="P4" s="13">
        <f t="shared" si="1"/>
        <v>0.982307147912243</v>
      </c>
      <c r="Q4" s="13">
        <f t="shared" si="1"/>
        <v>-0.0088464260438782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后端非手推达成情况</vt:lpstr>
      <vt:lpstr>打卡链路数据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陈梓烁</cp:lastModifiedBy>
  <dcterms:created xsi:type="dcterms:W3CDTF">2026-05-29T07:45:44Z</dcterms:created>
  <dcterms:modified xsi:type="dcterms:W3CDTF">2026-05-29T07:46:31Z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66D6D1BBBF03419C8A38E37CAEA2A3D8_13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