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823" firstSheet="12" activeTab="12" autoFilterDateGrouping="1"/>
  </bookViews>
  <sheets>
    <sheet xmlns:r="http://schemas.openxmlformats.org/officeDocument/2006/relationships" name="陈琪" sheetId="1" state="hidden" r:id="rId1"/>
    <sheet xmlns:r="http://schemas.openxmlformats.org/officeDocument/2006/relationships" name="陈琪直播" sheetId="2" state="hidden" r:id="rId2"/>
    <sheet xmlns:r="http://schemas.openxmlformats.org/officeDocument/2006/relationships" name="孙慧雪" sheetId="3" state="hidden" r:id="rId3"/>
    <sheet xmlns:r="http://schemas.openxmlformats.org/officeDocument/2006/relationships" name="陈倩扬" sheetId="4" state="hidden" r:id="rId4"/>
    <sheet xmlns:r="http://schemas.openxmlformats.org/officeDocument/2006/relationships" name="Bob" sheetId="5" state="hidden" r:id="rId5"/>
    <sheet xmlns:r="http://schemas.openxmlformats.org/officeDocument/2006/relationships" name="叶翠翠" sheetId="6" state="hidden" r:id="rId6"/>
    <sheet xmlns:r="http://schemas.openxmlformats.org/officeDocument/2006/relationships" name="陈山聪" sheetId="7" state="hidden" r:id="rId7"/>
    <sheet xmlns:r="http://schemas.openxmlformats.org/officeDocument/2006/relationships" name="陈敏之 " sheetId="8" state="hidden" r:id="rId8"/>
    <sheet xmlns:r="http://schemas.openxmlformats.org/officeDocument/2006/relationships" name="林子善" sheetId="9" state="hidden" r:id="rId9"/>
    <sheet xmlns:r="http://schemas.openxmlformats.org/officeDocument/2006/relationships" name="mamidaily" sheetId="10" state="hidden" r:id="rId10"/>
    <sheet xmlns:r="http://schemas.openxmlformats.org/officeDocument/2006/relationships" name="吴若希" sheetId="11" state="hidden" r:id="rId11"/>
    <sheet xmlns:r="http://schemas.openxmlformats.org/officeDocument/2006/relationships" name="张美妮" sheetId="12" state="hidden" r:id="rId12"/>
    <sheet xmlns:r="http://schemas.openxmlformats.org/officeDocument/2006/relationships" name="钟嘉欣" sheetId="13" state="visible" r:id="rId13"/>
    <sheet xmlns:r="http://schemas.openxmlformats.org/officeDocument/2006/relationships" name="钟嘉欣--求和" sheetId="14" state="visible" r:id="rId14"/>
    <sheet xmlns:r="http://schemas.openxmlformats.org/officeDocument/2006/relationships" name="蔡雪莹" sheetId="15" state="hidden" r:id="rId15"/>
    <sheet xmlns:r="http://schemas.openxmlformats.org/officeDocument/2006/relationships" name="陈展鹏" sheetId="16" state="hidden" r:id="rId16"/>
    <sheet xmlns:r="http://schemas.openxmlformats.org/officeDocument/2006/relationships" name="專家鄧明儀" sheetId="17" state="hidden" r:id="rId17"/>
    <sheet xmlns:r="http://schemas.openxmlformats.org/officeDocument/2006/relationships" name="專家鄧明儀-求和" sheetId="18" state="hidden" r:id="rId18"/>
    <sheet xmlns:r="http://schemas.openxmlformats.org/officeDocument/2006/relationships" name="陳凱琳" sheetId="19" state="hidden" r:id="rId19"/>
    <sheet xmlns:r="http://schemas.openxmlformats.org/officeDocument/2006/relationships" name="麥雅緻直播" sheetId="20" state="hidden" r:id="rId20"/>
    <sheet xmlns:r="http://schemas.openxmlformats.org/officeDocument/2006/relationships" name="呂慧儀直播" sheetId="21" state="hidden" r:id="rId21"/>
    <sheet xmlns:r="http://schemas.openxmlformats.org/officeDocument/2006/relationships" name="Kayan購物團直播" sheetId="22" state="hidden" r:id="rId22"/>
    <sheet xmlns:r="http://schemas.openxmlformats.org/officeDocument/2006/relationships" name="鄧明儀直播" sheetId="23" state="hidden" r:id="rId23"/>
    <sheet xmlns:r="http://schemas.openxmlformats.org/officeDocument/2006/relationships" name="周家蔚" sheetId="24" state="visible" r:id="rId24"/>
    <sheet xmlns:r="http://schemas.openxmlformats.org/officeDocument/2006/relationships" name="KOLhk+直播HK" sheetId="25" state="visible" r:id="rId25"/>
    <sheet xmlns:r="http://schemas.openxmlformats.org/officeDocument/2006/relationships" name="海外商务分月数据汇总" sheetId="26" state="hidden" r:id="rId26"/>
    <sheet xmlns:r="http://schemas.openxmlformats.org/officeDocument/2006/relationships" name="KOL整体ROI" sheetId="27" state="visible" r:id="rId27"/>
  </sheets>
  <externalReferences>
    <externalReference xmlns:r="http://schemas.openxmlformats.org/officeDocument/2006/relationships" r:id="rId28"/>
  </externalReferences>
  <definedNames>
    <definedName name="_001ae0f3f8244df7bc22c1fa93f3830e" comment="SSRRANGE" hidden="1">#REF!</definedName>
    <definedName name="_0360ca88f97947baaa5ab606afc39b61" comment="SSRRANGE" hidden="1">#REF!</definedName>
    <definedName name="_0486080739c346cbb86b8b633c9ae8ef" comment="SSRRANGE" hidden="1">#REF!</definedName>
    <definedName name="_068417ed83344662a82cc7f88c4e3728" comment="SSRRANGE" hidden="1">#REF!</definedName>
    <definedName name="_0a099c648a1345c59a4514fd23d392a3" comment="SSRRANGE" hidden="1">#REF!</definedName>
    <definedName name="_0bbf2d48375c456391b0290c91a49f9b" comment="SSRRANGE" hidden="1">#REF!</definedName>
    <definedName name="_0ebf472e5d2a4cae968f94472d640238" comment="SSRRANGE" hidden="1">#REF!</definedName>
    <definedName name="_11bf7ac2de9b44978ea7ce999b16f2e4" comment="SSRRANGE" hidden="1">#REF!</definedName>
    <definedName name="_1ef8881e8f1a416093e24e06c73f2975" comment="SSRRANGE" hidden="1">#REF!</definedName>
    <definedName name="_1f1c06a6ac94402db46c6a7972396963" comment="SSRRANGE" hidden="1">#REF!</definedName>
    <definedName name="_202ac88c59b8444ca85451836d4dd8b8" comment="SSRRANGE" hidden="1">#REF!</definedName>
    <definedName name="_27933c354f214ad39195dace9c5b840c" comment="SSRRANGE" hidden="1">#REF!</definedName>
    <definedName name="_2aa3efbe12f246d39c54cc6e1fff4b92" comment="SSRRANGE" hidden="1">#REF!</definedName>
    <definedName name="_30dbf98205f249c5a42ec354fa456d71" comment="SSRRANGE" hidden="1">#REF!</definedName>
    <definedName name="_3116d9211a2f4ec6bf8d4d0bf1971669" comment="SSRRANGE" hidden="1">#REF!</definedName>
    <definedName name="_31b347c6814a4c8585900da0d008993c" comment="SSRRANGE" hidden="1">#REF!</definedName>
    <definedName name="_35214c444323449f9e5875a15de4bc6b" comment="SSRRANGE" hidden="1">#REF!</definedName>
    <definedName name="_3765f31115ee4492a5c1701ca32ce6b7" comment="SSRRANGE" hidden="1">#REF!</definedName>
    <definedName name="_3a774139ab2449db833269a0c1ec2cdc" comment="SSRRANGE" hidden="1">#REF!</definedName>
    <definedName name="_3bd1d6abd8364341b1d2874f675db596" comment="SSRRANGE" hidden="1">#REF!</definedName>
    <definedName name="_3c9a270376c648f1bcd84ab948a8cdaa" comment="SSRRANGE" hidden="1">#REF!</definedName>
    <definedName name="_431a696afcb543eba66730740227d782" comment="SSRRANGE" hidden="1">#REF!</definedName>
    <definedName name="_44808210320240c894d7e0b4828f7c04" comment="SSRRANGE" hidden="1">#REF!</definedName>
    <definedName name="_46efde2d317748cfae32b684ff22558f" comment="SSRRANGE" hidden="1">#REF!</definedName>
    <definedName name="_4a3ff568945a4c968c5d0eb854a3ed2d" comment="SSRRANGE" hidden="1">#REF!</definedName>
    <definedName name="_4cd707a69a344f0bb153c35d9920b1e7" comment="SSRRANGE" hidden="1">#REF!</definedName>
    <definedName name="_5413e997778f4e8fbca5910d73f43865" comment="SSRRANGE" hidden="1">#REF!</definedName>
    <definedName name="_5460731235fe4cbab3e20ccbd4e053e6" comment="SSRRANGE" hidden="1">#REF!</definedName>
    <definedName name="_5560016a64a14fc6bc38d3864fec72c5" comment="SSRRANGE" hidden="1">#REF!</definedName>
    <definedName name="_55f9112197a344bba2b456e5988d7d34" comment="SSRRANGE" hidden="1">#REF!</definedName>
    <definedName name="_5903af5de48b451f81d1a0240b17d566" comment="SSRRANGE" hidden="1">#REF!</definedName>
    <definedName name="_5a4e5e39ff0c40668d05cf2b66921aef" comment="SSRRANGE" hidden="1">#REF!</definedName>
    <definedName name="_5edaae1f2a3e41d19b59c4fd094ae067" comment="SSRRANGE" hidden="1">#REF!</definedName>
    <definedName name="_61445868ac9447a1b42f9dc087378b42" comment="SSRRANGE" hidden="1">#REF!</definedName>
    <definedName name="_649aa7119e154ca0bb11d362e639eb63" comment="SSRRANGE" hidden="1">#REF!</definedName>
    <definedName name="_6a9a6d323155479c8061d734a2a15725" comment="SSRRANGE" hidden="1">#REF!</definedName>
    <definedName name="_6bd2ba3db24f4902956a5d9d3a6e8c1e" comment="SSRRANGE" hidden="1">#REF!</definedName>
    <definedName name="_6d7f011d32f74a8b8ba284a002482592" comment="SSRRANGE" hidden="1">#REF!</definedName>
    <definedName name="_756a97c5c6da4b03bb8fa2eb4a7d9ef0" comment="SSRRANGE" hidden="1">#REF!</definedName>
    <definedName name="_785ecc3fad9046a6877628aaafe0058a" comment="SSRRANGE" hidden="1">#REF!</definedName>
    <definedName name="_7b62efed86c548e38804fe16fdb56d9b" comment="SSRRANGE" hidden="1">#REF!</definedName>
    <definedName name="_7d0746a13dc240fbb252aa7f0a5e3ea4" comment="SSRRANGE" hidden="1">#REF!</definedName>
    <definedName name="_80c9bc97be88497e94a698f2677e0716" comment="SSRRANGE" hidden="1">#REF!</definedName>
    <definedName name="_815d2e4ae54140f483a7d17b380a7bfe" comment="SSRRANGE" hidden="1">#REF!</definedName>
    <definedName name="_8250c5181c364df092de61412bf24c9f" comment="SSRRANGE" hidden="1">#REF!</definedName>
    <definedName name="_8280e492d8914f2fabec64f04ac45520" comment="SSRRANGE" hidden="1">#REF!</definedName>
    <definedName name="_836bc34011224ba69242ef57907ccc11" comment="SSRRANGE" hidden="1">#REF!</definedName>
    <definedName name="_8a75583528254f89abb9bb926e95ab8a" comment="SSRRANGE" hidden="1">#REF!</definedName>
    <definedName name="_92145cab5108408eba053f1dd9041b4f" comment="SSRRANGE" hidden="1">#REF!</definedName>
    <definedName name="_96a7c0d4f01842a0a179dac8401ff229" comment="SSRRANGE" hidden="1">#REF!</definedName>
    <definedName name="_992dd6ec87024462b09cf6a84ae4ee25" comment="SSRRANGE" hidden="1">#REF!</definedName>
    <definedName name="_9c39c24c85bb4d258199bee33b94dad5" comment="SSRRANGE" hidden="1">#REF!</definedName>
    <definedName name="_9c3edb4a3e8840a88a9633fad40cc1b5" comment="SSRRANGE" hidden="1">#REF!</definedName>
    <definedName name="_9d08852ddd9649c8b3d305badabe923e" comment="SSRRANGE" hidden="1">#REF!</definedName>
    <definedName name="_a86af93e2039467b99f010657796c462" comment="SSRRANGE" hidden="1">#REF!</definedName>
    <definedName name="_aa694f20881d4654b166e7ee7f17c04d" comment="SSRRANGE" hidden="1">#REF!</definedName>
    <definedName name="_ab1b5478130e4895be1512c5570d4f47" comment="SSRRANGE" hidden="1">#REF!</definedName>
    <definedName name="_ae08c220033545b68335f403143bcc0a" comment="SSRRANGE" hidden="1">#REF!</definedName>
    <definedName name="_ae523d7603d64a24923096aef6986a93" comment="SSRRANGE" hidden="1">#REF!</definedName>
    <definedName name="_b0ea636e2c69485791db7abf71ffb8ab" comment="SSRRANGE" hidden="1">#REF!</definedName>
    <definedName name="_b2fc37b1090c45cc9b0524f60a05233e" comment="SSRRANGE" hidden="1">#REF!</definedName>
    <definedName name="_b4c3738f1c654db99b08378fa77f4200" comment="SSRRANGE" hidden="1">#REF!</definedName>
    <definedName name="_b5239405de5c46cb949d6904c9981420" comment="SSRRANGE" hidden="1">#REF!</definedName>
    <definedName name="_b534e4bf3c684455ab541d38b9320b50" comment="SSRRANGE" hidden="1">#REF!</definedName>
    <definedName name="_b8c999748a914aa2a8c9578031c65cf7" comment="SSRRANGE" hidden="1">#REF!</definedName>
    <definedName name="_bbf12cc90a5b4ea1991714968bc6f6b0" comment="SSRRANGE" hidden="1">#REF!</definedName>
    <definedName name="_c02d5182a40a4674a5eedff15fa6167a" comment="SSRRANGE" hidden="1">#REF!</definedName>
    <definedName name="_c322998c74824c7091c48181913bb6d5" comment="SSRRANGE" hidden="1">#REF!</definedName>
    <definedName name="_c468110ce9774ebcb732ee32880f2e37" comment="SSRRANGE" hidden="1">#REF!</definedName>
    <definedName name="_c8e0cd31ccad44ab9c69ae409515cdec" comment="SSRRANGE" hidden="1">#REF!</definedName>
    <definedName name="_ce38cd146d4246219f2024ae97a7b1d1" comment="SSRRANGE" hidden="1">#REF!</definedName>
    <definedName name="_d36835a806c940789b6165c372fc6797" comment="SSRRANGE" hidden="1">#REF!</definedName>
    <definedName name="_d55313a4b550489382790d92ae6cdbb8" comment="SSRRANGE" hidden="1">#REF!</definedName>
    <definedName name="_dba04793d3dc42449a11a196aa8349ea" comment="SSRRANGE" hidden="1">#REF!</definedName>
    <definedName name="_de8b602fbca646049c603b3b5bdfb380" comment="SSRRANGE" hidden="1">#REF!</definedName>
    <definedName name="_e1587eff23344bcba0b27c95902b00df" comment="SSRRANGE" hidden="1">#REF!</definedName>
    <definedName name="_e1af57fee81a423c8f7e8e33ea8ee6bc" comment="SSRRANGE" hidden="1">#REF!</definedName>
    <definedName name="_e2659ac3606a4f8f99d4b5bbb038aab2" comment="SSRRANGE" hidden="1">#REF!</definedName>
    <definedName name="_e2714685d420418bba83d03ac2d09319" comment="SSRRANGE" hidden="1">#REF!</definedName>
    <definedName name="_e2bcb5366bcf462c879cd4ce7acac7b7" comment="SSRRANGE" hidden="1">#REF!</definedName>
    <definedName name="_e380afffa54a478ca9a1a9d6d8356f0b" comment="SSRRANGE" hidden="1">#REF!</definedName>
    <definedName name="_e467d0bf28234767976263b4f155c2ec" comment="SSRRANGE" hidden="1">#REF!</definedName>
    <definedName name="_e5d58230bd5743fe8a9ee8a7a888c02b" comment="SSRRANGE" hidden="1">#REF!</definedName>
    <definedName name="_e6561ae4ea31443885ddd513fb4ce9d2" comment="SSRRANGE" hidden="1">#REF!</definedName>
    <definedName name="_eae3c8406bf042bebbf45e969128883a" comment="SSRRANGE" hidden="1">#REF!</definedName>
    <definedName name="_eafc86cb178c49a082c81717134926ef" comment="SSRRANGE" hidden="1">#REF!</definedName>
    <definedName name="_eb7ac95c65d94b1c924fe035ddedc2c6" comment="SSRRANGE" hidden="1">#REF!</definedName>
    <definedName name="_ed5529923eb94aab99ec4db39a7a7a42" comment="SSRRANGE" hidden="1">#REF!</definedName>
    <definedName name="_f007af6711364e43a5785c02978037d9" comment="SSRRANGE" hidden="1">#REF!</definedName>
    <definedName name="_f04967e4da604d5bb6795953eb946c8e" comment="SSRRANGE" hidden="1">#REF!</definedName>
    <definedName name="_f505950fced644fb928befa03ef2697b" comment="SSRRANGE" hidden="1">#REF!</definedName>
    <definedName name="_f6cc898d1d764f62a61bca6aaf02b2c5" comment="SSRRANGE" hidden="1">#REF!</definedName>
    <definedName name="_fb8ae0e6aa4541b58f9de3129d3f33fb" comment="SSRRANGE" hidden="1">#REF!</definedName>
    <definedName name="_fba39308f9064e65930cb0ce57707b43" comment="SSRRANGE" hidden="1">#REF!</definedName>
    <definedName name="_fbb1a33801f44f7bae78ed025be2c2e5" comment="SSRRANGE" hidden="1">#REF!</definedName>
    <definedName name="_fd874d4e4c7e4513af26a2963274c0bc" comment="SSRRANGE" hidden="1">#REF!</definedName>
    <definedName name="_fe885b9fdf46477f9620a6f39348c3eb" comment="SSRRANGE" hidden="1">#REF!</definedName>
    <definedName name="_0a59ab434da6421a93cc1cdfdc3b624d" hidden="1">[1]Sheet1!$BO$114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0.00_ "/>
    <numFmt numFmtId="166" formatCode="0.0%"/>
    <numFmt numFmtId="167" formatCode="_ * #,##0_ ;_ * \-#,##0_ ;_ * &quot;-&quot;??_ ;_ @_ "/>
  </numFmts>
  <fonts count="28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9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0" fillId="0" borderId="0"/>
    <xf numFmtId="41" fontId="8" fillId="0" borderId="0"/>
    <xf numFmtId="42" fontId="8" fillId="0" borderId="0"/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2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13" borderId="8" applyAlignment="1">
      <alignment vertical="center"/>
    </xf>
    <xf numFmtId="0" fontId="18" fillId="14" borderId="9" applyAlignment="1">
      <alignment vertical="center"/>
    </xf>
    <xf numFmtId="0" fontId="19" fillId="14" borderId="8" applyAlignment="1">
      <alignment vertical="center"/>
    </xf>
    <xf numFmtId="0" fontId="20" fillId="15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6" fillId="42" borderId="0" applyAlignment="1">
      <alignment vertical="center"/>
    </xf>
  </cellStyleXfs>
  <cellXfs count="14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10" borderId="2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11" borderId="2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57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3">
      <alignment horizontal="center" vertical="center"/>
    </xf>
    <xf numFmtId="165" fontId="1" fillId="0" borderId="1" applyAlignment="1" pivotButton="0" quotePrefix="0" xfId="0">
      <alignment horizontal="center" vertical="center"/>
    </xf>
    <xf numFmtId="10" fontId="1" fillId="0" borderId="1" applyAlignment="1" pivotButton="0" quotePrefix="0" xfId="3">
      <alignment horizontal="center" vertical="center"/>
    </xf>
    <xf numFmtId="10" fontId="1" fillId="0" borderId="1" applyAlignment="1" pivotButton="0" quotePrefix="0" xfId="0">
      <alignment horizontal="center" vertical="center"/>
    </xf>
    <xf numFmtId="57" fontId="1" fillId="0" borderId="0" pivotButton="0" quotePrefix="0" xfId="0"/>
    <xf numFmtId="0" fontId="7" fillId="0" borderId="1" applyAlignment="1" pivotButton="0" quotePrefix="0" xfId="0">
      <alignment horizontal="center" vertical="center"/>
    </xf>
    <xf numFmtId="166" fontId="1" fillId="0" borderId="1" applyAlignment="1" pivotButton="0" quotePrefix="0" xfId="3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3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167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vertical="center"/>
    </xf>
    <xf numFmtId="167" fontId="1" fillId="0" borderId="1" applyAlignment="1" pivotButton="0" quotePrefix="0" xfId="1">
      <alignment horizontal="center" vertical="center"/>
    </xf>
    <xf numFmtId="165" fontId="0" fillId="0" borderId="0" pivotButton="0" quotePrefix="0" xfId="0"/>
    <xf numFmtId="165" fontId="3" fillId="11" borderId="3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1">
      <alignment horizontal="center" vertical="center"/>
    </xf>
    <xf numFmtId="3" fontId="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3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0" fontId="1" fillId="0" borderId="0" applyAlignment="1" pivotButton="0" quotePrefix="0" xfId="3">
      <alignment horizontal="center" vertical="center"/>
    </xf>
    <xf numFmtId="165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10" fontId="1" fillId="0" borderId="0" applyAlignment="1" pivotButton="0" quotePrefix="0" xfId="3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11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3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/>
    </xf>
    <xf numFmtId="167" fontId="1" fillId="0" borderId="1" applyAlignment="1" pivotButton="0" quotePrefix="0" xfId="1">
      <alignment horizontal="center" vertical="center"/>
    </xf>
    <xf numFmtId="165" fontId="0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3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3">
      <alignment horizontal="center" vertical="center"/>
    </xf>
    <xf numFmtId="165" fontId="6" fillId="0" borderId="0" applyAlignment="1" pivotButton="0" quotePrefix="0" xfId="0">
      <alignment horizontal="center" vertical="center"/>
    </xf>
    <xf numFmtId="167" fontId="3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164" fontId="1" fillId="0" borderId="0" applyAlignment="1" pivotButton="0" quotePrefix="0" xfId="0">
      <alignment horizont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externalLink" Target="/xl/externalLinks/externalLink1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chenzishuo\Downloads\&#28023;&#22806;&#28207;&#28595;&#21830;&#21153;_&#21508;&#28192;&#36947;&#20027;&#36741;&#25237;&#25968;&#25454;%20(57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7"/>
  <sheetViews>
    <sheetView topLeftCell="A10" zoomScale="80" zoomScaleNormal="80" workbookViewId="0">
      <selection activeCell="J34" sqref="J34"/>
    </sheetView>
  </sheetViews>
  <sheetFormatPr baseColWidth="8" defaultColWidth="8.891666666666669" defaultRowHeight="14.25"/>
  <cols>
    <col width="13.4416666666667" customWidth="1" min="1" max="1"/>
    <col width="8.891666666666669" customWidth="1" min="2" max="7"/>
    <col width="12.0833333333333" customWidth="1" min="8" max="8"/>
    <col width="12.8916666666667" customWidth="1" min="9" max="9"/>
    <col width="15.6666666666667" customWidth="1" min="10" max="10"/>
    <col width="8.891666666666669" customWidth="1" min="11" max="20"/>
    <col width="10" customWidth="1" min="21" max="21"/>
    <col width="11.8916666666667" customWidth="1" min="22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3"/>
    <col width="8.891666666666669" customWidth="1" min="44" max="53"/>
    <col width="10.225" customWidth="1" min="54" max="55"/>
    <col width="8.891666666666669" customWidth="1" min="56" max="56"/>
    <col width="10.225" customWidth="1" min="57" max="57"/>
    <col width="15.6666666666667" customWidth="1" min="58" max="63"/>
    <col width="8.891666666666669" customWidth="1" min="64" max="64"/>
    <col width="15.6666666666667" customWidth="1" min="65" max="66"/>
    <col width="8.891666666666669" customWidth="1" min="67" max="69"/>
    <col width="15.6666666666667" customWidth="1" min="70" max="72"/>
    <col width="8.891666666666669" customWidth="1" min="73" max="74"/>
    <col width="11.5583333333333" customWidth="1" min="75" max="76"/>
    <col width="8.891666666666669" customWidth="1" min="77" max="77"/>
    <col width="15.6666666666667" customWidth="1" min="78" max="80"/>
    <col width="12.8916666666667" customWidth="1" min="81" max="82"/>
    <col width="15.6666666666667" customWidth="1" min="83" max="83"/>
    <col width="8.891666666666669" customWidth="1" min="84" max="84"/>
    <col width="13.1916666666667" customWidth="1" min="85" max="85"/>
    <col width="15.6666666666667" customWidth="1" min="86" max="86"/>
    <col width="8.891666666666669" customWidth="1" min="87" max="87"/>
    <col width="15.6666666666667" customWidth="1" min="88" max="88"/>
    <col width="14.3333333333333" customWidth="1" min="89" max="89"/>
    <col width="8.891666666666669" customWidth="1" min="90" max="97"/>
  </cols>
  <sheetData>
    <row r="1" hidden="1" ht="15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idden="1" ht="60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n"/>
      <c r="I2" s="91" t="inlineStr">
        <is>
          <t>滚动消耗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滚动其他成本</t>
        </is>
      </c>
      <c r="AN2" s="91" t="inlineStr">
        <is>
          <t>同源其他成本</t>
        </is>
      </c>
      <c r="AO2" s="91" t="inlineStr">
        <is>
          <t>运营成本</t>
        </is>
      </c>
      <c r="AP2" s="91" t="inlineStr">
        <is>
          <t>同源消耗</t>
        </is>
      </c>
      <c r="AQ2" s="91" t="n"/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
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到课人次</t>
        </is>
      </c>
      <c r="BR2" s="91" t="inlineStr">
        <is>
          <t>滚动其他成本</t>
        </is>
      </c>
      <c r="BS2" s="91" t="inlineStr">
        <is>
          <t>同源其他成本</t>
        </is>
      </c>
      <c r="BT2" s="91" t="inlineStr">
        <is>
          <t>运营成本</t>
        </is>
      </c>
      <c r="BU2" s="91" t="inlineStr">
        <is>
          <t>滚动消耗</t>
        </is>
      </c>
      <c r="BV2" s="91" t="inlineStr">
        <is>
          <t>同源消耗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91" t="inlineStr">
        <is>
          <t>当月ROI2</t>
        </is>
      </c>
      <c r="CG2" s="91" t="n"/>
      <c r="CH2" s="91" t="inlineStr">
        <is>
          <t>滚动ROI2总成本</t>
        </is>
      </c>
      <c r="CI2" s="91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idden="1" ht="16.5" customFormat="1" customHeight="1" s="39">
      <c r="A3" s="63" t="n">
        <v>45627</v>
      </c>
      <c r="B3" s="57" t="n"/>
      <c r="C3" s="57" t="inlineStr">
        <is>
          <t>陈琪</t>
        </is>
      </c>
      <c r="D3" s="57" t="inlineStr">
        <is>
          <t>KOLHK-香港-陈琪-Shukei-思维&amp;美术</t>
        </is>
      </c>
      <c r="E3" s="57" t="inlineStr">
        <is>
          <t>思维</t>
        </is>
      </c>
      <c r="F3" s="57" t="inlineStr">
        <is>
          <t>美术</t>
        </is>
      </c>
      <c r="G3" s="57" t="inlineStr">
        <is>
          <t>CPT</t>
        </is>
      </c>
      <c r="H3" s="57" t="n"/>
      <c r="I3" s="107">
        <f>8433.33333333333+25306</f>
        <v/>
      </c>
      <c r="J3" s="107">
        <f>I3/K3</f>
        <v/>
      </c>
      <c r="K3" s="57" t="n">
        <v>191</v>
      </c>
      <c r="L3" s="57" t="n">
        <v>163</v>
      </c>
      <c r="M3" s="57" t="n">
        <v>139</v>
      </c>
      <c r="N3" s="57" t="n">
        <v>91</v>
      </c>
      <c r="O3" s="57" t="n"/>
      <c r="P3" s="57" t="n"/>
      <c r="Q3" s="57" t="n">
        <v>63</v>
      </c>
      <c r="R3" s="57" t="n">
        <v>63</v>
      </c>
      <c r="S3" s="57" t="n">
        <v>15</v>
      </c>
      <c r="T3" s="57" t="n">
        <v>15</v>
      </c>
      <c r="U3" s="107" t="n">
        <v>59520</v>
      </c>
      <c r="V3" s="107" t="n">
        <v>59520</v>
      </c>
      <c r="W3" s="108" t="n">
        <v>1</v>
      </c>
      <c r="X3" s="107" t="n">
        <v>3968</v>
      </c>
      <c r="Y3" s="108" t="n">
        <v>0.8534031413612569</v>
      </c>
      <c r="Z3" s="108" t="n">
        <v>0.5582822085889571</v>
      </c>
      <c r="AA3" s="108" t="n">
        <v>0.476439790575916</v>
      </c>
      <c r="AB3" s="108" t="n">
        <v>0.692307692307692</v>
      </c>
      <c r="AC3" s="108" t="n"/>
      <c r="AD3" s="108" t="n">
        <v>0.954545454545455</v>
      </c>
      <c r="AE3" s="108" t="n">
        <v>0.238095238095238</v>
      </c>
      <c r="AF3" s="108" t="n">
        <v>0.07853403141361261</v>
      </c>
      <c r="AG3" s="108" t="n">
        <v>0.07853403141361261</v>
      </c>
      <c r="AH3" s="107">
        <f>AM3+AO3+AP3</f>
        <v/>
      </c>
      <c r="AI3" s="109" t="n">
        <v>1.28987292622464</v>
      </c>
      <c r="AJ3" s="57" t="n">
        <v>66</v>
      </c>
      <c r="AK3" s="57" t="n">
        <v>63</v>
      </c>
      <c r="AL3" s="57" t="n">
        <v>69</v>
      </c>
      <c r="AM3" s="107" t="n">
        <v>30997.9443421197</v>
      </c>
      <c r="AN3" s="107" t="n">
        <v>33376.1900502023</v>
      </c>
      <c r="AO3" s="107" t="n">
        <v>6712.80271408601</v>
      </c>
      <c r="AP3" s="107" t="n">
        <v>33739.3333333333</v>
      </c>
      <c r="AQ3" s="107" t="n"/>
      <c r="AR3" s="57" t="n">
        <v>190</v>
      </c>
      <c r="AS3" s="57" t="n">
        <v>28</v>
      </c>
      <c r="AT3" s="57" t="n">
        <v>28</v>
      </c>
      <c r="AU3" s="57" t="n">
        <v>31</v>
      </c>
      <c r="AV3" s="57" t="n"/>
      <c r="AW3" s="57" t="n"/>
      <c r="AX3" s="57" t="n">
        <v>23</v>
      </c>
      <c r="AY3" s="57" t="n">
        <v>23</v>
      </c>
      <c r="AZ3" s="57" t="n">
        <v>3</v>
      </c>
      <c r="BA3" s="57" t="n">
        <v>3</v>
      </c>
      <c r="BB3" s="107" t="n">
        <v>12498.4</v>
      </c>
      <c r="BC3" s="107" t="n">
        <v>12498.4</v>
      </c>
      <c r="BD3" s="108" t="n">
        <v>1</v>
      </c>
      <c r="BE3" s="107" t="n">
        <v>4166.13333333333</v>
      </c>
      <c r="BF3" s="108" t="n">
        <v>0.147368421052632</v>
      </c>
      <c r="BG3" s="108" t="n">
        <v>1.10714285714286</v>
      </c>
      <c r="BH3" s="108" t="n">
        <v>0.163157894736842</v>
      </c>
      <c r="BI3" s="108" t="n">
        <v>0.741935483870968</v>
      </c>
      <c r="BJ3" s="108" t="n"/>
      <c r="BK3" s="108" t="n">
        <v>0.793103448275862</v>
      </c>
      <c r="BL3" s="108" t="n">
        <v>0.130434782608696</v>
      </c>
      <c r="BM3" s="108" t="n">
        <v>0.0157894736842105</v>
      </c>
      <c r="BN3" s="108" t="n">
        <v>0.0157894736842105</v>
      </c>
      <c r="BO3" s="57" t="n">
        <v>29</v>
      </c>
      <c r="BP3" s="57" t="n">
        <v>23</v>
      </c>
      <c r="BQ3" s="57" t="n">
        <v>23</v>
      </c>
      <c r="BR3" s="107" t="n">
        <v>9466.120176224489</v>
      </c>
      <c r="BS3" s="107" t="n">
        <v>9466.120176224489</v>
      </c>
      <c r="BT3" s="107" t="n">
        <v>5723.51045473559</v>
      </c>
      <c r="BU3" s="107" t="n">
        <v>0</v>
      </c>
      <c r="BV3" s="107" t="n">
        <v>0</v>
      </c>
      <c r="BW3" s="107" t="n">
        <v>72018.39999999999</v>
      </c>
      <c r="BX3" s="107" t="n">
        <v>72018.39999999999</v>
      </c>
      <c r="BY3" s="108" t="n">
        <v>1</v>
      </c>
      <c r="BZ3" s="107" t="n">
        <v>40464.0645183442</v>
      </c>
      <c r="CA3" s="107" t="n">
        <v>42842.3102264268</v>
      </c>
      <c r="CB3" s="107" t="n">
        <v>12436.3131688216</v>
      </c>
      <c r="CC3" s="107" t="n">
        <v>33739.3333333333</v>
      </c>
      <c r="CD3" s="107" t="n">
        <v>33739.3333333333</v>
      </c>
      <c r="CE3" s="107">
        <f>CA3+CB3+CD3</f>
        <v/>
      </c>
      <c r="CF3" s="109">
        <f>BW3/CE3</f>
        <v/>
      </c>
      <c r="CG3" s="109" t="n"/>
      <c r="CH3" s="107">
        <f>BZ3+CB3+CC3</f>
        <v/>
      </c>
      <c r="CI3" s="109">
        <f>BX3/CH3</f>
        <v/>
      </c>
      <c r="CJ3" s="107" t="n">
        <v>77472.3978516776</v>
      </c>
      <c r="CK3" s="109" t="n">
        <v>0.9296007610075609</v>
      </c>
    </row>
    <row r="4" hidden="1" ht="16.5" customFormat="1" customHeight="1" s="39">
      <c r="A4" s="63" t="n">
        <v>45658</v>
      </c>
      <c r="B4" s="57" t="n"/>
      <c r="C4" s="57" t="inlineStr">
        <is>
          <t>陈琪</t>
        </is>
      </c>
      <c r="D4" s="57" t="inlineStr">
        <is>
          <t>KOLHK-香港-陈琪-Shukei-思维&amp;美术</t>
        </is>
      </c>
      <c r="E4" s="57" t="inlineStr">
        <is>
          <t>思维</t>
        </is>
      </c>
      <c r="F4" s="57" t="inlineStr">
        <is>
          <t>美术</t>
        </is>
      </c>
      <c r="G4" s="57" t="inlineStr">
        <is>
          <t>CPT</t>
        </is>
      </c>
      <c r="H4" s="57" t="n"/>
      <c r="I4" s="107" t="n">
        <v>40591.5233333333</v>
      </c>
      <c r="J4" s="107" t="n">
        <v>343.995960451977</v>
      </c>
      <c r="K4" s="57" t="n">
        <v>118</v>
      </c>
      <c r="L4" s="57" t="n">
        <v>83</v>
      </c>
      <c r="M4" s="57" t="n">
        <v>48</v>
      </c>
      <c r="N4" s="57" t="n">
        <v>48</v>
      </c>
      <c r="O4" s="57" t="n"/>
      <c r="P4" s="57" t="n"/>
      <c r="Q4" s="57" t="n">
        <v>40</v>
      </c>
      <c r="R4" s="57" t="n">
        <v>51</v>
      </c>
      <c r="S4" s="57" t="n">
        <v>14</v>
      </c>
      <c r="T4" s="57" t="n">
        <v>15</v>
      </c>
      <c r="U4" s="107" t="n">
        <v>69532</v>
      </c>
      <c r="V4" s="107" t="n">
        <v>73220</v>
      </c>
      <c r="W4" s="108" t="n">
        <v>1</v>
      </c>
      <c r="X4" s="107" t="n">
        <v>4881.33333333333</v>
      </c>
      <c r="Y4" s="108" t="n">
        <v>0.703389830508475</v>
      </c>
      <c r="Z4" s="108" t="n">
        <v>0.5783132530120479</v>
      </c>
      <c r="AA4" s="108" t="n">
        <v>0.406779661016949</v>
      </c>
      <c r="AB4" s="108" t="n">
        <v>0.833333333333333</v>
      </c>
      <c r="AC4" s="108" t="n"/>
      <c r="AD4" s="108" t="n">
        <v>0.82258064516129</v>
      </c>
      <c r="AE4" s="108" t="n">
        <v>0.35</v>
      </c>
      <c r="AF4" s="108" t="n">
        <v>0.11864406779661</v>
      </c>
      <c r="AG4" s="108" t="n">
        <v>0.127118644067797</v>
      </c>
      <c r="AH4" s="107" t="n">
        <v>70880.0378036662</v>
      </c>
      <c r="AI4" s="109" t="n">
        <v>1.03301299306323</v>
      </c>
      <c r="AJ4" s="57" t="n">
        <v>62</v>
      </c>
      <c r="AK4" s="57" t="n">
        <v>51</v>
      </c>
      <c r="AL4" s="57" t="n">
        <v>57</v>
      </c>
      <c r="AM4" s="110" t="n">
        <v>18845.0276174497</v>
      </c>
      <c r="AN4" s="107" t="n">
        <v>22163.9583677949</v>
      </c>
      <c r="AO4" s="110" t="n">
        <v>11443.4868528832</v>
      </c>
      <c r="AP4" s="110" t="n">
        <v>40591.5233333333</v>
      </c>
      <c r="AQ4" s="110" t="n"/>
      <c r="AR4" s="57" t="n">
        <v>118</v>
      </c>
      <c r="AS4" s="57" t="n">
        <v>31</v>
      </c>
      <c r="AT4" s="57" t="n">
        <v>36</v>
      </c>
      <c r="AU4" s="57" t="n">
        <v>29</v>
      </c>
      <c r="AV4" s="57" t="n"/>
      <c r="AW4" s="57" t="n"/>
      <c r="AX4" s="57" t="n">
        <v>17</v>
      </c>
      <c r="AY4" s="57" t="n">
        <v>19</v>
      </c>
      <c r="AZ4" s="57" t="n">
        <v>2</v>
      </c>
      <c r="BA4" s="57" t="n">
        <v>2</v>
      </c>
      <c r="BB4" s="107" t="n">
        <v>6529.2</v>
      </c>
      <c r="BC4" s="107" t="n">
        <v>6529.2</v>
      </c>
      <c r="BD4" s="108" t="n">
        <v>1</v>
      </c>
      <c r="BE4" s="107" t="n">
        <v>3264.6</v>
      </c>
      <c r="BF4" s="108" t="n">
        <v>0.26271186440678</v>
      </c>
      <c r="BG4" s="108" t="n">
        <v>0.935483870967742</v>
      </c>
      <c r="BH4" s="108" t="n">
        <v>0.245762711864407</v>
      </c>
      <c r="BI4" s="108" t="n">
        <v>0.586206896551724</v>
      </c>
      <c r="BJ4" s="108" t="n"/>
      <c r="BK4" s="108" t="n">
        <v>0.5588235294117651</v>
      </c>
      <c r="BL4" s="108" t="n">
        <v>0.117647058823529</v>
      </c>
      <c r="BM4" s="108" t="n">
        <v>0.0169491525423729</v>
      </c>
      <c r="BN4" s="108" t="n">
        <v>0.0169491525423729</v>
      </c>
      <c r="BO4" s="57" t="n">
        <v>34</v>
      </c>
      <c r="BP4" s="57" t="n">
        <v>19</v>
      </c>
      <c r="BQ4" s="57" t="n">
        <v>20</v>
      </c>
      <c r="BR4" s="107" t="n">
        <v>7421.265540293</v>
      </c>
      <c r="BS4" s="107" t="n">
        <v>6639.22550810102</v>
      </c>
      <c r="BT4" s="107" t="n">
        <v>11443.4868528832</v>
      </c>
      <c r="BU4" s="107" t="n">
        <v>0</v>
      </c>
      <c r="BV4" s="107" t="n">
        <v>0</v>
      </c>
      <c r="BW4" s="107" t="n">
        <v>76061.2</v>
      </c>
      <c r="BX4" s="107" t="n">
        <v>79749.2</v>
      </c>
      <c r="BY4" s="108" t="n">
        <v>1</v>
      </c>
      <c r="BZ4" s="110" t="n">
        <v>26266.2931577427</v>
      </c>
      <c r="CA4" s="111" t="n">
        <v>28803.183875896</v>
      </c>
      <c r="CB4" s="112" t="n">
        <v>22886.9737057664</v>
      </c>
      <c r="CC4" s="110" t="n">
        <v>40591.5233333333</v>
      </c>
      <c r="CD4" s="111" t="n">
        <v>40591.5233333333</v>
      </c>
      <c r="CE4" s="107" t="n">
        <v>92281.6809149957</v>
      </c>
      <c r="CF4" s="109" t="n">
        <v>0.824228592780652</v>
      </c>
      <c r="CG4" s="109" t="n"/>
      <c r="CH4" s="107" t="n">
        <v>89744.7901968424</v>
      </c>
      <c r="CI4" s="109" t="n">
        <v>0.888622056222779</v>
      </c>
      <c r="CJ4" s="107" t="n">
        <v>84557.816491076</v>
      </c>
      <c r="CK4" s="109" t="n">
        <v>0.943132205979048</v>
      </c>
    </row>
    <row r="5" hidden="1" ht="16.5" customFormat="1" customHeight="1" s="39">
      <c r="A5" s="63" t="n">
        <v>45690</v>
      </c>
      <c r="B5" s="57" t="n"/>
      <c r="C5" s="57" t="inlineStr">
        <is>
          <t>陈琪</t>
        </is>
      </c>
      <c r="D5" s="57" t="inlineStr">
        <is>
          <t>KOLHK-香港-陈琪-Shukei-思维&amp;美术</t>
        </is>
      </c>
      <c r="E5" s="57" t="inlineStr">
        <is>
          <t>思维</t>
        </is>
      </c>
      <c r="F5" s="57" t="inlineStr">
        <is>
          <t>美术</t>
        </is>
      </c>
      <c r="G5" s="57" t="inlineStr">
        <is>
          <t>CPT</t>
        </is>
      </c>
      <c r="H5" s="57" t="n"/>
      <c r="I5" s="107" t="n">
        <v>48635.0861033333</v>
      </c>
      <c r="J5" s="107" t="n">
        <v>268.702133167587</v>
      </c>
      <c r="K5" s="57" t="n">
        <v>181</v>
      </c>
      <c r="L5" s="57" t="n">
        <v>122</v>
      </c>
      <c r="M5" s="57" t="n">
        <v>86</v>
      </c>
      <c r="N5" s="57" t="n">
        <v>90</v>
      </c>
      <c r="O5" s="57" t="n"/>
      <c r="P5" s="57" t="n"/>
      <c r="Q5" s="57" t="n">
        <v>64</v>
      </c>
      <c r="R5" s="57" t="n">
        <v>72</v>
      </c>
      <c r="S5" s="57" t="n">
        <v>23</v>
      </c>
      <c r="T5" s="57" t="n">
        <v>27</v>
      </c>
      <c r="U5" s="107" t="n">
        <v>118186.4</v>
      </c>
      <c r="V5" s="107" t="n">
        <v>138838.4</v>
      </c>
      <c r="W5" s="108" t="n">
        <v>1</v>
      </c>
      <c r="X5" s="107" t="n">
        <v>5142.16296296296</v>
      </c>
      <c r="Y5" s="108" t="n">
        <v>0.674033149171271</v>
      </c>
      <c r="Z5" s="108" t="n">
        <v>0.737704918032787</v>
      </c>
      <c r="AA5" s="108" t="n">
        <v>0.497237569060773</v>
      </c>
      <c r="AB5" s="108" t="n">
        <v>0.711111111111111</v>
      </c>
      <c r="AC5" s="108" t="n"/>
      <c r="AD5" s="108" t="n">
        <v>0.774193548387097</v>
      </c>
      <c r="AE5" s="108" t="n">
        <v>0.359375</v>
      </c>
      <c r="AF5" s="108" t="n">
        <v>0.12707182320442</v>
      </c>
      <c r="AG5" s="108" t="n">
        <v>0.149171270718232</v>
      </c>
      <c r="AH5" s="107" t="n">
        <v>90105.6907563048</v>
      </c>
      <c r="AI5" s="109" t="n">
        <v>1.5408394168521</v>
      </c>
      <c r="AJ5" s="57" t="n">
        <v>93</v>
      </c>
      <c r="AK5" s="57" t="n">
        <v>72</v>
      </c>
      <c r="AL5" s="57" t="n">
        <v>78</v>
      </c>
      <c r="AM5" s="110" t="n">
        <v>31707.9071384906</v>
      </c>
      <c r="AN5" s="107" t="n">
        <v>32950.2187020994</v>
      </c>
      <c r="AO5" s="110" t="n">
        <v>9762.697514480869</v>
      </c>
      <c r="AP5" s="110" t="n">
        <v>48635.0861033333</v>
      </c>
      <c r="AQ5" s="110" t="n"/>
      <c r="AR5" s="57" t="n">
        <v>164</v>
      </c>
      <c r="AS5" s="57" t="n">
        <v>46</v>
      </c>
      <c r="AT5" s="57" t="n">
        <v>49</v>
      </c>
      <c r="AU5" s="57" t="n">
        <v>52</v>
      </c>
      <c r="AV5" s="57" t="n"/>
      <c r="AW5" s="57" t="n"/>
      <c r="AX5" s="57" t="n">
        <v>21</v>
      </c>
      <c r="AY5" s="57" t="n">
        <v>24</v>
      </c>
      <c r="AZ5" s="57" t="n">
        <v>2</v>
      </c>
      <c r="BA5" s="57" t="n">
        <v>2</v>
      </c>
      <c r="BB5" s="107" t="n">
        <v>7176</v>
      </c>
      <c r="BC5" s="107" t="n">
        <v>7176</v>
      </c>
      <c r="BD5" s="108" t="n">
        <v>1</v>
      </c>
      <c r="BE5" s="107" t="n">
        <v>3588</v>
      </c>
      <c r="BF5" s="108" t="n">
        <v>0.280487804878049</v>
      </c>
      <c r="BG5" s="108" t="n">
        <v>1.1304347826087</v>
      </c>
      <c r="BH5" s="108" t="n">
        <v>0.317073170731707</v>
      </c>
      <c r="BI5" s="108" t="n">
        <v>0.403846153846154</v>
      </c>
      <c r="BJ5" s="108" t="n"/>
      <c r="BK5" s="108" t="n">
        <v>0.452830188679245</v>
      </c>
      <c r="BL5" s="108" t="n">
        <v>0.09523809523809521</v>
      </c>
      <c r="BM5" s="108" t="n">
        <v>0.0121951219512195</v>
      </c>
      <c r="BN5" s="108" t="n">
        <v>0.0121951219512195</v>
      </c>
      <c r="BO5" s="57" t="n">
        <v>53</v>
      </c>
      <c r="BP5" s="57" t="n">
        <v>24</v>
      </c>
      <c r="BQ5" s="57" t="n">
        <v>25</v>
      </c>
      <c r="BR5" s="107" t="n">
        <v>8064.93176877234</v>
      </c>
      <c r="BS5" s="107" t="n">
        <v>7487.98109499382</v>
      </c>
      <c r="BT5" s="107" t="n">
        <v>8845.759073894271</v>
      </c>
      <c r="BU5" s="107" t="n">
        <v>0</v>
      </c>
      <c r="BV5" s="107" t="n">
        <v>0</v>
      </c>
      <c r="BW5" s="107" t="n">
        <v>125362.4</v>
      </c>
      <c r="BX5" s="107" t="n">
        <v>146014.4</v>
      </c>
      <c r="BY5" s="108" t="n">
        <v>1</v>
      </c>
      <c r="BZ5" s="110" t="n">
        <v>39772.838907263</v>
      </c>
      <c r="CA5" s="111" t="n">
        <v>40438.1997970932</v>
      </c>
      <c r="CB5" s="112" t="n">
        <v>18608.4565883751</v>
      </c>
      <c r="CC5" s="110" t="n">
        <v>48635.0861033333</v>
      </c>
      <c r="CD5" s="111" t="n">
        <v>48635.0861033333</v>
      </c>
      <c r="CE5" s="107" t="n">
        <v>107681.742488802</v>
      </c>
      <c r="CF5" s="109" t="n">
        <v>1.16419364232555</v>
      </c>
      <c r="CG5" s="109" t="n"/>
      <c r="CH5" s="107" t="n">
        <v>107016.381598971</v>
      </c>
      <c r="CI5" s="109" t="n">
        <v>1.36441167060916</v>
      </c>
      <c r="CJ5" s="107" t="n">
        <v>114282.925010596</v>
      </c>
      <c r="CK5" s="109" t="n">
        <v>1.27765718270215</v>
      </c>
    </row>
    <row r="6" hidden="1" ht="16.5" customFormat="1" customHeight="1" s="39">
      <c r="A6" s="63" t="n">
        <v>45718</v>
      </c>
      <c r="B6" s="57" t="n"/>
      <c r="C6" s="57" t="inlineStr">
        <is>
          <t>陈琪</t>
        </is>
      </c>
      <c r="D6" s="57" t="inlineStr">
        <is>
          <t>KOLHK-香港-陈琪-Shukei-思维&amp;美术</t>
        </is>
      </c>
      <c r="E6" s="57" t="inlineStr">
        <is>
          <t>思维</t>
        </is>
      </c>
      <c r="F6" s="57" t="inlineStr">
        <is>
          <t>美术</t>
        </is>
      </c>
      <c r="G6" s="57" t="inlineStr">
        <is>
          <t>CPT</t>
        </is>
      </c>
      <c r="H6" s="57" t="n"/>
      <c r="I6" s="107" t="n">
        <v>110033.471333333</v>
      </c>
      <c r="J6" s="107" t="n">
        <v>374.263507936507</v>
      </c>
      <c r="K6" s="57" t="n">
        <v>294</v>
      </c>
      <c r="L6" s="57" t="n">
        <v>140</v>
      </c>
      <c r="M6" s="57" t="n">
        <v>144</v>
      </c>
      <c r="N6" s="57" t="n">
        <v>150</v>
      </c>
      <c r="O6" s="57" t="n"/>
      <c r="P6" s="57" t="n"/>
      <c r="Q6" s="57" t="n">
        <v>114</v>
      </c>
      <c r="R6" s="57" t="n">
        <v>129</v>
      </c>
      <c r="S6" s="57" t="n">
        <v>41</v>
      </c>
      <c r="T6" s="57" t="n">
        <v>49</v>
      </c>
      <c r="U6" s="107" t="n">
        <v>213308</v>
      </c>
      <c r="V6" s="107" t="n">
        <v>245112</v>
      </c>
      <c r="W6" s="108" t="n">
        <v>1</v>
      </c>
      <c r="X6" s="107" t="n">
        <v>5002.28571428571</v>
      </c>
      <c r="Y6" s="108" t="n">
        <v>0.476190476190476</v>
      </c>
      <c r="Z6" s="108" t="n">
        <v>1.07142857142857</v>
      </c>
      <c r="AA6" s="108" t="n">
        <v>0.510204081632653</v>
      </c>
      <c r="AB6" s="108" t="n">
        <v>0.76</v>
      </c>
      <c r="AC6" s="108" t="n"/>
      <c r="AD6" s="108" t="n">
        <v>0.941605839416058</v>
      </c>
      <c r="AE6" s="108" t="n">
        <v>0.359649122807018</v>
      </c>
      <c r="AF6" s="108" t="n">
        <v>0.139455782312925</v>
      </c>
      <c r="AG6" s="108" t="n">
        <v>0.166666666666667</v>
      </c>
      <c r="AH6" s="107" t="n">
        <v>215177.033022442</v>
      </c>
      <c r="AI6" s="109" t="n">
        <v>1.13911785359749</v>
      </c>
      <c r="AJ6" s="57" t="n">
        <v>137</v>
      </c>
      <c r="AK6" s="57" t="n">
        <v>129</v>
      </c>
      <c r="AL6" s="57" t="n">
        <v>133</v>
      </c>
      <c r="AM6" s="107" t="n">
        <v>50828.3519277404</v>
      </c>
      <c r="AN6" s="107" t="n">
        <v>16883.5911823777</v>
      </c>
      <c r="AO6" s="107" t="n">
        <v>23897.0610986574</v>
      </c>
      <c r="AP6" s="107" t="n">
        <v>2738.6331545043</v>
      </c>
      <c r="AQ6" s="107" t="n">
        <v>10795.9243258291</v>
      </c>
      <c r="AR6" s="57" t="n">
        <v>16</v>
      </c>
      <c r="AS6" s="57" t="n">
        <v>16</v>
      </c>
      <c r="AT6" s="57" t="n">
        <v>24</v>
      </c>
      <c r="AU6" s="57" t="n">
        <v>16</v>
      </c>
      <c r="AV6" s="57" t="n"/>
      <c r="AW6" s="57" t="n"/>
      <c r="AX6" s="57" t="n">
        <v>10</v>
      </c>
      <c r="AY6" s="57" t="n">
        <v>13</v>
      </c>
      <c r="AZ6" s="57" t="n">
        <v>2</v>
      </c>
      <c r="BA6" s="57" t="n">
        <v>2</v>
      </c>
      <c r="BB6" s="107" t="n">
        <v>7735.2</v>
      </c>
      <c r="BC6" s="107" t="n">
        <v>7735.2</v>
      </c>
      <c r="BD6" s="108" t="n">
        <v>1</v>
      </c>
      <c r="BE6" s="107" t="n">
        <v>3867.6</v>
      </c>
      <c r="BF6" s="108" t="n">
        <v>1</v>
      </c>
      <c r="BG6" s="108" t="n">
        <v>1</v>
      </c>
      <c r="BH6" s="108" t="n">
        <v>1</v>
      </c>
      <c r="BI6" s="108" t="n">
        <v>0.625</v>
      </c>
      <c r="BJ6" s="108" t="n"/>
      <c r="BK6" s="108" t="n">
        <v>0.541666666666667</v>
      </c>
      <c r="BL6" s="108" t="n">
        <v>0.2</v>
      </c>
      <c r="BM6" s="108" t="n">
        <v>0.125</v>
      </c>
      <c r="BN6" s="108" t="n">
        <v>0.125</v>
      </c>
      <c r="BO6" s="57" t="n">
        <v>24</v>
      </c>
      <c r="BP6" s="57" t="n">
        <v>13</v>
      </c>
      <c r="BQ6" s="57" t="n">
        <v>14</v>
      </c>
      <c r="BR6" s="107" t="n">
        <v>2631.4886777139</v>
      </c>
      <c r="BS6" s="107" t="n">
        <v>2476.23100502914</v>
      </c>
      <c r="BT6" s="107" t="n">
        <v>764.50317234945</v>
      </c>
      <c r="BU6" s="107" t="n">
        <v>149.041260109078</v>
      </c>
      <c r="BV6" s="107" t="n">
        <v>1141.73212260919</v>
      </c>
      <c r="BW6" s="107" t="n">
        <v>221043.2</v>
      </c>
      <c r="BX6" s="107" t="n">
        <v>252847.2</v>
      </c>
      <c r="BY6" s="108" t="n">
        <v>1</v>
      </c>
      <c r="BZ6" s="107" t="n">
        <v>58846.7173214654</v>
      </c>
      <c r="CA6" s="107" t="n">
        <v>52989.3623302328</v>
      </c>
      <c r="CB6" s="107" t="n">
        <v>53459.8406054543</v>
      </c>
      <c r="CC6" s="107" t="n">
        <v>110033.471333333</v>
      </c>
      <c r="CD6" s="107" t="n">
        <v>110033.471333333</v>
      </c>
      <c r="CE6" s="107" t="n">
        <v>216482.67426902</v>
      </c>
      <c r="CF6" s="109" t="n">
        <v>1.02106646985205</v>
      </c>
      <c r="CG6" s="109" t="n"/>
      <c r="CH6" s="107" t="n">
        <v>222340.029260253</v>
      </c>
      <c r="CI6" s="109" t="n">
        <v>1.13720952921185</v>
      </c>
      <c r="CJ6" s="107" t="n">
        <v>192130.188654798</v>
      </c>
      <c r="CK6" s="109" t="n">
        <v>1.31602015159779</v>
      </c>
    </row>
    <row r="7" hidden="1"/>
    <row r="8" hidden="1" ht="30" customFormat="1" customHeight="1" s="40">
      <c r="A8" s="40" t="inlineStr">
        <is>
          <t>陈琪-汇总</t>
        </is>
      </c>
      <c r="B8" s="57" t="n"/>
      <c r="C8" s="57" t="n"/>
      <c r="D8" s="57" t="n"/>
      <c r="E8" s="57" t="n"/>
      <c r="F8" s="57" t="n"/>
      <c r="G8" s="57" t="n"/>
      <c r="H8" s="57" t="n"/>
      <c r="I8" s="107">
        <f>SUM(I3:I6)</f>
        <v/>
      </c>
      <c r="J8" s="107">
        <f>I8/K8</f>
        <v/>
      </c>
      <c r="K8" s="57">
        <f>SUM(K3:K6)</f>
        <v/>
      </c>
      <c r="L8" s="57">
        <f>SUM(L3:L6)</f>
        <v/>
      </c>
      <c r="M8" s="57">
        <f>SUM(M3:M6)</f>
        <v/>
      </c>
      <c r="N8" s="57">
        <f>SUM(N3:N6)</f>
        <v/>
      </c>
      <c r="O8" s="57" t="n"/>
      <c r="P8" s="57" t="n"/>
      <c r="Q8" s="57">
        <f>SUM(Q3:Q6)</f>
        <v/>
      </c>
      <c r="R8" s="57">
        <f>SUM(R3:R6)</f>
        <v/>
      </c>
      <c r="S8" s="57">
        <f>SUM(S3:S6)</f>
        <v/>
      </c>
      <c r="T8" s="57">
        <f>SUM(T3:T6)</f>
        <v/>
      </c>
      <c r="U8" s="107">
        <f>SUM(U3:U6)</f>
        <v/>
      </c>
      <c r="V8" s="107">
        <f>SUM(V3:V6)</f>
        <v/>
      </c>
      <c r="W8" s="57" t="n"/>
      <c r="X8" s="107">
        <f>V8/T8</f>
        <v/>
      </c>
      <c r="Y8" s="61">
        <f>L8/K8</f>
        <v/>
      </c>
      <c r="Z8" s="61">
        <f>N8/L8</f>
        <v/>
      </c>
      <c r="AA8" s="61">
        <f>N8/K8</f>
        <v/>
      </c>
      <c r="AB8" s="61">
        <f>Q8/N8</f>
        <v/>
      </c>
      <c r="AC8" s="61" t="n"/>
      <c r="AD8" s="61">
        <f>AVERAGE(AD3:AD6)</f>
        <v/>
      </c>
      <c r="AE8" s="61">
        <f>S8/Q8</f>
        <v/>
      </c>
      <c r="AF8" s="61">
        <f>S8/K8</f>
        <v/>
      </c>
      <c r="AG8" s="61">
        <f>T8/K8</f>
        <v/>
      </c>
      <c r="AH8" s="107">
        <f>SUM(AH3:AH6)</f>
        <v/>
      </c>
      <c r="AI8" s="109">
        <f>V8/AH8</f>
        <v/>
      </c>
      <c r="AJ8" s="57">
        <f>SUM(AJ3:AJ6)</f>
        <v/>
      </c>
      <c r="AK8" s="57">
        <f>SUM(AK3:AK6)</f>
        <v/>
      </c>
      <c r="AL8" s="57">
        <f>SUM(AL3:AL6)</f>
        <v/>
      </c>
      <c r="AM8" s="107">
        <f>SUM(AM3:AM6)</f>
        <v/>
      </c>
      <c r="AN8" s="107">
        <f>SUM(AN3:AN6)</f>
        <v/>
      </c>
      <c r="AO8" s="107">
        <f>SUM(AO3:AO6)</f>
        <v/>
      </c>
      <c r="AP8" s="107">
        <f>SUM(AP3:AP6)</f>
        <v/>
      </c>
      <c r="AQ8" s="107" t="n"/>
      <c r="AR8" s="57">
        <f>SUM(AR3:AR6)</f>
        <v/>
      </c>
      <c r="AS8" s="57">
        <f>SUM(AS3:AS6)</f>
        <v/>
      </c>
      <c r="AT8" s="57" t="n"/>
      <c r="AU8" s="57">
        <f>SUM(AU3:AU6)</f>
        <v/>
      </c>
      <c r="AV8" s="57" t="n"/>
      <c r="AW8" s="57" t="n"/>
      <c r="AX8" s="57">
        <f>SUM(AX3:AX6)</f>
        <v/>
      </c>
      <c r="AY8" s="57">
        <f>SUM(AY3:AY6)</f>
        <v/>
      </c>
      <c r="AZ8" s="57">
        <f>SUM(AZ3:AZ6)</f>
        <v/>
      </c>
      <c r="BA8" s="57">
        <f>SUM(BA3:BA6)</f>
        <v/>
      </c>
      <c r="BB8" s="107">
        <f>SUM(BB3:BB6)</f>
        <v/>
      </c>
      <c r="BC8" s="107">
        <f>SUM(BC3:BC6)</f>
        <v/>
      </c>
      <c r="BD8" s="107" t="n"/>
      <c r="BE8" s="107">
        <f>BC8/BA8</f>
        <v/>
      </c>
      <c r="BF8" s="62">
        <f>AS8/AR8</f>
        <v/>
      </c>
      <c r="BG8" s="62">
        <f>AU8/AS8</f>
        <v/>
      </c>
      <c r="BH8" s="62">
        <f>AU8/AR8</f>
        <v/>
      </c>
      <c r="BI8" s="62">
        <f>AX8/AU8</f>
        <v/>
      </c>
      <c r="BJ8" s="62" t="n"/>
      <c r="BK8" s="62">
        <f>AVERAGE(BK3:BK6)</f>
        <v/>
      </c>
      <c r="BL8" s="62">
        <f>AZ8/AX8</f>
        <v/>
      </c>
      <c r="BM8" s="62">
        <f>AZ8/AR8</f>
        <v/>
      </c>
      <c r="BN8" s="62">
        <f>BA8/AR8</f>
        <v/>
      </c>
      <c r="BO8" s="57">
        <f>SUM(BO3:BO6)</f>
        <v/>
      </c>
      <c r="BP8" s="57">
        <f>SUM(BP3:BP6)</f>
        <v/>
      </c>
      <c r="BQ8" s="57">
        <f>SUM(BQ3:BQ6)</f>
        <v/>
      </c>
      <c r="BR8" s="107">
        <f>SUM(BR3:BR6)</f>
        <v/>
      </c>
      <c r="BS8" s="107">
        <f>SUM(BS3:BS6)</f>
        <v/>
      </c>
      <c r="BT8" s="107">
        <f>SUM(BT3:BT6)</f>
        <v/>
      </c>
      <c r="BU8" s="57">
        <f>SUM(BU3:BU6)</f>
        <v/>
      </c>
      <c r="BV8" s="57">
        <f>SUM(BV3:BV6)</f>
        <v/>
      </c>
      <c r="BW8" s="107">
        <f>SUM(BW3:BW6)</f>
        <v/>
      </c>
      <c r="BX8" s="107">
        <f>SUM(BX3:BX6)</f>
        <v/>
      </c>
      <c r="BY8" s="107" t="n"/>
      <c r="BZ8" s="107">
        <f>SUM(BZ3:BZ6)</f>
        <v/>
      </c>
      <c r="CA8" s="107">
        <f>SUM(CA3:CA6)</f>
        <v/>
      </c>
      <c r="CB8" s="107">
        <f>SUM(CB3:CB6)</f>
        <v/>
      </c>
      <c r="CC8" s="107">
        <f>SUM(CC3:CC6)</f>
        <v/>
      </c>
      <c r="CD8" s="107">
        <f>SUM(CD3:CD6)</f>
        <v/>
      </c>
      <c r="CE8" s="107">
        <f>SUM(CE3:CE6)</f>
        <v/>
      </c>
      <c r="CF8" s="109">
        <f>BW8/CE8</f>
        <v/>
      </c>
      <c r="CG8" s="109" t="n"/>
      <c r="CH8" s="107">
        <f>SUM(CH3:CH6)</f>
        <v/>
      </c>
      <c r="CI8" s="109">
        <f>BX8/CH8</f>
        <v/>
      </c>
      <c r="CJ8" s="107">
        <f>SUM(CJ3:CJ6)</f>
        <v/>
      </c>
      <c r="CK8" s="109">
        <f>BX8/CJ8</f>
        <v/>
      </c>
    </row>
    <row r="9" hidden="1" ht="30" customFormat="1" customHeight="1" s="40">
      <c r="I9" s="113" t="n"/>
      <c r="J9" s="113" t="n"/>
      <c r="U9" s="113" t="n"/>
      <c r="V9" s="113" t="n"/>
      <c r="X9" s="113" t="n"/>
      <c r="Y9" s="96" t="n"/>
      <c r="Z9" s="96" t="n"/>
      <c r="AA9" s="96" t="n"/>
      <c r="AB9" s="96" t="n"/>
      <c r="AC9" s="96" t="n"/>
      <c r="AD9" s="96" t="n"/>
      <c r="AE9" s="96" t="n"/>
      <c r="AF9" s="96" t="n"/>
      <c r="AG9" s="96" t="n"/>
      <c r="AH9" s="113" t="n"/>
      <c r="AI9" s="114" t="n"/>
      <c r="AM9" s="113" t="n"/>
      <c r="AN9" s="113" t="n"/>
      <c r="AO9" s="113" t="n"/>
      <c r="AP9" s="113" t="n"/>
      <c r="AQ9" s="113" t="n"/>
      <c r="BB9" s="113" t="n"/>
      <c r="BC9" s="113" t="n"/>
      <c r="BD9" s="113" t="n"/>
      <c r="BE9" s="113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R9" s="113" t="n"/>
      <c r="BS9" s="113" t="n"/>
      <c r="BT9" s="113" t="n"/>
      <c r="BW9" s="113" t="n"/>
      <c r="BX9" s="113" t="n"/>
      <c r="BY9" s="113" t="n"/>
      <c r="BZ9" s="113" t="n"/>
      <c r="CA9" s="113" t="n"/>
      <c r="CB9" s="113" t="n"/>
      <c r="CC9" s="113" t="n"/>
      <c r="CD9" s="113" t="n"/>
      <c r="CE9" s="113" t="n"/>
      <c r="CF9" s="114" t="n"/>
      <c r="CG9" s="114" t="n"/>
      <c r="CH9" s="113" t="n"/>
      <c r="CI9" s="114" t="n"/>
      <c r="CJ9" s="113" t="n"/>
      <c r="CK9" s="114" t="n"/>
    </row>
    <row r="10" ht="30" customFormat="1" customHeight="1" s="90">
      <c r="I10" s="115" t="n"/>
      <c r="J10" s="115" t="n"/>
      <c r="U10" s="115" t="n"/>
      <c r="V10" s="115" t="n"/>
      <c r="X10" s="115" t="n"/>
      <c r="Y10" s="100" t="n"/>
      <c r="Z10" s="100" t="n"/>
      <c r="AA10" s="100" t="n"/>
      <c r="AB10" s="100" t="n"/>
      <c r="AC10" s="100" t="n"/>
      <c r="AD10" s="100" t="n"/>
      <c r="AE10" s="100" t="n"/>
      <c r="AF10" s="100" t="n"/>
      <c r="AG10" s="100" t="n"/>
      <c r="AH10" s="115" t="n"/>
      <c r="AI10" s="116" t="n"/>
      <c r="AM10" s="115" t="n"/>
      <c r="AN10" s="115" t="n"/>
      <c r="AO10" s="115" t="n"/>
      <c r="AP10" s="115" t="n"/>
      <c r="AQ10" s="115" t="n"/>
      <c r="BB10" s="115" t="n"/>
      <c r="BC10" s="115" t="n"/>
      <c r="BD10" s="115" t="n"/>
      <c r="BE10" s="115" t="n"/>
      <c r="BF10" s="102" t="n"/>
      <c r="BG10" s="102" t="n"/>
      <c r="BH10" s="102" t="n"/>
      <c r="BI10" s="102" t="n"/>
      <c r="BJ10" s="102" t="n"/>
      <c r="BK10" s="102" t="n"/>
      <c r="BL10" s="102" t="n"/>
      <c r="BM10" s="102" t="n"/>
      <c r="BN10" s="102" t="n"/>
      <c r="BR10" s="115" t="n"/>
      <c r="BS10" s="115" t="n"/>
      <c r="BT10" s="115" t="n"/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6" t="n"/>
      <c r="CG10" s="116" t="n"/>
      <c r="CH10" s="115" t="n"/>
      <c r="CI10" s="116" t="n"/>
      <c r="CJ10" s="115" t="n"/>
      <c r="CK10" s="116" t="n"/>
    </row>
    <row r="11" ht="28" customFormat="1" customHeight="1" s="41">
      <c r="B11" s="42" t="n"/>
      <c r="C11" s="43" t="n"/>
      <c r="D11" s="43" t="n"/>
      <c r="E11" s="43" t="n"/>
      <c r="F11" s="43" t="n"/>
      <c r="G11" s="44" t="n"/>
      <c r="H11" s="43" t="n"/>
      <c r="I11" s="103" t="inlineStr">
        <is>
          <t>主投</t>
        </is>
      </c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  <c r="AI11" s="105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49" t="inlineStr">
        <is>
          <t>辅投</t>
        </is>
      </c>
      <c r="AS11" s="104" t="n"/>
      <c r="AT11" s="104" t="n"/>
      <c r="AU11" s="104" t="n"/>
      <c r="AV11" s="104" t="n"/>
      <c r="AW11" s="104" t="n"/>
      <c r="AX11" s="104" t="n"/>
      <c r="AY11" s="104" t="n"/>
      <c r="AZ11" s="104" t="n"/>
      <c r="BA11" s="104" t="n"/>
      <c r="BB11" s="104" t="n"/>
      <c r="BC11" s="104" t="n"/>
      <c r="BD11" s="104" t="n"/>
      <c r="BE11" s="104" t="n"/>
      <c r="BF11" s="104" t="n"/>
      <c r="BG11" s="104" t="n"/>
      <c r="BH11" s="104" t="n"/>
      <c r="BI11" s="104" t="n"/>
      <c r="BJ11" s="104" t="n"/>
      <c r="BK11" s="104" t="n"/>
      <c r="BL11" s="104" t="n"/>
      <c r="BM11" s="104" t="n"/>
      <c r="BN11" s="104" t="n"/>
      <c r="BO11" s="74" t="n"/>
      <c r="BP11" s="74" t="n"/>
      <c r="BQ11" s="74" t="n"/>
      <c r="BR11" s="74" t="n"/>
      <c r="BS11" s="74" t="n"/>
      <c r="BT11" s="74" t="n"/>
      <c r="BU11" s="74" t="n"/>
      <c r="BV11" s="75" t="n"/>
      <c r="BW11" s="106" t="inlineStr">
        <is>
          <t>汇总</t>
        </is>
      </c>
      <c r="BX11" s="104" t="n"/>
      <c r="BY11" s="104" t="n"/>
      <c r="BZ11" s="104" t="n"/>
      <c r="CA11" s="104" t="n"/>
      <c r="CB11" s="104" t="n"/>
      <c r="CC11" s="104" t="n"/>
      <c r="CD11" s="104" t="n"/>
      <c r="CE11" s="104" t="n"/>
      <c r="CF11" s="104" t="n"/>
      <c r="CG11" s="104" t="n"/>
      <c r="CH11" s="104" t="n"/>
      <c r="CI11" s="104" t="n"/>
      <c r="CJ11" s="104" t="n"/>
      <c r="CK11" s="105" t="n"/>
    </row>
    <row r="12" ht="54.75" customFormat="1" customHeight="1" s="89">
      <c r="B12" s="91" t="inlineStr">
        <is>
          <t>渠道组</t>
        </is>
      </c>
      <c r="C12" s="91" t="inlineStr">
        <is>
          <t>供应商</t>
        </is>
      </c>
      <c r="D12" s="91" t="inlineStr">
        <is>
          <t>渠道名称</t>
        </is>
      </c>
      <c r="E12" s="91" t="inlineStr">
        <is>
          <t>主投</t>
        </is>
      </c>
      <c r="F12" s="91" t="inlineStr">
        <is>
          <t>辅投</t>
        </is>
      </c>
      <c r="G12" s="91" t="inlineStr">
        <is>
          <t>结算方式</t>
        </is>
      </c>
      <c r="H12" s="91" t="inlineStr">
        <is>
          <t>滚动消耗</t>
        </is>
      </c>
      <c r="I12" s="91" t="inlineStr">
        <is>
          <t>滚动消耗(不含赠课成本)</t>
        </is>
      </c>
      <c r="J12" s="91" t="inlineStr">
        <is>
          <t>单例子成本</t>
        </is>
      </c>
      <c r="K12" s="91" t="inlineStr">
        <is>
          <t>例子数</t>
        </is>
      </c>
      <c r="L12" s="91" t="inlineStr">
        <is>
          <t>分发数</t>
        </is>
      </c>
      <c r="M12" s="91" t="inlineStr">
        <is>
          <t>剔除毛例子
分发数</t>
        </is>
      </c>
      <c r="N12" s="91" t="inlineStr">
        <is>
          <t>约课数</t>
        </is>
      </c>
      <c r="O12" s="91" t="inlineStr">
        <is>
          <t>应到课数</t>
        </is>
      </c>
      <c r="P12" s="91" t="inlineStr">
        <is>
          <t>滚动应到课数</t>
        </is>
      </c>
      <c r="Q12" s="91" t="inlineStr">
        <is>
          <t>到课数</t>
        </is>
      </c>
      <c r="R12" s="91" t="inlineStr">
        <is>
          <t>滚动到课数</t>
        </is>
      </c>
      <c r="S12" s="91" t="inlineStr">
        <is>
          <t>当月成交数</t>
        </is>
      </c>
      <c r="T12" s="91" t="inlineStr">
        <is>
          <t>滚动成交数</t>
        </is>
      </c>
      <c r="U12" s="91" t="inlineStr">
        <is>
          <t>当月GMV</t>
        </is>
      </c>
      <c r="V12" s="91" t="inlineStr">
        <is>
          <t>滚动GMV</t>
        </is>
      </c>
      <c r="W12" s="91" t="inlineStr">
        <is>
          <t>海外GMV占比</t>
        </is>
      </c>
      <c r="X12" s="91" t="inlineStr">
        <is>
          <t>滚动ASP</t>
        </is>
      </c>
      <c r="Y12" s="91" t="inlineStr">
        <is>
          <t>例子分发率</t>
        </is>
      </c>
      <c r="Z12" s="91" t="inlineStr">
        <is>
          <t>分发约课率</t>
        </is>
      </c>
      <c r="AA12" s="91" t="inlineStr">
        <is>
          <t>例子约课率</t>
        </is>
      </c>
      <c r="AB12" s="91" t="inlineStr">
        <is>
          <t>约课到课率</t>
        </is>
      </c>
      <c r="AC12" s="91" t="inlineStr">
        <is>
          <t>应到课率</t>
        </is>
      </c>
      <c r="AD12" s="91" t="inlineStr">
        <is>
          <t>滚动应到课率</t>
        </is>
      </c>
      <c r="AE12" s="91" t="inlineStr">
        <is>
          <t>到课转化率</t>
        </is>
      </c>
      <c r="AF12" s="91" t="inlineStr">
        <is>
          <t>注册转化率</t>
        </is>
      </c>
      <c r="AG12" s="91" t="inlineStr">
        <is>
          <t>滚动转化率</t>
        </is>
      </c>
      <c r="AH12" s="91" t="inlineStr">
        <is>
          <t>滚动ROI2总成本</t>
        </is>
      </c>
      <c r="AI12" s="91" t="inlineStr">
        <is>
          <t>滚动ROI2</t>
        </is>
      </c>
      <c r="AJ12" s="91" t="inlineStr">
        <is>
          <t>滚动应到课人数</t>
        </is>
      </c>
      <c r="AK12" s="91" t="inlineStr">
        <is>
          <t>滚动到课人数</t>
        </is>
      </c>
      <c r="AL12" s="91" t="inlineStr">
        <is>
          <t>滚动到课人次</t>
        </is>
      </c>
      <c r="AM12" s="91" t="inlineStr">
        <is>
          <t>运营成本</t>
        </is>
      </c>
      <c r="AN12" s="91" t="inlineStr">
        <is>
          <t>销售固定成本</t>
        </is>
      </c>
      <c r="AO12" s="91" t="inlineStr">
        <is>
          <t>销售变动成本</t>
        </is>
      </c>
      <c r="AP12" s="91" t="inlineStr">
        <is>
          <t>TMK费用</t>
        </is>
      </c>
      <c r="AQ12" s="91" t="inlineStr">
        <is>
          <t>DEMO费用</t>
        </is>
      </c>
      <c r="AR12" s="91" t="inlineStr">
        <is>
          <t>例子数</t>
        </is>
      </c>
      <c r="AS12" s="91" t="inlineStr">
        <is>
          <t>分发数</t>
        </is>
      </c>
      <c r="AT12" s="91" t="inlineStr">
        <is>
          <t>剔除毛例子分发数</t>
        </is>
      </c>
      <c r="AU12" s="91" t="inlineStr">
        <is>
          <t>约课数</t>
        </is>
      </c>
      <c r="AV12" s="91" t="inlineStr">
        <is>
          <t>应到课数</t>
        </is>
      </c>
      <c r="AW12" s="91" t="inlineStr">
        <is>
          <t>滚动应到课数</t>
        </is>
      </c>
      <c r="AX12" s="91" t="inlineStr">
        <is>
          <t>到课数</t>
        </is>
      </c>
      <c r="AY12" s="91" t="inlineStr">
        <is>
          <t>滚动到课数</t>
        </is>
      </c>
      <c r="AZ12" s="91" t="inlineStr">
        <is>
          <t>当月成交</t>
        </is>
      </c>
      <c r="BA12" s="91" t="inlineStr">
        <is>
          <t>滚动成交数</t>
        </is>
      </c>
      <c r="BB12" s="91" t="inlineStr">
        <is>
          <t>当月GMV</t>
        </is>
      </c>
      <c r="BC12" s="91" t="inlineStr">
        <is>
          <t>滚动GMV</t>
        </is>
      </c>
      <c r="BD12" s="91" t="inlineStr">
        <is>
          <t>海外GMV占比</t>
        </is>
      </c>
      <c r="BE12" s="91" t="inlineStr">
        <is>
          <t>滚动ASP</t>
        </is>
      </c>
      <c r="BF12" s="91" t="inlineStr">
        <is>
          <t>例子分发率</t>
        </is>
      </c>
      <c r="BG12" s="91" t="inlineStr">
        <is>
          <t>分发约课率</t>
        </is>
      </c>
      <c r="BH12" s="91" t="inlineStr">
        <is>
          <t>例子约课率</t>
        </is>
      </c>
      <c r="BI12" s="91" t="inlineStr">
        <is>
          <t>约课到课率</t>
        </is>
      </c>
      <c r="BJ12" s="91" t="inlineStr">
        <is>
          <t>应到课率</t>
        </is>
      </c>
      <c r="BK12" s="91" t="inlineStr">
        <is>
          <t>滚动应到课率</t>
        </is>
      </c>
      <c r="BL12" s="91" t="inlineStr">
        <is>
          <t>到课转化率</t>
        </is>
      </c>
      <c r="BM12" s="91" t="inlineStr">
        <is>
          <t>注册转化率</t>
        </is>
      </c>
      <c r="BN12" s="91" t="inlineStr">
        <is>
          <t>滚动转化率</t>
        </is>
      </c>
      <c r="BO12" s="91" t="inlineStr">
        <is>
          <t>滚动应到课人数</t>
        </is>
      </c>
      <c r="BP12" s="91" t="inlineStr">
        <is>
          <t>滚动到课人数</t>
        </is>
      </c>
      <c r="BQ12" s="91" t="inlineStr">
        <is>
          <t>滚动到课人次</t>
        </is>
      </c>
      <c r="BR12" s="91" t="inlineStr">
        <is>
          <t>运营成本</t>
        </is>
      </c>
      <c r="BS12" s="91" t="inlineStr">
        <is>
          <t>销售固定成本</t>
        </is>
      </c>
      <c r="BT12" s="91" t="inlineStr">
        <is>
          <t>销售变动成本</t>
        </is>
      </c>
      <c r="BU12" s="91" t="inlineStr">
        <is>
          <t>TMK费用</t>
        </is>
      </c>
      <c r="BV12" s="91" t="inlineStr">
        <is>
          <t>DEMO费用</t>
        </is>
      </c>
      <c r="BW12" s="91" t="inlineStr">
        <is>
          <t>当月GMV</t>
        </is>
      </c>
      <c r="BX12" s="91" t="inlineStr">
        <is>
          <t>滚动GMV</t>
        </is>
      </c>
      <c r="BY12" s="91" t="inlineStr">
        <is>
          <t>海外GMV占比</t>
        </is>
      </c>
      <c r="BZ12" s="91" t="inlineStr">
        <is>
          <t>滚动其他成本</t>
        </is>
      </c>
      <c r="CA12" s="91" t="inlineStr">
        <is>
          <t>同源其他成本</t>
        </is>
      </c>
      <c r="CB12" s="91" t="inlineStr">
        <is>
          <t>运营成本</t>
        </is>
      </c>
      <c r="CC12" s="91" t="inlineStr">
        <is>
          <t>滚动消耗</t>
        </is>
      </c>
      <c r="CD12" s="91" t="inlineStr">
        <is>
          <t>同源消耗</t>
        </is>
      </c>
      <c r="CE12" s="91" t="inlineStr">
        <is>
          <t>当月ROI2总成本</t>
        </is>
      </c>
      <c r="CF12" s="91" t="inlineStr">
        <is>
          <t>当月ROI2</t>
        </is>
      </c>
      <c r="CG12" s="91" t="inlineStr">
        <is>
          <t>滚动赠课成本</t>
        </is>
      </c>
      <c r="CH12" s="91" t="inlineStr">
        <is>
          <t>滚动ROI2总成本</t>
        </is>
      </c>
      <c r="CI12" s="91" t="inlineStr">
        <is>
          <t>滚动ROI2</t>
        </is>
      </c>
      <c r="CJ12" s="91" t="inlineStr">
        <is>
          <t>O-ROI总成本</t>
        </is>
      </c>
      <c r="CK12" s="91" t="inlineStr">
        <is>
          <t>O-ROI</t>
        </is>
      </c>
      <c r="CL12" s="89" t="inlineStr">
        <is>
          <t xml:space="preserve">   </t>
        </is>
      </c>
    </row>
    <row r="13" ht="16.5" customFormat="1" customHeight="1" s="39">
      <c r="A13" s="63" t="n">
        <v>45627</v>
      </c>
      <c r="B13" s="57" t="n"/>
      <c r="C13" s="57" t="n"/>
      <c r="D13" s="57" t="inlineStr">
        <is>
          <t>总计</t>
        </is>
      </c>
      <c r="E13" s="57" t="inlineStr">
        <is>
          <t>-</t>
        </is>
      </c>
      <c r="F13" s="57" t="inlineStr">
        <is>
          <t>-</t>
        </is>
      </c>
      <c r="G13" s="57" t="inlineStr">
        <is>
          <t>-</t>
        </is>
      </c>
      <c r="H13" s="57">
        <f>I13</f>
        <v/>
      </c>
      <c r="I13" s="107">
        <f>8433.33333333333+25306</f>
        <v/>
      </c>
      <c r="J13" s="107">
        <f>I13/K13</f>
        <v/>
      </c>
      <c r="K13" s="57" t="n">
        <v>191</v>
      </c>
      <c r="L13" s="57" t="n">
        <v>138</v>
      </c>
      <c r="M13" s="57" t="n">
        <v>139</v>
      </c>
      <c r="N13" s="57" t="n">
        <v>91</v>
      </c>
      <c r="O13" s="57" t="n"/>
      <c r="P13" s="57" t="n"/>
      <c r="Q13" s="57" t="n">
        <v>63</v>
      </c>
      <c r="R13" s="57" t="n">
        <v>63</v>
      </c>
      <c r="S13" s="57" t="n">
        <v>15</v>
      </c>
      <c r="T13" s="57" t="n">
        <v>15</v>
      </c>
      <c r="U13" s="107" t="n">
        <v>59520</v>
      </c>
      <c r="V13" s="107" t="n">
        <v>59520</v>
      </c>
      <c r="W13" s="108" t="n">
        <v>1</v>
      </c>
      <c r="X13" s="107" t="n">
        <v>3968</v>
      </c>
      <c r="Y13" s="108" t="n">
        <v>0.722513089005236</v>
      </c>
      <c r="Z13" s="108" t="n">
        <v>0.6594202898550729</v>
      </c>
      <c r="AA13" s="108" t="n">
        <v>0.476439790575916</v>
      </c>
      <c r="AB13" s="108" t="n">
        <v>0.692307692307692</v>
      </c>
      <c r="AC13" s="108" t="n"/>
      <c r="AD13" s="108" t="n">
        <v>0.954545454545455</v>
      </c>
      <c r="AE13" s="108" t="n">
        <v>0.238095238095238</v>
      </c>
      <c r="AF13" s="108" t="n">
        <v>0.07853403141361261</v>
      </c>
      <c r="AG13" s="108" t="n">
        <v>0.07853403141361261</v>
      </c>
      <c r="AH13" s="107" t="n">
        <v>50677.9404614262</v>
      </c>
      <c r="AI13" s="109" t="n">
        <v>1.17447551060809</v>
      </c>
      <c r="AJ13" s="57" t="n">
        <v>66</v>
      </c>
      <c r="AK13" s="57" t="n">
        <v>63</v>
      </c>
      <c r="AL13" s="57" t="n">
        <v>69</v>
      </c>
      <c r="AM13" s="107" t="n">
        <v>11246.6627859731</v>
      </c>
      <c r="AN13" s="107" t="n">
        <v>16717.3829385064</v>
      </c>
      <c r="AO13" s="107" t="n">
        <v>6655.17065247826</v>
      </c>
      <c r="AP13" s="107" t="n">
        <v>1780.98840107896</v>
      </c>
      <c r="AQ13" s="107" t="n">
        <v>5844.40235005614</v>
      </c>
      <c r="AR13" s="57" t="n">
        <v>190</v>
      </c>
      <c r="AS13" s="57" t="n">
        <v>26</v>
      </c>
      <c r="AT13" s="57" t="n">
        <v>26</v>
      </c>
      <c r="AU13" s="57" t="n">
        <v>31</v>
      </c>
      <c r="AV13" s="57" t="n"/>
      <c r="AW13" s="57" t="n"/>
      <c r="AX13" s="57" t="n">
        <v>23</v>
      </c>
      <c r="AY13" s="57" t="n">
        <v>23</v>
      </c>
      <c r="AZ13" s="57" t="n">
        <v>3</v>
      </c>
      <c r="BA13" s="57" t="n">
        <v>3</v>
      </c>
      <c r="BB13" s="107" t="n">
        <v>12498.4</v>
      </c>
      <c r="BC13" s="107" t="n">
        <v>12498.4</v>
      </c>
      <c r="BD13" s="108" t="n">
        <v>1</v>
      </c>
      <c r="BE13" s="107" t="n">
        <v>4166.13333333333</v>
      </c>
      <c r="BF13" s="108" t="n">
        <v>0.136842105263158</v>
      </c>
      <c r="BG13" s="108" t="n">
        <v>1.19230769230769</v>
      </c>
      <c r="BH13" s="108" t="n">
        <v>0.163157894736842</v>
      </c>
      <c r="BI13" s="108" t="n">
        <v>0.741935483870968</v>
      </c>
      <c r="BJ13" s="108" t="n"/>
      <c r="BK13" s="108" t="n">
        <v>0.7666666666666671</v>
      </c>
      <c r="BL13" s="108" t="n">
        <v>0.130434782608696</v>
      </c>
      <c r="BM13" s="108" t="n">
        <v>0.0157894736842105</v>
      </c>
      <c r="BN13" s="108" t="n">
        <v>0.0157894736842105</v>
      </c>
      <c r="BO13" s="57" t="n">
        <v>30</v>
      </c>
      <c r="BP13" s="57" t="n">
        <v>23</v>
      </c>
      <c r="BQ13" s="57" t="n">
        <v>23</v>
      </c>
      <c r="BR13" s="107" t="n">
        <v>8938.117831260841</v>
      </c>
      <c r="BS13" s="107" t="n">
        <v>4012.00658047158</v>
      </c>
      <c r="BT13" s="107" t="n">
        <v>1313.28142538039</v>
      </c>
      <c r="BU13" s="107" t="n">
        <v>1852.5288164814</v>
      </c>
      <c r="BV13" s="107" t="n">
        <v>1979.68746308561</v>
      </c>
      <c r="BW13" s="107" t="n">
        <v>72018.39999999999</v>
      </c>
      <c r="BX13" s="107" t="n">
        <v>72018.39999999999</v>
      </c>
      <c r="BY13" s="108" t="n">
        <v>1</v>
      </c>
      <c r="BZ13" s="107" t="n">
        <v>40155.4486275387</v>
      </c>
      <c r="CA13" s="107" t="n">
        <v>40035.1796855351</v>
      </c>
      <c r="CB13" s="107" t="n">
        <v>20184.7806172339</v>
      </c>
      <c r="CC13" s="107" t="n">
        <v>33739.3333333333</v>
      </c>
      <c r="CD13" s="107" t="n">
        <v>33739.3333333333</v>
      </c>
      <c r="CE13" s="107">
        <f>CA13+CB13+CD13</f>
        <v/>
      </c>
      <c r="CF13" s="109">
        <f>BW13/CE13</f>
        <v/>
      </c>
      <c r="CG13" s="109" t="n"/>
      <c r="CH13" s="107">
        <f>BZ13+CB13+CC13</f>
        <v/>
      </c>
      <c r="CI13" s="109">
        <f>BX13/CH13</f>
        <v/>
      </c>
      <c r="CJ13" s="107" t="n">
        <v>77472.3978516776</v>
      </c>
      <c r="CK13" s="109" t="n">
        <v>0.9296007610075609</v>
      </c>
    </row>
    <row r="14" ht="16.5" customFormat="1" customHeight="1" s="39">
      <c r="A14" s="63" t="n">
        <v>45658</v>
      </c>
      <c r="B14" s="57" t="n"/>
      <c r="C14" s="57" t="n"/>
      <c r="D14" s="57" t="inlineStr">
        <is>
          <t>总计</t>
        </is>
      </c>
      <c r="E14" s="57" t="inlineStr">
        <is>
          <t>-</t>
        </is>
      </c>
      <c r="F14" s="57" t="inlineStr">
        <is>
          <t>-</t>
        </is>
      </c>
      <c r="G14" s="57" t="inlineStr">
        <is>
          <t>-</t>
        </is>
      </c>
      <c r="H14" s="57">
        <f>I14</f>
        <v/>
      </c>
      <c r="I14" s="107" t="n">
        <v>40591.5233333333</v>
      </c>
      <c r="J14" s="107">
        <f>I14/K14</f>
        <v/>
      </c>
      <c r="K14" s="57" t="n">
        <v>118</v>
      </c>
      <c r="L14" s="57" t="n">
        <v>45</v>
      </c>
      <c r="M14" s="57" t="n">
        <v>48</v>
      </c>
      <c r="N14" s="57" t="n">
        <v>48</v>
      </c>
      <c r="O14" s="57" t="n"/>
      <c r="P14" s="57" t="n"/>
      <c r="Q14" s="57" t="n">
        <v>40</v>
      </c>
      <c r="R14" s="57" t="n">
        <v>51</v>
      </c>
      <c r="S14" s="57" t="n">
        <v>14</v>
      </c>
      <c r="T14" s="57" t="n">
        <v>15</v>
      </c>
      <c r="U14" s="107" t="n">
        <v>69532</v>
      </c>
      <c r="V14" s="107" t="n">
        <v>73220</v>
      </c>
      <c r="W14" s="108" t="n">
        <v>1</v>
      </c>
      <c r="X14" s="107" t="n">
        <v>4881.33333333333</v>
      </c>
      <c r="Y14" s="108" t="n">
        <v>0.38135593220339</v>
      </c>
      <c r="Z14" s="108" t="n">
        <v>1.06666666666667</v>
      </c>
      <c r="AA14" s="108" t="n">
        <v>0.406779661016949</v>
      </c>
      <c r="AB14" s="108" t="n">
        <v>0.833333333333333</v>
      </c>
      <c r="AC14" s="108" t="n"/>
      <c r="AD14" s="108" t="n">
        <v>0.962264150943396</v>
      </c>
      <c r="AE14" s="108" t="n">
        <v>0.35</v>
      </c>
      <c r="AF14" s="108" t="n">
        <v>0.11864406779661</v>
      </c>
      <c r="AG14" s="108" t="n">
        <v>0.127118644067797</v>
      </c>
      <c r="AH14" s="107" t="n">
        <v>73894.2325697104</v>
      </c>
      <c r="AI14" s="109" t="n">
        <v>0.990875707802035</v>
      </c>
      <c r="AJ14" s="57" t="n">
        <v>53</v>
      </c>
      <c r="AK14" s="57" t="n">
        <v>51</v>
      </c>
      <c r="AL14" s="57" t="n">
        <v>57</v>
      </c>
      <c r="AM14" s="107" t="n">
        <v>14457.6816189274</v>
      </c>
      <c r="AN14" s="107" t="n">
        <v>6861.75923404906</v>
      </c>
      <c r="AO14" s="107" t="n">
        <v>6045.51771701795</v>
      </c>
      <c r="AP14" s="107" t="n">
        <v>1310.92595531309</v>
      </c>
      <c r="AQ14" s="107" t="n">
        <v>4626.82471106961</v>
      </c>
      <c r="AR14" s="57" t="n">
        <v>118</v>
      </c>
      <c r="AS14" s="57" t="n">
        <v>30</v>
      </c>
      <c r="AT14" s="57" t="n">
        <v>36</v>
      </c>
      <c r="AU14" s="57" t="n">
        <v>29</v>
      </c>
      <c r="AV14" s="57" t="n"/>
      <c r="AW14" s="57" t="n"/>
      <c r="AX14" s="57" t="n">
        <v>17</v>
      </c>
      <c r="AY14" s="57" t="n">
        <v>19</v>
      </c>
      <c r="AZ14" s="57" t="n">
        <v>2</v>
      </c>
      <c r="BA14" s="57" t="n">
        <v>2</v>
      </c>
      <c r="BB14" s="107" t="n">
        <v>6529.2</v>
      </c>
      <c r="BC14" s="107" t="n">
        <v>6529.2</v>
      </c>
      <c r="BD14" s="108" t="n">
        <v>1</v>
      </c>
      <c r="BE14" s="107" t="n">
        <v>3264.6</v>
      </c>
      <c r="BF14" s="108" t="n">
        <v>0.254237288135593</v>
      </c>
      <c r="BG14" s="108" t="n">
        <v>0.966666666666667</v>
      </c>
      <c r="BH14" s="108" t="n">
        <v>0.245762711864407</v>
      </c>
      <c r="BI14" s="108" t="n">
        <v>0.586206896551724</v>
      </c>
      <c r="BJ14" s="108" t="n"/>
      <c r="BK14" s="108" t="n">
        <v>0.5588235294117651</v>
      </c>
      <c r="BL14" s="108" t="n">
        <v>0.117647058823529</v>
      </c>
      <c r="BM14" s="108" t="n">
        <v>0.0169491525423729</v>
      </c>
      <c r="BN14" s="108" t="n">
        <v>0.0169491525423729</v>
      </c>
      <c r="BO14" s="57" t="n">
        <v>34</v>
      </c>
      <c r="BP14" s="57" t="n">
        <v>19</v>
      </c>
      <c r="BQ14" s="57" t="n">
        <v>20</v>
      </c>
      <c r="BR14" s="107" t="n">
        <v>13719.9167413021</v>
      </c>
      <c r="BS14" s="107" t="n">
        <v>3869.15867118522</v>
      </c>
      <c r="BT14" s="107" t="n">
        <v>610.135024352986</v>
      </c>
      <c r="BU14" s="107" t="n">
        <v>1310.92595531309</v>
      </c>
      <c r="BV14" s="107" t="n">
        <v>1631.0458894417</v>
      </c>
      <c r="BW14" s="107" t="n">
        <v>76061.2</v>
      </c>
      <c r="BX14" s="107" t="n">
        <v>79749.2</v>
      </c>
      <c r="BY14" s="108" t="n">
        <v>1</v>
      </c>
      <c r="BZ14" s="107" t="n">
        <v>26266.2931577427</v>
      </c>
      <c r="CA14" s="107" t="n">
        <v>23750.8952970845</v>
      </c>
      <c r="CB14" s="107" t="n">
        <v>28177.5983602295</v>
      </c>
      <c r="CC14" s="107" t="n">
        <v>40591.5233333333</v>
      </c>
      <c r="CD14" s="107" t="n">
        <v>40591.5233333333</v>
      </c>
      <c r="CE14" s="107" t="n">
        <v>92520.0169906473</v>
      </c>
      <c r="CF14" s="109" t="n">
        <v>0.822105339730849</v>
      </c>
      <c r="CG14" s="109" t="n"/>
      <c r="CH14" s="107" t="n">
        <v>95035.4148513055</v>
      </c>
      <c r="CI14" s="109" t="n">
        <v>0.839152437275908</v>
      </c>
      <c r="CJ14" s="107" t="n">
        <v>84557.816491076</v>
      </c>
      <c r="CK14" s="109" t="n">
        <v>0.943132205979048</v>
      </c>
    </row>
    <row r="15" ht="16.5" customFormat="1" customHeight="1" s="39">
      <c r="A15" s="63" t="n">
        <v>45690</v>
      </c>
      <c r="B15" s="57" t="n"/>
      <c r="C15" s="57" t="n"/>
      <c r="D15" s="57" t="inlineStr">
        <is>
          <t>总计</t>
        </is>
      </c>
      <c r="E15" s="57" t="inlineStr">
        <is>
          <t>-</t>
        </is>
      </c>
      <c r="F15" s="57" t="inlineStr">
        <is>
          <t>-</t>
        </is>
      </c>
      <c r="G15" s="57" t="inlineStr">
        <is>
          <t>-</t>
        </is>
      </c>
      <c r="H15" s="57">
        <f>I15</f>
        <v/>
      </c>
      <c r="I15" s="107" t="n">
        <v>48635.0861033333</v>
      </c>
      <c r="J15" s="107">
        <f>I15/K15</f>
        <v/>
      </c>
      <c r="K15" s="57" t="n">
        <v>181</v>
      </c>
      <c r="L15" s="57" t="n">
        <v>85</v>
      </c>
      <c r="M15" s="57" t="n">
        <v>86</v>
      </c>
      <c r="N15" s="57" t="n">
        <v>90</v>
      </c>
      <c r="O15" s="57" t="n"/>
      <c r="P15" s="57" t="n"/>
      <c r="Q15" s="57" t="n">
        <v>64</v>
      </c>
      <c r="R15" s="57" t="n">
        <v>72</v>
      </c>
      <c r="S15" s="57" t="n">
        <v>23</v>
      </c>
      <c r="T15" s="57" t="n">
        <v>27</v>
      </c>
      <c r="U15" s="107" t="n">
        <v>118186.4</v>
      </c>
      <c r="V15" s="107" t="n">
        <v>138838.4</v>
      </c>
      <c r="W15" s="108" t="n">
        <v>1</v>
      </c>
      <c r="X15" s="107" t="n">
        <v>5142.16296296296</v>
      </c>
      <c r="Y15" s="108" t="n">
        <v>0.469613259668508</v>
      </c>
      <c r="Z15" s="108" t="n">
        <v>1.05882352941176</v>
      </c>
      <c r="AA15" s="108" t="n">
        <v>0.497237569060773</v>
      </c>
      <c r="AB15" s="108" t="n">
        <v>0.711111111111111</v>
      </c>
      <c r="AC15" s="108" t="n"/>
      <c r="AD15" s="108" t="n">
        <v>0.947368421052632</v>
      </c>
      <c r="AE15" s="108" t="n">
        <v>0.359375</v>
      </c>
      <c r="AF15" s="108" t="n">
        <v>0.12707182320442</v>
      </c>
      <c r="AG15" s="108" t="n">
        <v>0.149171270718232</v>
      </c>
      <c r="AH15" s="107" t="n">
        <v>93016.8634697277</v>
      </c>
      <c r="AI15" s="109" t="n">
        <v>1.49261536909579</v>
      </c>
      <c r="AJ15" s="57" t="n">
        <v>76</v>
      </c>
      <c r="AK15" s="57" t="n">
        <v>72</v>
      </c>
      <c r="AL15" s="57" t="n">
        <v>78</v>
      </c>
      <c r="AM15" s="107" t="n">
        <v>12471.9869230104</v>
      </c>
      <c r="AN15" s="107" t="n">
        <v>11124.3570295107</v>
      </c>
      <c r="AO15" s="107" t="n">
        <v>12886.1590161125</v>
      </c>
      <c r="AP15" s="107" t="n">
        <v>1250.36644264402</v>
      </c>
      <c r="AQ15" s="107" t="n">
        <v>6648.90795511673</v>
      </c>
      <c r="AR15" s="57" t="n">
        <v>164</v>
      </c>
      <c r="AS15" s="57" t="n">
        <v>46</v>
      </c>
      <c r="AT15" s="57" t="n">
        <v>49</v>
      </c>
      <c r="AU15" s="57" t="n">
        <v>52</v>
      </c>
      <c r="AV15" s="57" t="n"/>
      <c r="AW15" s="57" t="n"/>
      <c r="AX15" s="57" t="n">
        <v>21</v>
      </c>
      <c r="AY15" s="57" t="n">
        <v>24</v>
      </c>
      <c r="AZ15" s="57" t="n">
        <v>2</v>
      </c>
      <c r="BA15" s="57" t="n">
        <v>2</v>
      </c>
      <c r="BB15" s="107" t="n">
        <v>7176</v>
      </c>
      <c r="BC15" s="107" t="n">
        <v>7176</v>
      </c>
      <c r="BD15" s="108" t="n">
        <v>1</v>
      </c>
      <c r="BE15" s="107" t="n">
        <v>3588</v>
      </c>
      <c r="BF15" s="108" t="n">
        <v>0.280487804878049</v>
      </c>
      <c r="BG15" s="108" t="n">
        <v>1.1304347826087</v>
      </c>
      <c r="BH15" s="108" t="n">
        <v>0.317073170731707</v>
      </c>
      <c r="BI15" s="108" t="n">
        <v>0.403846153846154</v>
      </c>
      <c r="BJ15" s="108" t="n"/>
      <c r="BK15" s="108" t="n">
        <v>0.452830188679245</v>
      </c>
      <c r="BL15" s="108" t="n">
        <v>0.09523809523809521</v>
      </c>
      <c r="BM15" s="108" t="n">
        <v>0.0121951219512195</v>
      </c>
      <c r="BN15" s="108" t="n">
        <v>0.0121951219512195</v>
      </c>
      <c r="BO15" s="57" t="n">
        <v>53</v>
      </c>
      <c r="BP15" s="57" t="n">
        <v>24</v>
      </c>
      <c r="BQ15" s="57" t="n">
        <v>25</v>
      </c>
      <c r="BR15" s="107" t="n">
        <v>10653.5372943417</v>
      </c>
      <c r="BS15" s="107" t="n">
        <v>4401.1099203257</v>
      </c>
      <c r="BT15" s="107" t="n">
        <v>691.260040113532</v>
      </c>
      <c r="BU15" s="107" t="n">
        <v>1198.42397416643</v>
      </c>
      <c r="BV15" s="107" t="n">
        <v>1846.59136901451</v>
      </c>
      <c r="BW15" s="107" t="n">
        <v>125362.4</v>
      </c>
      <c r="BX15" s="107" t="n">
        <v>146014.4</v>
      </c>
      <c r="BY15" s="108" t="n">
        <v>1</v>
      </c>
      <c r="BZ15" s="107" t="n">
        <v>40047.1757470042</v>
      </c>
      <c r="CA15" s="107" t="n">
        <v>36742.7979204099</v>
      </c>
      <c r="CB15" s="107" t="n">
        <v>23125.524217352</v>
      </c>
      <c r="CC15" s="107" t="n">
        <v>48635.0861033333</v>
      </c>
      <c r="CD15" s="107" t="n">
        <v>48635.0861033333</v>
      </c>
      <c r="CE15" s="107" t="n">
        <v>108503.408241095</v>
      </c>
      <c r="CF15" s="109" t="n">
        <v>1.15537753174945</v>
      </c>
      <c r="CG15" s="109" t="n"/>
      <c r="CH15" s="107" t="n">
        <v>111807.78606769</v>
      </c>
      <c r="CI15" s="109" t="n">
        <v>1.30594125092148</v>
      </c>
      <c r="CJ15" s="107" t="n">
        <v>114557.261850337</v>
      </c>
      <c r="CK15" s="109" t="n">
        <v>1.27459750382965</v>
      </c>
    </row>
    <row r="16" ht="16.5" customFormat="1" customHeight="1" s="39">
      <c r="A16" s="63" t="n">
        <v>45718</v>
      </c>
      <c r="B16" s="57" t="n"/>
      <c r="C16" s="57" t="n"/>
      <c r="D16" s="57" t="inlineStr">
        <is>
          <t>总计</t>
        </is>
      </c>
      <c r="E16" s="57" t="inlineStr">
        <is>
          <t>-</t>
        </is>
      </c>
      <c r="F16" s="57" t="inlineStr">
        <is>
          <t>-</t>
        </is>
      </c>
      <c r="G16" s="57" t="inlineStr">
        <is>
          <t>-</t>
        </is>
      </c>
      <c r="H16" s="57">
        <f>I16</f>
        <v/>
      </c>
      <c r="I16" s="107" t="n">
        <v>113250.475533333</v>
      </c>
      <c r="J16" s="107" t="n">
        <v>380.035152796419</v>
      </c>
      <c r="K16" s="57" t="n">
        <v>298</v>
      </c>
      <c r="L16" s="57" t="n">
        <v>142</v>
      </c>
      <c r="M16" s="67" t="n">
        <v>146</v>
      </c>
      <c r="N16" s="57" t="n">
        <v>152</v>
      </c>
      <c r="O16" s="57" t="n"/>
      <c r="P16" s="57" t="n"/>
      <c r="Q16" s="57" t="n">
        <v>117</v>
      </c>
      <c r="R16" s="57" t="n">
        <v>132</v>
      </c>
      <c r="S16" s="57" t="n">
        <v>47</v>
      </c>
      <c r="T16" s="57" t="n">
        <v>55</v>
      </c>
      <c r="U16" s="107" t="n">
        <v>243836</v>
      </c>
      <c r="V16" s="107" t="n">
        <v>275640</v>
      </c>
      <c r="W16" s="108" t="n">
        <v>1</v>
      </c>
      <c r="X16" s="107" t="n">
        <v>5011.63636363636</v>
      </c>
      <c r="Y16" s="108" t="n">
        <v>0.476510067114094</v>
      </c>
      <c r="Z16" s="108" t="n">
        <v>1.07042253521127</v>
      </c>
      <c r="AA16" s="108" t="n">
        <v>0.51006711409396</v>
      </c>
      <c r="AB16" s="108" t="n">
        <v>0.7697368421052631</v>
      </c>
      <c r="AC16" s="108" t="n"/>
      <c r="AD16" s="108" t="n">
        <v>0.949640287769784</v>
      </c>
      <c r="AE16" s="108" t="n">
        <v>0.401709401709402</v>
      </c>
      <c r="AF16" s="108" t="n">
        <v>0.157718120805369</v>
      </c>
      <c r="AG16" s="108" t="n">
        <v>0.184563758389262</v>
      </c>
      <c r="AH16" s="107" t="n">
        <v>193914.567513752</v>
      </c>
      <c r="AI16" s="109" t="n">
        <v>1.42145071169268</v>
      </c>
      <c r="AJ16" s="57" t="n">
        <v>139</v>
      </c>
      <c r="AK16" s="57" t="n">
        <v>132</v>
      </c>
      <c r="AL16" s="57" t="n">
        <v>138</v>
      </c>
      <c r="AM16" s="107" t="n">
        <v>26635.9724486084</v>
      </c>
      <c r="AN16" s="107" t="n">
        <v>14433.4558828118</v>
      </c>
      <c r="AO16" s="107" t="n">
        <v>26387.4387871009</v>
      </c>
      <c r="AP16" s="107" t="n">
        <v>2005.4387193081</v>
      </c>
      <c r="AQ16" s="107" t="n">
        <v>11201.7861425896</v>
      </c>
      <c r="AR16" s="57" t="n">
        <v>18</v>
      </c>
      <c r="AS16" s="57" t="n">
        <v>17</v>
      </c>
      <c r="AT16" s="57" t="n">
        <v>25</v>
      </c>
      <c r="AU16" s="57" t="n">
        <v>17</v>
      </c>
      <c r="AV16" s="57" t="n"/>
      <c r="AW16" s="57" t="n"/>
      <c r="AX16" s="57" t="n">
        <v>10</v>
      </c>
      <c r="AY16" s="57" t="n">
        <v>13</v>
      </c>
      <c r="AZ16" s="57" t="n">
        <v>2</v>
      </c>
      <c r="BA16" s="57" t="n">
        <v>2</v>
      </c>
      <c r="BB16" s="107" t="n">
        <v>7735.2</v>
      </c>
      <c r="BC16" s="107" t="n">
        <v>7735.2</v>
      </c>
      <c r="BD16" s="108" t="n">
        <v>1</v>
      </c>
      <c r="BE16" s="107" t="n">
        <v>3867.6</v>
      </c>
      <c r="BF16" s="108" t="n">
        <v>0.944444444444444</v>
      </c>
      <c r="BG16" s="108" t="n">
        <v>1</v>
      </c>
      <c r="BH16" s="108" t="n">
        <v>0.944444444444444</v>
      </c>
      <c r="BI16" s="108" t="n">
        <v>0.588235294117647</v>
      </c>
      <c r="BJ16" s="108" t="n"/>
      <c r="BK16" s="108" t="n">
        <v>0.541666666666667</v>
      </c>
      <c r="BL16" s="108" t="n">
        <v>0.2</v>
      </c>
      <c r="BM16" s="108" t="n">
        <v>0.111111111111111</v>
      </c>
      <c r="BN16" s="108" t="n">
        <v>0.111111111111111</v>
      </c>
      <c r="BO16" s="57" t="n">
        <v>24</v>
      </c>
      <c r="BP16" s="57" t="n">
        <v>13</v>
      </c>
      <c r="BQ16" s="57" t="n">
        <v>14</v>
      </c>
      <c r="BR16" s="107" t="n">
        <v>1471.48194683481</v>
      </c>
      <c r="BS16" s="107" t="n">
        <v>2100.20202950137</v>
      </c>
      <c r="BT16" s="107" t="n">
        <v>760.24777451275</v>
      </c>
      <c r="BU16" s="107" t="n">
        <v>121.133882374315</v>
      </c>
      <c r="BV16" s="107" t="n">
        <v>1141.73212260919</v>
      </c>
      <c r="BW16" s="107" t="n">
        <v>251571.2</v>
      </c>
      <c r="BX16" s="107" t="n">
        <v>283375.2</v>
      </c>
      <c r="BY16" s="108" t="n">
        <v>1</v>
      </c>
      <c r="BZ16" s="107" t="n">
        <v>58151.435340808</v>
      </c>
      <c r="CA16" s="107" t="n">
        <v>52577.0456464712</v>
      </c>
      <c r="CB16" s="107" t="n">
        <v>28107.4543954433</v>
      </c>
      <c r="CC16" s="107" t="n">
        <v>113250.475533333</v>
      </c>
      <c r="CD16" s="107" t="n">
        <v>113250.475533333</v>
      </c>
      <c r="CE16" s="107" t="n">
        <v>193934.975575247</v>
      </c>
      <c r="CF16" s="109" t="n">
        <v>1.29719355291016</v>
      </c>
      <c r="CG16" s="109" t="n"/>
      <c r="CH16" s="107" t="n">
        <v>199509.365269584</v>
      </c>
      <c r="CI16" s="109" t="n">
        <v>1.42036039068689</v>
      </c>
      <c r="CJ16" s="107" t="n">
        <v>195101.910874141</v>
      </c>
      <c r="CK16" s="109" t="n">
        <v>1.45244707614783</v>
      </c>
    </row>
    <row r="17" ht="16.5" customFormat="1" customHeight="1" s="39">
      <c r="A17" s="63" t="n">
        <v>45749</v>
      </c>
      <c r="B17" s="57" t="n"/>
      <c r="C17" s="57" t="n"/>
      <c r="D17" s="57" t="n"/>
      <c r="E17" s="57" t="n"/>
      <c r="F17" s="57" t="n"/>
      <c r="G17" s="57" t="n"/>
      <c r="H17" s="57">
        <f>I17</f>
        <v/>
      </c>
      <c r="I17" s="107" t="n">
        <v>131731.980626263</v>
      </c>
      <c r="J17" s="107" t="n">
        <v>539.8851665010779</v>
      </c>
      <c r="K17" s="57" t="n">
        <v>244</v>
      </c>
      <c r="L17" s="57" t="n">
        <v>122</v>
      </c>
      <c r="M17" s="67" t="n">
        <v>128</v>
      </c>
      <c r="N17" s="57" t="n">
        <v>127</v>
      </c>
      <c r="O17" s="57" t="n"/>
      <c r="P17" s="57" t="n"/>
      <c r="Q17" s="57" t="n">
        <v>100</v>
      </c>
      <c r="R17" s="57" t="n">
        <v>124</v>
      </c>
      <c r="S17" s="57" t="n">
        <v>41</v>
      </c>
      <c r="T17" s="57" t="n">
        <v>48</v>
      </c>
      <c r="U17" s="107" t="n">
        <v>180708</v>
      </c>
      <c r="V17" s="107" t="n">
        <v>211424</v>
      </c>
      <c r="W17" s="108" t="n">
        <v>1</v>
      </c>
      <c r="X17" s="107" t="n">
        <v>4404.66666666667</v>
      </c>
      <c r="Y17" s="108" t="n">
        <v>0.5</v>
      </c>
      <c r="Z17" s="108" t="n">
        <v>1.04098360655738</v>
      </c>
      <c r="AA17" s="108" t="n">
        <v>0.520491803278688</v>
      </c>
      <c r="AB17" s="108" t="n">
        <v>0.78740157480315</v>
      </c>
      <c r="AC17" s="108" t="n"/>
      <c r="AD17" s="108" t="n">
        <v>0.984126984126984</v>
      </c>
      <c r="AE17" s="108" t="n">
        <v>0.41</v>
      </c>
      <c r="AF17" s="108" t="n">
        <v>0.168032786885246</v>
      </c>
      <c r="AG17" s="108" t="n">
        <v>0.19672131147541</v>
      </c>
      <c r="AH17" s="107" t="n">
        <v>210352.88585484</v>
      </c>
      <c r="AI17" s="109" t="n">
        <v>1.00509198692857</v>
      </c>
      <c r="AJ17" s="57" t="n">
        <v>126</v>
      </c>
      <c r="AK17" s="57" t="n">
        <v>124</v>
      </c>
      <c r="AL17" s="57" t="n">
        <v>134</v>
      </c>
      <c r="AM17" s="107" t="n">
        <v>27025.1041494855</v>
      </c>
      <c r="AN17" s="110" t="n">
        <v>18959.2540909042</v>
      </c>
      <c r="AO17" s="110" t="n">
        <v>18955.0111563117</v>
      </c>
      <c r="AP17" s="107" t="n">
        <v>2411.59633970915</v>
      </c>
      <c r="AQ17" s="107" t="n">
        <v>11269.9394921665</v>
      </c>
      <c r="AR17" s="57" t="n">
        <v>20</v>
      </c>
      <c r="AS17" s="57" t="n">
        <v>18</v>
      </c>
      <c r="AT17" s="57" t="n">
        <v>20</v>
      </c>
      <c r="AU17" s="57" t="n">
        <v>18</v>
      </c>
      <c r="AV17" s="57" t="n"/>
      <c r="AW17" s="57" t="n"/>
      <c r="AX17" s="57" t="n">
        <v>11</v>
      </c>
      <c r="AY17" s="57" t="n">
        <v>13</v>
      </c>
      <c r="AZ17" s="57" t="n">
        <v>0</v>
      </c>
      <c r="BA17" s="57" t="n">
        <v>0</v>
      </c>
      <c r="BB17" s="107" t="n">
        <v>0</v>
      </c>
      <c r="BC17" s="107" t="n">
        <v>0</v>
      </c>
      <c r="BD17" s="108" t="n"/>
      <c r="BE17" s="107" t="n"/>
      <c r="BF17" s="108" t="n">
        <v>0.9</v>
      </c>
      <c r="BG17" s="108" t="n">
        <v>1</v>
      </c>
      <c r="BH17" s="108" t="n">
        <v>0.9</v>
      </c>
      <c r="BI17" s="108" t="n">
        <v>0.611111111111111</v>
      </c>
      <c r="BJ17" s="108" t="n"/>
      <c r="BK17" s="108" t="n">
        <v>0.65</v>
      </c>
      <c r="BL17" s="108" t="n">
        <v>0</v>
      </c>
      <c r="BM17" s="108" t="n">
        <v>0</v>
      </c>
      <c r="BN17" s="108" t="n">
        <v>0</v>
      </c>
      <c r="BO17" s="57" t="n">
        <v>20</v>
      </c>
      <c r="BP17" s="57" t="n">
        <v>13</v>
      </c>
      <c r="BQ17" s="57" t="n">
        <v>14</v>
      </c>
      <c r="BR17" s="107" t="n">
        <v>2092.93854081619</v>
      </c>
      <c r="BS17" s="107" t="n">
        <v>2050.26847151346</v>
      </c>
      <c r="BT17" s="107" t="n">
        <v>0</v>
      </c>
      <c r="BU17" s="107" t="n">
        <v>197.671831123701</v>
      </c>
      <c r="BV17" s="107" t="n">
        <v>1114.10832311042</v>
      </c>
      <c r="BW17" s="107" t="n">
        <v>180708</v>
      </c>
      <c r="BX17" s="107" t="n">
        <v>211424</v>
      </c>
      <c r="BY17" s="108" t="n">
        <v>1</v>
      </c>
      <c r="BZ17" s="107" t="n">
        <v>54957.8497048392</v>
      </c>
      <c r="CA17" s="107" t="n">
        <v>48848.5360139482</v>
      </c>
      <c r="CB17" s="107" t="n">
        <v>29118.0426903017</v>
      </c>
      <c r="CC17" s="107" t="n">
        <v>131731.980626263</v>
      </c>
      <c r="CD17" s="107" t="n">
        <v>131731.980626263</v>
      </c>
      <c r="CE17" s="107" t="n">
        <v>209698.559330513</v>
      </c>
      <c r="CF17" s="109" t="n">
        <v>0.861751270857231</v>
      </c>
      <c r="CG17" s="109" t="n"/>
      <c r="CH17" s="117" t="n">
        <v>215807.873021404</v>
      </c>
      <c r="CI17" s="109" t="n">
        <v>0.979686222935115</v>
      </c>
      <c r="CJ17" s="107" t="n">
        <v>206489.830331102</v>
      </c>
      <c r="CK17" s="109" t="n">
        <v>1.02389546090956</v>
      </c>
    </row>
    <row r="18" ht="16.5" customFormat="1" customHeight="1" s="39">
      <c r="A18" s="63" t="n">
        <v>45779</v>
      </c>
      <c r="B18" s="57" t="n"/>
      <c r="C18" s="57" t="n"/>
      <c r="D18" s="57" t="n"/>
      <c r="E18" s="57" t="n"/>
      <c r="F18" s="57" t="n"/>
      <c r="G18" s="57" t="n"/>
      <c r="H18" s="57">
        <f>I18</f>
        <v/>
      </c>
      <c r="I18" s="107" t="n">
        <v>163228.274739937</v>
      </c>
      <c r="J18" s="107" t="n">
        <v>632.667731550143</v>
      </c>
      <c r="K18" s="57" t="n">
        <v>258</v>
      </c>
      <c r="L18" s="57" t="n">
        <v>119</v>
      </c>
      <c r="M18" s="67" t="n">
        <v>124</v>
      </c>
      <c r="N18" s="57" t="n">
        <v>116</v>
      </c>
      <c r="O18" s="57" t="n"/>
      <c r="P18" s="57" t="n"/>
      <c r="Q18" s="57" t="n">
        <v>84</v>
      </c>
      <c r="R18" s="57" t="n">
        <v>106</v>
      </c>
      <c r="S18" s="57" t="n">
        <v>34</v>
      </c>
      <c r="T18" s="57" t="n">
        <v>45</v>
      </c>
      <c r="U18" s="107" t="n">
        <v>171724</v>
      </c>
      <c r="V18" s="107" t="n">
        <v>222292</v>
      </c>
      <c r="W18" s="108" t="n">
        <v>1</v>
      </c>
      <c r="X18" s="107" t="n">
        <v>4939.82222222222</v>
      </c>
      <c r="Y18" s="108" t="n">
        <v>0.461240310077519</v>
      </c>
      <c r="Z18" s="108" t="n">
        <v>0.974789915966387</v>
      </c>
      <c r="AA18" s="108" t="n">
        <v>0.449612403100775</v>
      </c>
      <c r="AB18" s="108" t="n">
        <v>0.724137931034483</v>
      </c>
      <c r="AC18" s="108" t="n"/>
      <c r="AD18" s="108" t="n">
        <v>0.954954954954955</v>
      </c>
      <c r="AE18" s="108" t="n">
        <v>0.404761904761905</v>
      </c>
      <c r="AF18" s="108" t="n">
        <v>0.131782945736434</v>
      </c>
      <c r="AG18" s="108" t="n">
        <v>0.174418604651163</v>
      </c>
      <c r="AH18" s="107" t="n">
        <v>226867.011079251</v>
      </c>
      <c r="AI18" s="109" t="n">
        <v>0.979833951805125</v>
      </c>
      <c r="AJ18" s="57" t="n">
        <v>111</v>
      </c>
      <c r="AK18" s="57" t="n">
        <v>106</v>
      </c>
      <c r="AL18" s="57" t="n">
        <v>116</v>
      </c>
      <c r="AM18" s="107" t="n">
        <v>14627.7214234919</v>
      </c>
      <c r="AN18" s="107" t="n">
        <v>15217.5796276951</v>
      </c>
      <c r="AO18" s="107" t="n">
        <v>21318.3625728722</v>
      </c>
      <c r="AP18" s="107" t="n">
        <v>2399.19234362583</v>
      </c>
      <c r="AQ18" s="107" t="n">
        <v>10075.8803716294</v>
      </c>
      <c r="AR18" s="57" t="n">
        <v>6</v>
      </c>
      <c r="AS18" s="57" t="n">
        <v>5</v>
      </c>
      <c r="AT18" s="57" t="n">
        <v>6</v>
      </c>
      <c r="AU18" s="57" t="n">
        <v>5</v>
      </c>
      <c r="AV18" s="57" t="n"/>
      <c r="AW18" s="57" t="n"/>
      <c r="AX18" s="57" t="n">
        <v>3</v>
      </c>
      <c r="AY18" s="57" t="n">
        <v>6</v>
      </c>
      <c r="AZ18" s="57" t="n">
        <v>0</v>
      </c>
      <c r="BA18" s="57" t="n">
        <v>0</v>
      </c>
      <c r="BB18" s="107" t="n">
        <v>0</v>
      </c>
      <c r="BC18" s="107" t="n">
        <v>0</v>
      </c>
      <c r="BD18" s="108" t="n"/>
      <c r="BE18" s="107" t="n"/>
      <c r="BF18" s="108" t="n">
        <v>0.833333333333333</v>
      </c>
      <c r="BG18" s="108" t="n">
        <v>1</v>
      </c>
      <c r="BH18" s="108" t="n">
        <v>0.833333333333333</v>
      </c>
      <c r="BI18" s="108" t="n">
        <v>0.6</v>
      </c>
      <c r="BJ18" s="108" t="n"/>
      <c r="BK18" s="108" t="n">
        <v>0.75</v>
      </c>
      <c r="BL18" s="108" t="n">
        <v>0</v>
      </c>
      <c r="BM18" s="108" t="n">
        <v>0</v>
      </c>
      <c r="BN18" s="108" t="n">
        <v>0</v>
      </c>
      <c r="BO18" s="57" t="n">
        <v>8</v>
      </c>
      <c r="BP18" s="57" t="n">
        <v>6</v>
      </c>
      <c r="BQ18" s="57" t="n">
        <v>6</v>
      </c>
      <c r="BR18" s="107" t="n">
        <v>281.486596348234</v>
      </c>
      <c r="BS18" s="107" t="n">
        <v>656.086363685058</v>
      </c>
      <c r="BT18" s="107" t="n">
        <v>0</v>
      </c>
      <c r="BU18" s="107" t="n">
        <v>55.795170781996</v>
      </c>
      <c r="BV18" s="107" t="n">
        <v>465.608106270766</v>
      </c>
      <c r="BW18" s="107" t="n">
        <v>171724</v>
      </c>
      <c r="BX18" s="107" t="n">
        <v>222292</v>
      </c>
      <c r="BY18" s="108" t="n">
        <v>1</v>
      </c>
      <c r="BZ18" s="107" t="n">
        <v>50188.5045565603</v>
      </c>
      <c r="CA18" s="107" t="n">
        <v>42211.6162125297</v>
      </c>
      <c r="CB18" s="107" t="n">
        <v>14909.2080198402</v>
      </c>
      <c r="CC18" s="107" t="n">
        <v>163228.274739937</v>
      </c>
      <c r="CD18" s="107" t="n">
        <v>163228.274739937</v>
      </c>
      <c r="CE18" s="107" t="n">
        <v>220349.098972307</v>
      </c>
      <c r="CF18" s="109" t="n">
        <v>0.7793269897671879</v>
      </c>
      <c r="CG18" s="109" t="n"/>
      <c r="CH18" s="117" t="n">
        <v>228325.987316337</v>
      </c>
      <c r="CI18" s="109" t="n">
        <v>0.973572927955951</v>
      </c>
      <c r="CJ18" s="107" t="n">
        <v>233216.779296497</v>
      </c>
      <c r="CK18" s="109" t="n">
        <v>0.953156117971219</v>
      </c>
    </row>
    <row r="19" ht="16.5" customFormat="1" customHeight="1" s="39">
      <c r="A19" s="63" t="n">
        <v>45810</v>
      </c>
      <c r="B19" s="57" t="n"/>
      <c r="C19" s="57" t="n"/>
      <c r="D19" s="57" t="n"/>
      <c r="E19" s="57" t="n"/>
      <c r="F19" s="57" t="n"/>
      <c r="G19" s="57" t="n"/>
      <c r="H19" s="57" t="n">
        <v>154847.147686914</v>
      </c>
      <c r="I19" s="107" t="n">
        <v>145313.956627317</v>
      </c>
      <c r="J19" s="107" t="n">
        <v>758.568799997739</v>
      </c>
      <c r="K19" s="57" t="n">
        <v>204</v>
      </c>
      <c r="L19" s="57" t="n">
        <v>114</v>
      </c>
      <c r="M19" s="67" t="n">
        <v>124</v>
      </c>
      <c r="N19" s="57" t="n">
        <v>116</v>
      </c>
      <c r="O19" s="57" t="n"/>
      <c r="P19" s="57" t="n"/>
      <c r="Q19" s="57" t="n">
        <v>96</v>
      </c>
      <c r="R19" s="57" t="n">
        <v>130</v>
      </c>
      <c r="S19" s="57" t="n">
        <v>43</v>
      </c>
      <c r="T19" s="57" t="n">
        <v>53</v>
      </c>
      <c r="U19" s="107" t="n">
        <v>209284</v>
      </c>
      <c r="V19" s="107" t="n">
        <v>255664</v>
      </c>
      <c r="W19" s="108" t="n">
        <v>1</v>
      </c>
      <c r="X19" s="107" t="n">
        <v>4823.84905660377</v>
      </c>
      <c r="Y19" s="108" t="n">
        <v>0.5588235294117651</v>
      </c>
      <c r="Z19" s="108" t="n">
        <v>1.01754385964912</v>
      </c>
      <c r="AA19" s="108" t="n">
        <v>0.568627450980392</v>
      </c>
      <c r="AB19" s="108" t="n">
        <v>0.827586206896552</v>
      </c>
      <c r="AC19" s="108" t="n"/>
      <c r="AD19" s="108" t="n">
        <v>0.928571428571429</v>
      </c>
      <c r="AE19" s="108" t="n">
        <v>0.447916666666667</v>
      </c>
      <c r="AF19" s="108" t="n">
        <v>0.21078431372549</v>
      </c>
      <c r="AG19" s="108" t="n">
        <v>0.259803921568627</v>
      </c>
      <c r="AH19" s="107" t="n">
        <v>220689.030355602</v>
      </c>
      <c r="AI19" s="109" t="n">
        <v>1.15848077989215</v>
      </c>
      <c r="AJ19" s="57" t="n">
        <v>140</v>
      </c>
      <c r="AK19" s="57" t="n">
        <v>130</v>
      </c>
      <c r="AL19" s="57" t="n">
        <v>150</v>
      </c>
      <c r="AM19" s="107" t="n">
        <v>12724.4060599837</v>
      </c>
      <c r="AN19" s="110" t="n">
        <v>13935.7953588395</v>
      </c>
      <c r="AO19" s="110" t="n">
        <v>24680.086193135</v>
      </c>
      <c r="AP19" s="107" t="n">
        <v>1647.488573785</v>
      </c>
      <c r="AQ19" s="107" t="n">
        <v>12953.2189703197</v>
      </c>
      <c r="AR19" s="57" t="n">
        <v>99</v>
      </c>
      <c r="AS19" s="57" t="n">
        <v>30</v>
      </c>
      <c r="AT19" s="57" t="n">
        <v>30</v>
      </c>
      <c r="AU19" s="57" t="n">
        <v>29</v>
      </c>
      <c r="AV19" s="57" t="n"/>
      <c r="AW19" s="57" t="n"/>
      <c r="AX19" s="57" t="n">
        <v>17</v>
      </c>
      <c r="AY19" s="57" t="n">
        <v>20</v>
      </c>
      <c r="AZ19" s="57" t="n">
        <v>1</v>
      </c>
      <c r="BA19" s="57" t="n">
        <v>1</v>
      </c>
      <c r="BB19" s="107" t="n">
        <v>3588</v>
      </c>
      <c r="BC19" s="107" t="n">
        <v>3588</v>
      </c>
      <c r="BD19" s="108" t="n">
        <v>1</v>
      </c>
      <c r="BE19" s="107" t="n">
        <v>3588</v>
      </c>
      <c r="BF19" s="108" t="n">
        <v>0.303030303030303</v>
      </c>
      <c r="BG19" s="108" t="n">
        <v>0.966666666666667</v>
      </c>
      <c r="BH19" s="108" t="n">
        <v>0.292929292929293</v>
      </c>
      <c r="BI19" s="108" t="n">
        <v>0.586206896551724</v>
      </c>
      <c r="BJ19" s="108" t="n"/>
      <c r="BK19" s="108" t="n">
        <v>0.625</v>
      </c>
      <c r="BL19" s="108" t="n">
        <v>0.0588235294117647</v>
      </c>
      <c r="BM19" s="108" t="n">
        <v>0.0101010101010101</v>
      </c>
      <c r="BN19" s="108" t="n">
        <v>0.0101010101010101</v>
      </c>
      <c r="BO19" s="57" t="n">
        <v>32</v>
      </c>
      <c r="BP19" s="57" t="n">
        <v>20</v>
      </c>
      <c r="BQ19" s="57" t="n">
        <v>20</v>
      </c>
      <c r="BR19" s="107" t="n">
        <v>5541.87115630322</v>
      </c>
      <c r="BS19" s="107" t="n">
        <v>2698.70769784286</v>
      </c>
      <c r="BT19" s="107" t="n">
        <v>372.898816714684</v>
      </c>
      <c r="BU19" s="107" t="n">
        <v>799.516513748601</v>
      </c>
      <c r="BV19" s="107" t="n">
        <v>1578.93477227709</v>
      </c>
      <c r="BW19" s="107" t="n">
        <v>212872</v>
      </c>
      <c r="BX19" s="107" t="n">
        <v>259252</v>
      </c>
      <c r="BY19" s="108" t="n">
        <v>1</v>
      </c>
      <c r="BZ19" s="107" t="n">
        <v>58843.6264829191</v>
      </c>
      <c r="CA19" s="107" t="n">
        <v>48947.0426913592</v>
      </c>
      <c r="CB19" s="107" t="n">
        <v>18322.2557128153</v>
      </c>
      <c r="CC19" s="107" t="n">
        <v>154847.147686914</v>
      </c>
      <c r="CD19" s="107" t="n">
        <v>153067.132861967</v>
      </c>
      <c r="CE19" s="107" t="n">
        <v>220336.431266141</v>
      </c>
      <c r="CF19" s="109" t="n">
        <v>0.966122573451665</v>
      </c>
      <c r="CG19" s="109" t="n">
        <v>9533.191059597029</v>
      </c>
      <c r="CH19" s="117" t="n">
        <v>232013.029882648</v>
      </c>
      <c r="CI19" s="109" t="n">
        <v>1.11740276022915</v>
      </c>
      <c r="CJ19" s="107" t="n">
        <v>236490.774169833</v>
      </c>
      <c r="CK19" s="109" t="n">
        <v>1.09624572421511</v>
      </c>
    </row>
    <row r="20" ht="16.5" customFormat="1" customHeight="1" s="39">
      <c r="A20" s="63" t="n">
        <v>45841</v>
      </c>
      <c r="B20" s="57" t="n"/>
      <c r="C20" s="57" t="n"/>
      <c r="D20" s="57" t="n"/>
      <c r="E20" s="57" t="n"/>
      <c r="F20" s="57" t="n"/>
      <c r="G20" s="57" t="n"/>
      <c r="H20" s="57" t="n">
        <v>120482.451403898</v>
      </c>
      <c r="I20" s="107" t="n">
        <v>114209.1</v>
      </c>
      <c r="J20" s="107" t="n">
        <v>813.404994912302</v>
      </c>
      <c r="K20" s="57" t="n">
        <v>148</v>
      </c>
      <c r="L20" s="57" t="n">
        <v>62</v>
      </c>
      <c r="M20" s="67" t="n">
        <v>69</v>
      </c>
      <c r="N20" s="57" t="n">
        <v>64</v>
      </c>
      <c r="O20" s="57" t="n"/>
      <c r="P20" s="57" t="n"/>
      <c r="Q20" s="57" t="n">
        <v>52</v>
      </c>
      <c r="R20" s="57" t="n">
        <v>77</v>
      </c>
      <c r="S20" s="57" t="n">
        <v>24</v>
      </c>
      <c r="T20" s="57" t="n">
        <v>35</v>
      </c>
      <c r="U20" s="107" t="n">
        <v>121912</v>
      </c>
      <c r="V20" s="107" t="n">
        <v>163880</v>
      </c>
      <c r="W20" s="108" t="n">
        <v>1</v>
      </c>
      <c r="X20" s="107" t="n">
        <v>4682.28571428571</v>
      </c>
      <c r="Y20" s="108" t="n">
        <v>0.418918918918919</v>
      </c>
      <c r="Z20" s="108" t="n">
        <v>1.03225806451613</v>
      </c>
      <c r="AA20" s="108" t="n">
        <v>0.432432432432432</v>
      </c>
      <c r="AB20" s="108" t="n">
        <v>0.8125</v>
      </c>
      <c r="AC20" s="108" t="n"/>
      <c r="AD20" s="108" t="n">
        <v>0.9625</v>
      </c>
      <c r="AE20" s="108" t="n">
        <v>0.461538461538462</v>
      </c>
      <c r="AF20" s="108" t="n">
        <v>0.162162162162162</v>
      </c>
      <c r="AG20" s="108" t="n">
        <v>0.236486486486486</v>
      </c>
      <c r="AH20" s="107" t="n">
        <v>160109.828547552</v>
      </c>
      <c r="AI20" s="109" t="n">
        <v>1.0235474079677</v>
      </c>
      <c r="AJ20" s="57" t="n">
        <v>80</v>
      </c>
      <c r="AK20" s="57" t="n">
        <v>77</v>
      </c>
      <c r="AL20" s="57" t="n">
        <v>87</v>
      </c>
      <c r="AM20" s="107" t="n">
        <v>6512.65126512651</v>
      </c>
      <c r="AN20" s="107" t="n">
        <v>7240.44411077223</v>
      </c>
      <c r="AO20" s="107" t="n">
        <v>16780.9985320324</v>
      </c>
      <c r="AP20" s="107" t="n">
        <v>1523.48221249872</v>
      </c>
      <c r="AQ20" s="107" t="n">
        <v>7668.31318010096</v>
      </c>
      <c r="AR20" s="57" t="n">
        <v>4</v>
      </c>
      <c r="AS20" s="57" t="n">
        <v>3</v>
      </c>
      <c r="AT20" s="57" t="n">
        <v>4</v>
      </c>
      <c r="AU20" s="57" t="n">
        <v>4</v>
      </c>
      <c r="AV20" s="57" t="n"/>
      <c r="AW20" s="57" t="n"/>
      <c r="AX20" s="57" t="n">
        <v>2</v>
      </c>
      <c r="AY20" s="57" t="n">
        <v>2</v>
      </c>
      <c r="AZ20" s="57" t="n">
        <v>0</v>
      </c>
      <c r="BA20" s="57" t="n">
        <v>1</v>
      </c>
      <c r="BB20" s="107" t="n">
        <v>0</v>
      </c>
      <c r="BC20" s="107" t="n">
        <v>1880</v>
      </c>
      <c r="BD20" s="108" t="n">
        <v>1</v>
      </c>
      <c r="BE20" s="107" t="n">
        <v>1880</v>
      </c>
      <c r="BF20" s="108" t="n">
        <v>0.75</v>
      </c>
      <c r="BG20" s="108" t="n">
        <v>1.33333333333333</v>
      </c>
      <c r="BH20" s="108" t="n">
        <v>1</v>
      </c>
      <c r="BI20" s="108" t="n">
        <v>0.5</v>
      </c>
      <c r="BJ20" s="108" t="n"/>
      <c r="BK20" s="108" t="n">
        <v>0.5</v>
      </c>
      <c r="BL20" s="108" t="n">
        <v>0</v>
      </c>
      <c r="BM20" s="108" t="n">
        <v>0</v>
      </c>
      <c r="BN20" s="108" t="n">
        <v>0.25</v>
      </c>
      <c r="BO20" s="57" t="n">
        <v>4</v>
      </c>
      <c r="BP20" s="57" t="n">
        <v>2</v>
      </c>
      <c r="BQ20" s="57" t="n">
        <v>2</v>
      </c>
      <c r="BR20" s="107" t="n">
        <v>0</v>
      </c>
      <c r="BS20" s="107" t="n">
        <v>379.459799406646</v>
      </c>
      <c r="BT20" s="107" t="n">
        <v>197.373919695283</v>
      </c>
      <c r="BU20" s="107" t="n">
        <v>41.1751949323977</v>
      </c>
      <c r="BV20" s="107" t="n">
        <v>164.366772299304</v>
      </c>
      <c r="BW20" s="107" t="n">
        <v>121912</v>
      </c>
      <c r="BX20" s="107" t="n">
        <v>165760</v>
      </c>
      <c r="BY20" s="108" t="n">
        <v>1</v>
      </c>
      <c r="BZ20" s="107" t="n">
        <v>33995.6137217379</v>
      </c>
      <c r="CA20" s="107" t="n">
        <v>26115.2897264407</v>
      </c>
      <c r="CB20" s="107" t="n">
        <v>6512.65126512651</v>
      </c>
      <c r="CC20" s="107" t="n">
        <v>120482.451403898</v>
      </c>
      <c r="CD20" s="107" t="n">
        <v>118443.275483671</v>
      </c>
      <c r="CE20" s="107" t="n">
        <v>151071.216475239</v>
      </c>
      <c r="CF20" s="109" t="n">
        <v>0.806983638871949</v>
      </c>
      <c r="CG20" s="109" t="n">
        <v>6273.3514038981</v>
      </c>
      <c r="CH20" s="117" t="n">
        <v>160990.716390763</v>
      </c>
      <c r="CI20" s="109" t="n">
        <v>1.02962458777847</v>
      </c>
      <c r="CJ20" s="107" t="n">
        <v>165878.065125636</v>
      </c>
      <c r="CK20" s="109" t="n">
        <v>0.999288241483004</v>
      </c>
    </row>
    <row r="21" ht="16.5" customFormat="1" customHeight="1" s="39">
      <c r="A21" s="63" t="n">
        <v>45872</v>
      </c>
      <c r="B21" s="57" t="n"/>
      <c r="C21" s="57" t="n"/>
      <c r="D21" s="57" t="n"/>
      <c r="E21" s="57" t="n"/>
      <c r="F21" s="57" t="n"/>
      <c r="G21" s="57" t="n"/>
      <c r="H21" s="57" t="n">
        <v>38341.0735632747</v>
      </c>
      <c r="I21" s="107" t="n">
        <v>35865.5842887805</v>
      </c>
      <c r="J21" s="107" t="n">
        <v>833.501599201624</v>
      </c>
      <c r="K21" s="57" t="n">
        <v>46</v>
      </c>
      <c r="L21" s="57" t="n">
        <v>21</v>
      </c>
      <c r="M21" s="67" t="n">
        <v>25</v>
      </c>
      <c r="N21" s="57" t="n">
        <v>21</v>
      </c>
      <c r="O21" s="57" t="n"/>
      <c r="P21" s="57" t="n"/>
      <c r="Q21" s="57" t="n">
        <v>16</v>
      </c>
      <c r="R21" s="57" t="n">
        <v>36</v>
      </c>
      <c r="S21" s="57" t="n">
        <v>6</v>
      </c>
      <c r="T21" s="57" t="n">
        <v>14</v>
      </c>
      <c r="U21" s="107" t="n">
        <v>24028</v>
      </c>
      <c r="V21" s="107" t="n">
        <v>57832</v>
      </c>
      <c r="W21" s="108" t="n">
        <v>1</v>
      </c>
      <c r="X21" s="107" t="n">
        <v>4130.85714285714</v>
      </c>
      <c r="Y21" s="108" t="n">
        <v>0.456521739130435</v>
      </c>
      <c r="Z21" s="108" t="n">
        <v>1</v>
      </c>
      <c r="AA21" s="108" t="n">
        <v>0.456521739130435</v>
      </c>
      <c r="AB21" s="108" t="n">
        <v>0.761904761904762</v>
      </c>
      <c r="AC21" s="108" t="n"/>
      <c r="AD21" s="108" t="n">
        <v>1</v>
      </c>
      <c r="AE21" s="108" t="n">
        <v>0.375</v>
      </c>
      <c r="AF21" s="108" t="n">
        <v>0.130434782608696</v>
      </c>
      <c r="AG21" s="108" t="n">
        <v>0.304347826086957</v>
      </c>
      <c r="AH21" s="107" t="n">
        <v>55313.1571654181</v>
      </c>
      <c r="AI21" s="109" t="n">
        <v>1.04553786049581</v>
      </c>
      <c r="AJ21" s="57" t="n">
        <v>36</v>
      </c>
      <c r="AK21" s="57" t="n">
        <v>36</v>
      </c>
      <c r="AL21" s="57" t="n">
        <v>38</v>
      </c>
      <c r="AM21" s="107" t="n">
        <v>4152.8584683677</v>
      </c>
      <c r="AN21" s="110" t="n">
        <v>3087.96078360787</v>
      </c>
      <c r="AO21" s="110" t="n">
        <v>5921.88617954904</v>
      </c>
      <c r="AP21" s="107" t="n">
        <v>460</v>
      </c>
      <c r="AQ21" s="107" t="n">
        <v>3349.37817061881</v>
      </c>
      <c r="AR21" s="57" t="n">
        <v>0</v>
      </c>
      <c r="AS21" s="57" t="n">
        <v>0</v>
      </c>
      <c r="AT21" s="57" t="n">
        <v>0</v>
      </c>
      <c r="AU21" s="57" t="n">
        <v>0</v>
      </c>
      <c r="AV21" s="57" t="n"/>
      <c r="AW21" s="57" t="n"/>
      <c r="AX21" s="57" t="n">
        <v>0</v>
      </c>
      <c r="AY21" s="57" t="n">
        <v>0</v>
      </c>
      <c r="AZ21" s="57" t="n">
        <v>0</v>
      </c>
      <c r="BA21" s="57" t="n">
        <v>0</v>
      </c>
      <c r="BB21" s="107" t="n">
        <v>0</v>
      </c>
      <c r="BC21" s="107" t="n">
        <v>0</v>
      </c>
      <c r="BD21" s="108" t="n"/>
      <c r="BE21" s="107" t="n"/>
      <c r="BF21" s="108" t="n"/>
      <c r="BG21" s="108" t="n"/>
      <c r="BH21" s="108" t="n"/>
      <c r="BI21" s="108" t="n"/>
      <c r="BJ21" s="108" t="n"/>
      <c r="BK21" s="108" t="n"/>
      <c r="BL21" s="108" t="n"/>
      <c r="BM21" s="108" t="n"/>
      <c r="BN21" s="108" t="n"/>
      <c r="BO21" s="57" t="n">
        <v>0</v>
      </c>
      <c r="BP21" s="57" t="n">
        <v>0</v>
      </c>
      <c r="BQ21" s="57" t="n">
        <v>0</v>
      </c>
      <c r="BR21" s="107" t="n">
        <v>0</v>
      </c>
      <c r="BS21" s="107" t="n">
        <v>0</v>
      </c>
      <c r="BT21" s="107" t="n">
        <v>0</v>
      </c>
      <c r="BU21" s="107" t="n">
        <v>0</v>
      </c>
      <c r="BV21" s="107" t="n">
        <v>0</v>
      </c>
      <c r="BW21" s="107" t="n">
        <v>24028</v>
      </c>
      <c r="BX21" s="107" t="n">
        <v>57832</v>
      </c>
      <c r="BY21" s="108" t="n">
        <v>1</v>
      </c>
      <c r="BZ21" s="107" t="n">
        <v>12819.2251337757</v>
      </c>
      <c r="CA21" s="107" t="n">
        <v>7100.85585222458</v>
      </c>
      <c r="CB21" s="107" t="n">
        <v>4152.8584683677</v>
      </c>
      <c r="CC21" s="107" t="n">
        <v>38341.0735632747</v>
      </c>
      <c r="CD21" s="107" t="n">
        <v>36926.5082635637</v>
      </c>
      <c r="CE21" s="107" t="n">
        <v>48180.222584156</v>
      </c>
      <c r="CF21" s="109" t="n">
        <v>0.498710855020034</v>
      </c>
      <c r="CG21" s="109" t="n">
        <v>2475.4892744942</v>
      </c>
      <c r="CH21" s="117" t="n">
        <v>55313.1571654181</v>
      </c>
      <c r="CI21" s="109" t="n">
        <v>1.04553786049581</v>
      </c>
      <c r="CJ21" s="107" t="n">
        <v>54610.2986970504</v>
      </c>
      <c r="CK21" s="109" t="n">
        <v>1.05899439079837</v>
      </c>
    </row>
    <row r="22" ht="16.5" customFormat="1" customHeight="1" s="39">
      <c r="A22" s="63" t="n">
        <v>45903</v>
      </c>
      <c r="B22" s="57" t="n"/>
      <c r="C22" s="57" t="n"/>
      <c r="D22" s="57" t="n"/>
      <c r="E22" s="57" t="n"/>
      <c r="F22" s="57" t="n"/>
      <c r="G22" s="57" t="n"/>
      <c r="H22" s="107" t="n">
        <v>23291.6613121836</v>
      </c>
      <c r="I22" s="118">
        <f>H22-CG22</f>
        <v/>
      </c>
      <c r="J22" s="107" t="n">
        <v>597.222084927784</v>
      </c>
      <c r="K22" s="57" t="n">
        <v>39</v>
      </c>
      <c r="L22" s="57" t="n">
        <v>18</v>
      </c>
      <c r="M22" s="57" t="n">
        <v>20</v>
      </c>
      <c r="N22" s="57" t="n">
        <v>19</v>
      </c>
      <c r="O22" s="57" t="n"/>
      <c r="P22" s="57" t="n"/>
      <c r="Q22" s="57" t="n">
        <v>11</v>
      </c>
      <c r="R22" s="57" t="n">
        <v>21</v>
      </c>
      <c r="S22" s="57" t="n">
        <v>3</v>
      </c>
      <c r="T22" s="57" t="n">
        <v>6</v>
      </c>
      <c r="U22" s="107" t="n">
        <v>11564</v>
      </c>
      <c r="V22" s="107" t="n">
        <v>22328</v>
      </c>
      <c r="W22" s="108" t="n">
        <v>1</v>
      </c>
      <c r="X22" s="107" t="n">
        <v>3721.33333333333</v>
      </c>
      <c r="Y22" s="108" t="n">
        <v>0.461538461538462</v>
      </c>
      <c r="Z22" s="108" t="n">
        <v>1.05555555555556</v>
      </c>
      <c r="AA22" s="108" t="n">
        <v>0.487179487179487</v>
      </c>
      <c r="AB22" s="108" t="n">
        <v>0.578947368421053</v>
      </c>
      <c r="AC22" s="108" t="n"/>
      <c r="AD22" s="108" t="n">
        <v>1</v>
      </c>
      <c r="AE22" s="108" t="n">
        <v>0.272727272727273</v>
      </c>
      <c r="AF22" s="108" t="n">
        <v>0.0769230769230769</v>
      </c>
      <c r="AG22" s="108" t="n">
        <v>0.153846153846154</v>
      </c>
      <c r="AH22" s="107" t="n">
        <v>33903.8152509691</v>
      </c>
      <c r="AI22" s="109" t="n">
        <v>0.658568949680722</v>
      </c>
      <c r="AJ22" s="57" t="n">
        <v>21</v>
      </c>
      <c r="AK22" s="57" t="n">
        <v>21</v>
      </c>
      <c r="AL22" s="57" t="n">
        <v>22</v>
      </c>
      <c r="AM22" s="107" t="n">
        <v>2954.98465420446</v>
      </c>
      <c r="AN22" s="107" t="n">
        <v>2891.78420146088</v>
      </c>
      <c r="AO22" s="107" t="n">
        <v>2506.93311093995</v>
      </c>
      <c r="AP22" s="107" t="n">
        <v>390</v>
      </c>
      <c r="AQ22" s="107" t="n">
        <v>1868.45197218029</v>
      </c>
      <c r="AR22" s="57" t="n">
        <v>0</v>
      </c>
      <c r="AS22" s="57" t="n">
        <v>0</v>
      </c>
      <c r="AT22" s="57" t="n">
        <v>1</v>
      </c>
      <c r="AU22" s="57" t="n">
        <v>0</v>
      </c>
      <c r="AV22" s="57" t="n"/>
      <c r="AW22" s="57" t="n"/>
      <c r="AX22" s="57" t="n">
        <v>0</v>
      </c>
      <c r="AY22" s="57" t="n">
        <v>0</v>
      </c>
      <c r="AZ22" s="57" t="n">
        <v>0</v>
      </c>
      <c r="BA22" s="57" t="n">
        <v>0</v>
      </c>
      <c r="BB22" s="107" t="n">
        <v>0</v>
      </c>
      <c r="BC22" s="107" t="n">
        <v>0</v>
      </c>
      <c r="BD22" s="108" t="n"/>
      <c r="BE22" s="107" t="n"/>
      <c r="BF22" s="108" t="n"/>
      <c r="BG22" s="108" t="n"/>
      <c r="BH22" s="108" t="n"/>
      <c r="BI22" s="108" t="n"/>
      <c r="BJ22" s="108" t="n"/>
      <c r="BK22" s="108" t="n"/>
      <c r="BL22" s="108" t="n"/>
      <c r="BM22" s="108" t="n"/>
      <c r="BN22" s="108" t="n"/>
      <c r="BO22" s="57" t="n">
        <v>0</v>
      </c>
      <c r="BP22" s="57" t="n">
        <v>0</v>
      </c>
      <c r="BQ22" s="57" t="n">
        <v>0</v>
      </c>
      <c r="BR22" s="107" t="n">
        <v>0</v>
      </c>
      <c r="BS22" s="107" t="n">
        <v>95</v>
      </c>
      <c r="BT22" s="107" t="n">
        <v>0</v>
      </c>
      <c r="BU22" s="107" t="n">
        <v>0</v>
      </c>
      <c r="BV22" s="107" t="n">
        <v>0</v>
      </c>
      <c r="BW22" s="107" t="n">
        <v>11564</v>
      </c>
      <c r="BX22" s="107" t="n">
        <v>22328</v>
      </c>
      <c r="BY22" s="108" t="n">
        <v>1</v>
      </c>
      <c r="BZ22" s="107" t="n">
        <v>7752.16928458112</v>
      </c>
      <c r="CA22" s="107" t="n">
        <v>5225.20934241881</v>
      </c>
      <c r="CB22" s="107" t="n">
        <v>2954.98465420446</v>
      </c>
      <c r="CC22" s="107" t="n">
        <v>23291.6613121836</v>
      </c>
      <c r="CD22" s="107" t="n">
        <v>22755.7439009828</v>
      </c>
      <c r="CE22" s="107" t="n">
        <v>30935.9378976061</v>
      </c>
      <c r="CF22" s="109" t="n">
        <v>0.373804732808662</v>
      </c>
      <c r="CG22" s="118" t="n">
        <v>1071.83482240147</v>
      </c>
      <c r="CH22" s="107" t="n">
        <v>33998.8152509691</v>
      </c>
      <c r="CI22" s="109" t="n">
        <v>0.656728766434399</v>
      </c>
      <c r="CJ22" s="107" t="n">
        <v>33968.8305967647</v>
      </c>
      <c r="CK22" s="109" t="n">
        <v>0.657308468020286</v>
      </c>
    </row>
    <row r="23" ht="16.5" customFormat="1" customHeight="1" s="39">
      <c r="A23" s="63" t="n">
        <v>45931</v>
      </c>
      <c r="B23" s="57" t="n"/>
      <c r="C23" s="57" t="n"/>
      <c r="D23" s="57" t="n"/>
      <c r="E23" s="57" t="n"/>
      <c r="F23" s="57" t="n"/>
      <c r="G23" s="57" t="n"/>
      <c r="H23" s="107" t="n">
        <v>17359.655422883</v>
      </c>
      <c r="I23" s="118">
        <f>H23-CG23</f>
        <v/>
      </c>
      <c r="J23" s="107" t="n">
        <v>619.9876936743919</v>
      </c>
      <c r="K23" s="57" t="n">
        <v>28</v>
      </c>
      <c r="L23" s="57" t="n">
        <v>11</v>
      </c>
      <c r="M23" s="57" t="n">
        <v>12</v>
      </c>
      <c r="N23" s="57" t="n">
        <v>10</v>
      </c>
      <c r="O23" s="57" t="n"/>
      <c r="P23" s="57" t="n"/>
      <c r="Q23" s="57" t="n">
        <v>9</v>
      </c>
      <c r="R23" s="57" t="n">
        <v>12</v>
      </c>
      <c r="S23" s="57" t="n">
        <v>3</v>
      </c>
      <c r="T23" s="57" t="n">
        <v>7</v>
      </c>
      <c r="U23" s="107" t="n">
        <v>16464</v>
      </c>
      <c r="V23" s="107" t="n">
        <v>38447</v>
      </c>
      <c r="W23" s="108" t="n">
        <v>1</v>
      </c>
      <c r="X23" s="107" t="n">
        <v>5492.42857142857</v>
      </c>
      <c r="Y23" s="108" t="n">
        <v>0.392857142857143</v>
      </c>
      <c r="Z23" s="108" t="n">
        <v>0.9090909090909089</v>
      </c>
      <c r="AA23" s="108" t="n">
        <v>0.357142857142857</v>
      </c>
      <c r="AB23" s="108" t="n">
        <v>0.9</v>
      </c>
      <c r="AC23" s="108" t="n"/>
      <c r="AD23" s="108" t="n">
        <v>1</v>
      </c>
      <c r="AE23" s="108" t="n">
        <v>0.333333333333333</v>
      </c>
      <c r="AF23" s="108" t="n">
        <v>0.107142857142857</v>
      </c>
      <c r="AG23" s="108" t="n">
        <v>0.25</v>
      </c>
      <c r="AH23" s="107" t="n">
        <v>26596.9186102618</v>
      </c>
      <c r="AI23" s="109" t="n">
        <v>1.44554339408198</v>
      </c>
      <c r="AJ23" s="57" t="n">
        <v>12</v>
      </c>
      <c r="AK23" s="57" t="n">
        <v>12</v>
      </c>
      <c r="AL23" s="57" t="n">
        <v>15</v>
      </c>
      <c r="AM23" s="107" t="n">
        <v>1749.57132939756</v>
      </c>
      <c r="AN23" s="107" t="n">
        <v>1706.96833515526</v>
      </c>
      <c r="AO23" s="107" t="n">
        <v>4229.23496104444</v>
      </c>
      <c r="AP23" s="107" t="n">
        <v>280</v>
      </c>
      <c r="AQ23" s="107" t="n">
        <v>1271.48856178154</v>
      </c>
      <c r="AR23" s="57" t="n">
        <v>0</v>
      </c>
      <c r="AS23" s="57" t="n">
        <v>0</v>
      </c>
      <c r="AT23" s="57" t="n">
        <v>0</v>
      </c>
      <c r="AU23" s="57" t="n">
        <v>0</v>
      </c>
      <c r="AV23" s="57" t="n"/>
      <c r="AW23" s="57" t="n"/>
      <c r="AX23" s="57" t="n">
        <v>0</v>
      </c>
      <c r="AY23" s="57" t="n">
        <v>0</v>
      </c>
      <c r="AZ23" s="57" t="n">
        <v>0</v>
      </c>
      <c r="BA23" s="57" t="n">
        <v>0</v>
      </c>
      <c r="BB23" s="107" t="n">
        <v>0</v>
      </c>
      <c r="BC23" s="107" t="n">
        <v>0</v>
      </c>
      <c r="BD23" s="108" t="n"/>
      <c r="BE23" s="107" t="n"/>
      <c r="BF23" s="108" t="n"/>
      <c r="BG23" s="108" t="n"/>
      <c r="BH23" s="108" t="n"/>
      <c r="BI23" s="108" t="n"/>
      <c r="BJ23" s="108" t="n"/>
      <c r="BK23" s="108" t="n"/>
      <c r="BL23" s="108" t="n"/>
      <c r="BM23" s="108" t="n"/>
      <c r="BN23" s="108" t="n"/>
      <c r="BO23" s="57" t="n">
        <v>0</v>
      </c>
      <c r="BP23" s="57" t="n">
        <v>0</v>
      </c>
      <c r="BQ23" s="57" t="n">
        <v>0</v>
      </c>
      <c r="BR23" s="107" t="n">
        <v>0</v>
      </c>
      <c r="BS23" s="107" t="n">
        <v>0</v>
      </c>
      <c r="BT23" s="107" t="n">
        <v>0</v>
      </c>
      <c r="BU23" s="107" t="n">
        <v>0</v>
      </c>
      <c r="BV23" s="107" t="n">
        <v>0</v>
      </c>
      <c r="BW23" s="107" t="n">
        <v>16464</v>
      </c>
      <c r="BX23" s="107" t="n">
        <v>38447</v>
      </c>
      <c r="BY23" s="108" t="n">
        <v>1</v>
      </c>
      <c r="BZ23" s="107" t="n">
        <v>7487.69185798123</v>
      </c>
      <c r="CA23" s="107" t="n">
        <v>4503.44783307974</v>
      </c>
      <c r="CB23" s="107" t="n">
        <v>1749.57132939756</v>
      </c>
      <c r="CC23" s="107" t="n">
        <v>17359.655422883</v>
      </c>
      <c r="CD23" s="107" t="n">
        <v>16645.0988746153</v>
      </c>
      <c r="CE23" s="107" t="n">
        <v>22898.1180370926</v>
      </c>
      <c r="CF23" s="109" t="n">
        <v>0.71901105467838</v>
      </c>
      <c r="CG23" s="118" t="n">
        <v>1250.47395946838</v>
      </c>
      <c r="CH23" s="107" t="n">
        <v>26596.9186102618</v>
      </c>
      <c r="CI23" s="109" t="n">
        <v>1.44554339408198</v>
      </c>
      <c r="CJ23" s="107" t="n">
        <v>26947.3472808642</v>
      </c>
      <c r="CK23" s="109" t="n">
        <v>1.42674525990549</v>
      </c>
    </row>
    <row r="24" ht="16.5" customFormat="1" customHeight="1" s="39">
      <c r="A24" s="63" t="n">
        <v>45962</v>
      </c>
      <c r="B24" s="57" t="n"/>
      <c r="C24" s="57" t="n"/>
      <c r="D24" s="57" t="n"/>
      <c r="E24" s="57" t="n"/>
      <c r="F24" s="57" t="n"/>
      <c r="G24" s="57" t="n"/>
      <c r="H24" s="107" t="n">
        <v>20294.2661968504</v>
      </c>
      <c r="I24" s="118">
        <f>H24-CG24</f>
        <v/>
      </c>
      <c r="J24" s="107" t="n">
        <v>780.548699878863</v>
      </c>
      <c r="K24" s="57" t="n">
        <v>26</v>
      </c>
      <c r="L24" s="57" t="n">
        <v>9</v>
      </c>
      <c r="M24" s="57" t="n">
        <v>10</v>
      </c>
      <c r="N24" s="57" t="n">
        <v>9</v>
      </c>
      <c r="O24" s="57" t="n"/>
      <c r="P24" s="57" t="n"/>
      <c r="Q24" s="57" t="n">
        <v>7</v>
      </c>
      <c r="R24" s="57" t="n">
        <v>10</v>
      </c>
      <c r="S24" s="57" t="n">
        <v>2</v>
      </c>
      <c r="T24" s="57" t="n">
        <v>4</v>
      </c>
      <c r="U24" s="107" t="n">
        <v>11318</v>
      </c>
      <c r="V24" s="107" t="n">
        <v>20116</v>
      </c>
      <c r="W24" s="108" t="n">
        <v>1</v>
      </c>
      <c r="X24" s="107" t="n">
        <v>5029</v>
      </c>
      <c r="Y24" s="108" t="n">
        <v>0.346153846153846</v>
      </c>
      <c r="Z24" s="108" t="n">
        <v>1</v>
      </c>
      <c r="AA24" s="108" t="n">
        <v>0.346153846153846</v>
      </c>
      <c r="AB24" s="108" t="n">
        <v>0.777777777777778</v>
      </c>
      <c r="AC24" s="108" t="n"/>
      <c r="AD24" s="108" t="n">
        <v>1</v>
      </c>
      <c r="AE24" s="108" t="n">
        <v>0.285714285714286</v>
      </c>
      <c r="AF24" s="108" t="n">
        <v>0.0769230769230769</v>
      </c>
      <c r="AG24" s="108" t="n">
        <v>0.153846153846154</v>
      </c>
      <c r="AH24" s="107" t="n">
        <v>26488.2301793046</v>
      </c>
      <c r="AI24" s="109" t="n">
        <v>0.759431636762081</v>
      </c>
      <c r="AJ24" s="57" t="n">
        <v>10</v>
      </c>
      <c r="AK24" s="57" t="n">
        <v>10</v>
      </c>
      <c r="AL24" s="57" t="n">
        <v>10</v>
      </c>
      <c r="AM24" s="107" t="n">
        <v>1692.43130842065</v>
      </c>
      <c r="AN24" s="107" t="n">
        <v>1181.07964433251</v>
      </c>
      <c r="AO24" s="107" t="n">
        <v>2212.79398851327</v>
      </c>
      <c r="AP24" s="107" t="n">
        <v>260</v>
      </c>
      <c r="AQ24" s="107" t="n">
        <v>847.65904118769</v>
      </c>
      <c r="AR24" s="57" t="n">
        <v>0</v>
      </c>
      <c r="AS24" s="57" t="n">
        <v>0</v>
      </c>
      <c r="AT24" s="57" t="n">
        <v>0</v>
      </c>
      <c r="AU24" s="57" t="n">
        <v>0</v>
      </c>
      <c r="AV24" s="57" t="n"/>
      <c r="AW24" s="57" t="n"/>
      <c r="AX24" s="57" t="n">
        <v>0</v>
      </c>
      <c r="AY24" s="57" t="n">
        <v>0</v>
      </c>
      <c r="AZ24" s="57" t="n">
        <v>0</v>
      </c>
      <c r="BA24" s="57" t="n">
        <v>0</v>
      </c>
      <c r="BB24" s="107" t="n">
        <v>0</v>
      </c>
      <c r="BC24" s="107" t="n">
        <v>0</v>
      </c>
      <c r="BD24" s="108" t="n"/>
      <c r="BE24" s="107" t="n"/>
      <c r="BF24" s="108" t="n"/>
      <c r="BG24" s="108" t="n"/>
      <c r="BH24" s="108" t="n"/>
      <c r="BI24" s="108" t="n"/>
      <c r="BJ24" s="108" t="n"/>
      <c r="BK24" s="108" t="n"/>
      <c r="BL24" s="108" t="n"/>
      <c r="BM24" s="108" t="n"/>
      <c r="BN24" s="108" t="n"/>
      <c r="BO24" s="57" t="n">
        <v>0</v>
      </c>
      <c r="BP24" s="57" t="n">
        <v>0</v>
      </c>
      <c r="BQ24" s="57" t="n">
        <v>0</v>
      </c>
      <c r="BR24" s="107" t="n">
        <v>0</v>
      </c>
      <c r="BS24" s="107" t="n">
        <v>0</v>
      </c>
      <c r="BT24" s="107" t="n">
        <v>0</v>
      </c>
      <c r="BU24" s="107" t="n">
        <v>0</v>
      </c>
      <c r="BV24" s="107" t="n">
        <v>0</v>
      </c>
      <c r="BW24" s="107" t="n">
        <v>11318</v>
      </c>
      <c r="BX24" s="107" t="n">
        <v>20116</v>
      </c>
      <c r="BY24" s="108" t="n">
        <v>1</v>
      </c>
      <c r="BZ24" s="107" t="n">
        <v>4501.53267403347</v>
      </c>
      <c r="CA24" s="107" t="n">
        <v>3161.33213191583</v>
      </c>
      <c r="CB24" s="107" t="n">
        <v>1692.43130842065</v>
      </c>
      <c r="CC24" s="107" t="n">
        <v>20294.2661968504</v>
      </c>
      <c r="CD24" s="107" t="n">
        <v>19936.8214886691</v>
      </c>
      <c r="CE24" s="107" t="n">
        <v>24790.5849290056</v>
      </c>
      <c r="CF24" s="109" t="n">
        <v>0.456544290197754</v>
      </c>
      <c r="CG24" s="118" t="n">
        <v>714.88941636263</v>
      </c>
      <c r="CH24" s="107" t="n">
        <v>26488.2301793046</v>
      </c>
      <c r="CI24" s="109" t="n">
        <v>0.759431636762081</v>
      </c>
      <c r="CJ24" s="107" t="n">
        <v>26745.7988708839</v>
      </c>
      <c r="CK24" s="109" t="n">
        <v>0.752118121321055</v>
      </c>
    </row>
    <row r="25" ht="16.5" customFormat="1" customHeight="1" s="39">
      <c r="A25" s="63" t="n">
        <v>45992</v>
      </c>
      <c r="B25" s="57" t="n"/>
      <c r="C25" s="57" t="n"/>
      <c r="D25" s="57" t="n"/>
      <c r="E25" s="57" t="n"/>
      <c r="F25" s="57" t="n"/>
      <c r="G25" s="57" t="n"/>
      <c r="H25" s="107" t="n">
        <v>10835.4536585366</v>
      </c>
      <c r="I25" s="118">
        <f>H25-CG25</f>
        <v/>
      </c>
      <c r="J25" s="107" t="n">
        <v>3611.81788617887</v>
      </c>
      <c r="K25" s="57" t="n">
        <v>3</v>
      </c>
      <c r="L25" s="57" t="n">
        <v>1</v>
      </c>
      <c r="M25" s="57" t="n">
        <v>1</v>
      </c>
      <c r="N25" s="57" t="n">
        <v>2</v>
      </c>
      <c r="O25" s="57" t="n">
        <v>2</v>
      </c>
      <c r="P25" s="57" t="n">
        <v>5</v>
      </c>
      <c r="Q25" s="57" t="n">
        <v>1</v>
      </c>
      <c r="R25" s="57" t="n">
        <v>5</v>
      </c>
      <c r="S25" s="57" t="n">
        <v>0</v>
      </c>
      <c r="T25" s="57" t="n">
        <v>0</v>
      </c>
      <c r="U25" s="107" t="n">
        <v>0</v>
      </c>
      <c r="V25" s="107" t="n">
        <v>0</v>
      </c>
      <c r="W25" s="108" t="n"/>
      <c r="X25" s="107" t="n"/>
      <c r="Y25" s="108" t="n">
        <v>0.333333333333333</v>
      </c>
      <c r="Z25" s="108" t="n">
        <v>2</v>
      </c>
      <c r="AA25" s="108" t="n">
        <v>0.666666666666667</v>
      </c>
      <c r="AB25" s="108" t="n">
        <v>0.5</v>
      </c>
      <c r="AC25" s="108" t="n">
        <v>0.5</v>
      </c>
      <c r="AD25" s="108" t="n">
        <v>1</v>
      </c>
      <c r="AE25" s="108" t="n">
        <v>0</v>
      </c>
      <c r="AF25" s="108" t="n">
        <v>0</v>
      </c>
      <c r="AG25" s="108" t="n">
        <v>0</v>
      </c>
      <c r="AH25" s="107" t="n">
        <v>906.060550728091</v>
      </c>
      <c r="AI25" s="109" t="n">
        <v>0</v>
      </c>
      <c r="AJ25" s="57" t="n">
        <v>5</v>
      </c>
      <c r="AK25" s="57" t="n">
        <v>5</v>
      </c>
      <c r="AL25" s="57" t="n">
        <v>6</v>
      </c>
      <c r="AM25" s="107" t="n">
        <v>223.849663810546</v>
      </c>
      <c r="AN25" s="107" t="n">
        <v>147.227870773721</v>
      </c>
      <c r="AO25" s="107" t="n">
        <v>0</v>
      </c>
      <c r="AP25" s="107" t="n">
        <v>30</v>
      </c>
      <c r="AQ25" s="107" t="n">
        <v>504.983016143824</v>
      </c>
      <c r="AR25" s="57" t="n">
        <v>0</v>
      </c>
      <c r="AS25" s="57" t="n">
        <v>0</v>
      </c>
      <c r="AT25" s="57" t="n">
        <v>0</v>
      </c>
      <c r="AU25" s="57" t="n">
        <v>0</v>
      </c>
      <c r="AV25" s="57" t="n">
        <v>0</v>
      </c>
      <c r="AW25" s="57" t="n">
        <v>0</v>
      </c>
      <c r="AX25" s="57" t="n">
        <v>0</v>
      </c>
      <c r="AY25" s="57" t="n">
        <v>0</v>
      </c>
      <c r="AZ25" s="57" t="n">
        <v>0</v>
      </c>
      <c r="BA25" s="57" t="n">
        <v>0</v>
      </c>
      <c r="BB25" s="107" t="n">
        <v>0</v>
      </c>
      <c r="BC25" s="107" t="n">
        <v>0</v>
      </c>
      <c r="BD25" s="108" t="n"/>
      <c r="BE25" s="107" t="n"/>
      <c r="BF25" s="108" t="n"/>
      <c r="BG25" s="108" t="n"/>
      <c r="BH25" s="108" t="n"/>
      <c r="BI25" s="108" t="n"/>
      <c r="BJ25" s="108" t="n"/>
      <c r="BK25" s="108" t="n"/>
      <c r="BL25" s="108" t="n"/>
      <c r="BM25" s="108" t="n"/>
      <c r="BN25" s="108" t="n"/>
      <c r="BO25" s="57" t="n">
        <v>0</v>
      </c>
      <c r="BP25" s="57" t="n">
        <v>0</v>
      </c>
      <c r="BQ25" s="57" t="n">
        <v>0</v>
      </c>
      <c r="BR25" s="107" t="n">
        <v>0</v>
      </c>
      <c r="BS25" s="107" t="n">
        <v>0</v>
      </c>
      <c r="BT25" s="107" t="n">
        <v>0</v>
      </c>
      <c r="BU25" s="107" t="n">
        <v>0</v>
      </c>
      <c r="BV25" s="107" t="n">
        <v>0</v>
      </c>
      <c r="BW25" s="107" t="n">
        <v>0</v>
      </c>
      <c r="BX25" s="107" t="n">
        <v>0</v>
      </c>
      <c r="BY25" s="108" t="n"/>
      <c r="BZ25" s="107" t="n">
        <v>682.2108869175451</v>
      </c>
      <c r="CA25" s="107" t="n">
        <v>345.555542821662</v>
      </c>
      <c r="CB25" s="107" t="n">
        <v>223.849663810546</v>
      </c>
      <c r="CC25" s="107" t="n">
        <v>10835.4536585366</v>
      </c>
      <c r="CD25" s="107" t="n">
        <v>10835.4536585366</v>
      </c>
      <c r="CE25" s="107" t="n">
        <v>569.405206632209</v>
      </c>
      <c r="CF25" s="109" t="n">
        <v>0</v>
      </c>
      <c r="CG25" s="118" t="n">
        <v>0</v>
      </c>
      <c r="CH25" s="107" t="n">
        <v>906.060550728091</v>
      </c>
      <c r="CI25" s="109" t="n">
        <v>0</v>
      </c>
      <c r="CJ25" s="107" t="n">
        <v>907.2108869175451</v>
      </c>
      <c r="CK25" s="109" t="n">
        <v>0</v>
      </c>
    </row>
    <row r="26" ht="16.5" customFormat="1" customHeight="1" s="39">
      <c r="A26" s="63" t="n">
        <v>46023</v>
      </c>
      <c r="B26" s="57" t="n"/>
      <c r="C26" s="57" t="n"/>
      <c r="D26" s="57" t="n"/>
      <c r="E26" s="57" t="n"/>
      <c r="F26" s="57" t="n"/>
      <c r="G26" s="57" t="n"/>
      <c r="H26" s="107" t="n">
        <v>2266.56585365854</v>
      </c>
      <c r="I26" s="118">
        <f>H26-CG26</f>
        <v/>
      </c>
      <c r="J26" s="107" t="n">
        <v>566.641463414635</v>
      </c>
      <c r="K26" s="57" t="n">
        <v>4</v>
      </c>
      <c r="L26" s="57" t="n">
        <v>4</v>
      </c>
      <c r="M26" s="57" t="n">
        <v>4</v>
      </c>
      <c r="N26" s="57" t="n">
        <v>3</v>
      </c>
      <c r="O26" s="57" t="n">
        <v>3</v>
      </c>
      <c r="P26" s="57" t="n">
        <v>2</v>
      </c>
      <c r="Q26" s="57" t="n">
        <v>2</v>
      </c>
      <c r="R26" s="57" t="n">
        <v>2</v>
      </c>
      <c r="S26" s="57" t="n">
        <v>1</v>
      </c>
      <c r="T26" s="57" t="n">
        <v>1</v>
      </c>
      <c r="U26" s="107" t="n">
        <v>4588</v>
      </c>
      <c r="V26" s="107" t="n">
        <v>4588</v>
      </c>
      <c r="W26" s="108" t="n">
        <v>1</v>
      </c>
      <c r="X26" s="107" t="n">
        <v>4588</v>
      </c>
      <c r="Y26" s="108" t="n">
        <v>1</v>
      </c>
      <c r="Z26" s="108" t="n">
        <v>0.75</v>
      </c>
      <c r="AA26" s="108" t="n">
        <v>0.75</v>
      </c>
      <c r="AB26" s="108" t="n">
        <v>0.666666666666667</v>
      </c>
      <c r="AC26" s="108" t="n">
        <v>0.666666666666667</v>
      </c>
      <c r="AD26" s="108" t="n">
        <v>1</v>
      </c>
      <c r="AE26" s="108" t="n">
        <v>0.5</v>
      </c>
      <c r="AF26" s="108" t="n">
        <v>0.25</v>
      </c>
      <c r="AG26" s="108" t="n">
        <v>0.25</v>
      </c>
      <c r="AH26" s="107" t="n">
        <v>4042.34114283019</v>
      </c>
      <c r="AI26" s="109" t="n">
        <v>1.13498585049845</v>
      </c>
      <c r="AJ26" s="57" t="n">
        <v>2</v>
      </c>
      <c r="AK26" s="57" t="n">
        <v>2</v>
      </c>
      <c r="AL26" s="57" t="n">
        <v>2</v>
      </c>
      <c r="AM26" s="107" t="n">
        <v>374.593915260847</v>
      </c>
      <c r="AN26" s="107" t="n">
        <v>625.330181547436</v>
      </c>
      <c r="AO26" s="107" t="n">
        <v>567.523520315424</v>
      </c>
      <c r="AP26" s="107" t="n">
        <v>40</v>
      </c>
      <c r="AQ26" s="107" t="n">
        <v>168.327672047941</v>
      </c>
      <c r="AR26" s="57" t="n">
        <v>0</v>
      </c>
      <c r="AS26" s="57" t="n">
        <v>0</v>
      </c>
      <c r="AT26" s="57" t="n">
        <v>0</v>
      </c>
      <c r="AU26" s="57" t="n">
        <v>0</v>
      </c>
      <c r="AV26" s="57" t="n">
        <v>0</v>
      </c>
      <c r="AW26" s="57" t="n">
        <v>0</v>
      </c>
      <c r="AX26" s="57" t="n">
        <v>0</v>
      </c>
      <c r="AY26" s="57" t="n">
        <v>0</v>
      </c>
      <c r="AZ26" s="57" t="n">
        <v>0</v>
      </c>
      <c r="BA26" s="57" t="n">
        <v>0</v>
      </c>
      <c r="BB26" s="107" t="n">
        <v>0</v>
      </c>
      <c r="BC26" s="107" t="n">
        <v>0</v>
      </c>
      <c r="BD26" s="108" t="n"/>
      <c r="BE26" s="107" t="n"/>
      <c r="BF26" s="108" t="n"/>
      <c r="BG26" s="108" t="n"/>
      <c r="BH26" s="108" t="n"/>
      <c r="BI26" s="108" t="n"/>
      <c r="BJ26" s="108" t="n"/>
      <c r="BK26" s="108" t="n"/>
      <c r="BL26" s="108" t="n"/>
      <c r="BM26" s="108" t="n"/>
      <c r="BN26" s="108" t="n"/>
      <c r="BO26" s="57" t="n">
        <v>0</v>
      </c>
      <c r="BP26" s="57" t="n">
        <v>0</v>
      </c>
      <c r="BQ26" s="57" t="n">
        <v>0</v>
      </c>
      <c r="BR26" s="107" t="n">
        <v>0</v>
      </c>
      <c r="BS26" s="107" t="n">
        <v>0</v>
      </c>
      <c r="BT26" s="107" t="n">
        <v>0</v>
      </c>
      <c r="BU26" s="107" t="n">
        <v>0</v>
      </c>
      <c r="BV26" s="107" t="n">
        <v>0</v>
      </c>
      <c r="BW26" s="107" t="n">
        <v>4588</v>
      </c>
      <c r="BX26" s="107" t="n">
        <v>4588</v>
      </c>
      <c r="BY26" s="108" t="n">
        <v>1</v>
      </c>
      <c r="BZ26" s="107" t="n">
        <v>1401.1813739108</v>
      </c>
      <c r="CA26" s="107" t="n">
        <v>1401.1813739108</v>
      </c>
      <c r="CB26" s="107" t="n">
        <v>374.593915260847</v>
      </c>
      <c r="CC26" s="107" t="n">
        <v>2266.56585365854</v>
      </c>
      <c r="CD26" s="107" t="n">
        <v>2266.56585365854</v>
      </c>
      <c r="CE26" s="107" t="n">
        <v>4042.34114283019</v>
      </c>
      <c r="CF26" s="109" t="n">
        <v>1.13498585049845</v>
      </c>
      <c r="CG26" s="118" t="n">
        <v>0</v>
      </c>
      <c r="CH26" s="107" t="n">
        <v>4042.34114283019</v>
      </c>
      <c r="CI26" s="109" t="n">
        <v>1.13498585049845</v>
      </c>
      <c r="CJ26" s="107" t="n">
        <v>3967.74722756934</v>
      </c>
      <c r="CK26" s="109" t="n">
        <v>1.15632366097339</v>
      </c>
    </row>
    <row r="27" ht="30" customFormat="1" customHeight="1" s="40">
      <c r="A27" s="40" t="inlineStr">
        <is>
          <t>陈琪-汇总</t>
        </is>
      </c>
      <c r="B27" s="57" t="n"/>
      <c r="C27" s="57" t="n"/>
      <c r="D27" s="57" t="n"/>
      <c r="E27" s="57" t="n"/>
      <c r="F27" s="57" t="n"/>
      <c r="G27" s="57" t="n"/>
      <c r="H27" s="107">
        <f>SUM(H13:H26)</f>
        <v/>
      </c>
      <c r="I27" s="107">
        <f>SUM(I13:I26)</f>
        <v/>
      </c>
      <c r="J27" s="107">
        <f>I27/K27</f>
        <v/>
      </c>
      <c r="K27" s="57">
        <f>SUM(K13:K26)</f>
        <v/>
      </c>
      <c r="L27" s="57">
        <f>SUM(L13:L26)</f>
        <v/>
      </c>
      <c r="M27" s="57">
        <f>SUM(M13:M26)</f>
        <v/>
      </c>
      <c r="N27" s="57">
        <f>SUM(N13:N26)</f>
        <v/>
      </c>
      <c r="O27" s="57">
        <f>SUM(O13:O26)</f>
        <v/>
      </c>
      <c r="P27" s="57">
        <f>SUM(P13:P26)</f>
        <v/>
      </c>
      <c r="Q27" s="57">
        <f>SUM(Q13:Q26)</f>
        <v/>
      </c>
      <c r="R27" s="57">
        <f>SUM(R13:R26)</f>
        <v/>
      </c>
      <c r="S27" s="57">
        <f>SUM(S13:S26)</f>
        <v/>
      </c>
      <c r="T27" s="57">
        <f>SUM(T13:T26)</f>
        <v/>
      </c>
      <c r="U27" s="107">
        <f>SUM(U13:U26)</f>
        <v/>
      </c>
      <c r="V27" s="107">
        <f>SUM(V13:V26)</f>
        <v/>
      </c>
      <c r="W27" s="57" t="n"/>
      <c r="X27" s="107">
        <f>V27/T27</f>
        <v/>
      </c>
      <c r="Y27" s="61">
        <f>L27/K27</f>
        <v/>
      </c>
      <c r="Z27" s="61">
        <f>N27/L27</f>
        <v/>
      </c>
      <c r="AA27" s="61">
        <f>N27/K27</f>
        <v/>
      </c>
      <c r="AB27" s="61">
        <f>Q27/N27</f>
        <v/>
      </c>
      <c r="AC27" s="61" t="n"/>
      <c r="AD27" s="61">
        <f>AVERAGE(AD13:AD26)</f>
        <v/>
      </c>
      <c r="AE27" s="61">
        <f>S27/Q27</f>
        <v/>
      </c>
      <c r="AF27" s="61">
        <f>S27/K27</f>
        <v/>
      </c>
      <c r="AG27" s="61">
        <f>T27/K27</f>
        <v/>
      </c>
      <c r="AH27" s="107">
        <f>SUM(AH13:AH26)</f>
        <v/>
      </c>
      <c r="AI27" s="109">
        <f>V27/AH27</f>
        <v/>
      </c>
      <c r="AJ27" s="57">
        <f>SUM(AJ13:AJ26)</f>
        <v/>
      </c>
      <c r="AK27" s="57">
        <f>SUM(AK13:AK26)</f>
        <v/>
      </c>
      <c r="AL27" s="57">
        <f>SUM(AL13:AL26)</f>
        <v/>
      </c>
      <c r="AM27" s="107">
        <f>SUM(AM13:AM26)</f>
        <v/>
      </c>
      <c r="AN27" s="107">
        <f>SUM(AN13:AN26)</f>
        <v/>
      </c>
      <c r="AO27" s="107">
        <f>SUM(AO13:AO26)</f>
        <v/>
      </c>
      <c r="AP27" s="107">
        <f>SUM(AP13:AP26)</f>
        <v/>
      </c>
      <c r="AQ27" s="107">
        <f>SUM(AQ13:AQ26)</f>
        <v/>
      </c>
      <c r="AR27" s="57">
        <f>SUM(AR13:AR26)</f>
        <v/>
      </c>
      <c r="AS27" s="57">
        <f>SUM(AS13:AS26)</f>
        <v/>
      </c>
      <c r="AT27" s="57">
        <f>SUM(AT13:AT26)</f>
        <v/>
      </c>
      <c r="AU27" s="57">
        <f>SUM(AU13:AU26)</f>
        <v/>
      </c>
      <c r="AV27" s="57" t="n"/>
      <c r="AW27" s="57" t="n"/>
      <c r="AX27" s="57">
        <f>SUM(AX13:AX26)</f>
        <v/>
      </c>
      <c r="AY27" s="57">
        <f>SUM(AY13:AY26)</f>
        <v/>
      </c>
      <c r="AZ27" s="57">
        <f>SUM(AZ13:AZ26)</f>
        <v/>
      </c>
      <c r="BA27" s="57">
        <f>SUM(BA13:BA26)</f>
        <v/>
      </c>
      <c r="BB27" s="107">
        <f>SUM(BB13:BB26)</f>
        <v/>
      </c>
      <c r="BC27" s="107">
        <f>SUM(BC13:BC26)</f>
        <v/>
      </c>
      <c r="BD27" s="107" t="n"/>
      <c r="BE27" s="107">
        <f>BC27/BA27</f>
        <v/>
      </c>
      <c r="BF27" s="62">
        <f>AS27/AR27</f>
        <v/>
      </c>
      <c r="BG27" s="62">
        <f>AU27/AS27</f>
        <v/>
      </c>
      <c r="BH27" s="62">
        <f>AU27/AR27</f>
        <v/>
      </c>
      <c r="BI27" s="62">
        <f>AX27/AU27</f>
        <v/>
      </c>
      <c r="BJ27" s="62" t="n"/>
      <c r="BK27" s="62">
        <f>AVERAGE(BK13:BK26)</f>
        <v/>
      </c>
      <c r="BL27" s="62">
        <f>AZ27/AX27</f>
        <v/>
      </c>
      <c r="BM27" s="62">
        <f>AZ27/AR27</f>
        <v/>
      </c>
      <c r="BN27" s="62">
        <f>BA27/AR27</f>
        <v/>
      </c>
      <c r="BO27" s="57">
        <f>SUM(BO13:BO26)</f>
        <v/>
      </c>
      <c r="BP27" s="57">
        <f>SUM(BP13:BP26)</f>
        <v/>
      </c>
      <c r="BQ27" s="57">
        <f>SUM(BQ13:BQ26)</f>
        <v/>
      </c>
      <c r="BR27" s="107">
        <f>SUM(BR13:BR26)</f>
        <v/>
      </c>
      <c r="BS27" s="107">
        <f>SUM(BS13:BS26)</f>
        <v/>
      </c>
      <c r="BT27" s="107">
        <f>SUM(BT13:BT26)</f>
        <v/>
      </c>
      <c r="BU27" s="57">
        <f>SUM(BU13:BU26)</f>
        <v/>
      </c>
      <c r="BV27" s="57">
        <f>SUM(BV13:BV26)</f>
        <v/>
      </c>
      <c r="BW27" s="107">
        <f>SUM(BW13:BW26)</f>
        <v/>
      </c>
      <c r="BX27" s="107">
        <f>SUM(BX13:BX26)</f>
        <v/>
      </c>
      <c r="BY27" s="107" t="n"/>
      <c r="BZ27" s="107">
        <f>SUM(BZ13:BZ26)</f>
        <v/>
      </c>
      <c r="CA27" s="107">
        <f>SUM(CA13:CA26)</f>
        <v/>
      </c>
      <c r="CB27" s="107">
        <f>SUM(CB13:CB26)</f>
        <v/>
      </c>
      <c r="CC27" s="107">
        <f>SUM(CC13:CC26)</f>
        <v/>
      </c>
      <c r="CD27" s="107">
        <f>SUM(CD13:CD26)</f>
        <v/>
      </c>
      <c r="CE27" s="107">
        <f>SUM(CE13:CE26)</f>
        <v/>
      </c>
      <c r="CF27" s="109">
        <f>BW27/CE27</f>
        <v/>
      </c>
      <c r="CG27" s="107">
        <f>SUM(CG13:CG26)</f>
        <v/>
      </c>
      <c r="CH27" s="107">
        <f>SUM(CH13:CH26)</f>
        <v/>
      </c>
      <c r="CI27" s="109">
        <f>BX27/CH27</f>
        <v/>
      </c>
      <c r="CJ27" s="107">
        <f>SUM(CJ13:CJ26)</f>
        <v/>
      </c>
      <c r="CK27" s="109">
        <f>BX27/CJ27</f>
        <v/>
      </c>
    </row>
  </sheetData>
  <mergeCells count="6">
    <mergeCell ref="I1:AI1"/>
    <mergeCell ref="I11:AI11"/>
    <mergeCell ref="BW1:CK1"/>
    <mergeCell ref="BW11:CK11"/>
    <mergeCell ref="AR11:BN11"/>
    <mergeCell ref="AR1:B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1"/>
  <sheetViews>
    <sheetView zoomScale="70" zoomScaleNormal="70" workbookViewId="0">
      <selection activeCell="I39" sqref="I39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应到课数</t>
        </is>
      </c>
      <c r="P2" s="91" t="inlineStr">
        <is>
          <t>滚动应到课数</t>
        </is>
      </c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45904</v>
      </c>
      <c r="B3" s="67" t="n"/>
      <c r="C3" s="67" t="n"/>
      <c r="D3" s="67" t="n"/>
      <c r="E3" s="67" t="n"/>
      <c r="F3" s="67" t="n"/>
      <c r="G3" s="67" t="n"/>
      <c r="H3" s="67" t="n">
        <v>128084.364123008</v>
      </c>
      <c r="I3" s="117" t="n">
        <v>123439.746559268</v>
      </c>
      <c r="J3" s="117" t="n">
        <v>576.956595148685</v>
      </c>
      <c r="K3" s="67" t="n">
        <v>222</v>
      </c>
      <c r="L3" s="67" t="n">
        <v>91</v>
      </c>
      <c r="M3" s="67" t="n">
        <v>91</v>
      </c>
      <c r="N3" s="67" t="n">
        <v>90</v>
      </c>
      <c r="O3" s="67" t="n"/>
      <c r="P3" s="67" t="n"/>
      <c r="Q3" s="67" t="n">
        <v>69</v>
      </c>
      <c r="R3" s="67" t="n">
        <v>69</v>
      </c>
      <c r="S3" s="67" t="n">
        <v>26</v>
      </c>
      <c r="T3" s="67" t="n">
        <v>26</v>
      </c>
      <c r="U3" s="117" t="n">
        <v>151688</v>
      </c>
      <c r="V3" s="117" t="n">
        <v>151688</v>
      </c>
      <c r="W3" s="121" t="n">
        <v>1</v>
      </c>
      <c r="X3" s="117" t="n">
        <v>5834.15384615385</v>
      </c>
      <c r="Y3" s="121" t="n">
        <v>0.40990990990991</v>
      </c>
      <c r="Z3" s="121" t="n">
        <v>0.9890109890109891</v>
      </c>
      <c r="AA3" s="121" t="n">
        <v>0.405405405405405</v>
      </c>
      <c r="AB3" s="121" t="n">
        <v>0.7666666666666671</v>
      </c>
      <c r="AC3" s="121" t="n"/>
      <c r="AD3" s="121" t="n">
        <v>0.971830985915493</v>
      </c>
      <c r="AE3" s="121" t="n">
        <v>0.376811594202899</v>
      </c>
      <c r="AF3" s="121" t="n">
        <v>0.117117117117117</v>
      </c>
      <c r="AG3" s="121" t="n">
        <v>0.117117117117117</v>
      </c>
      <c r="AH3" s="117" t="n">
        <v>183768.4732164</v>
      </c>
      <c r="AI3" s="122" t="n">
        <v>0.82542994097457</v>
      </c>
      <c r="AJ3" s="67" t="n">
        <v>71</v>
      </c>
      <c r="AK3" s="67" t="n">
        <v>69</v>
      </c>
      <c r="AL3" s="67" t="n">
        <v>76</v>
      </c>
      <c r="AM3" s="117" t="n">
        <v>16820.6818777792</v>
      </c>
      <c r="AN3" s="117" t="n">
        <v>13157.618116647</v>
      </c>
      <c r="AO3" s="117" t="n">
        <v>17031.156831434</v>
      </c>
      <c r="AP3" s="117" t="n">
        <v>2220</v>
      </c>
      <c r="AQ3" s="67" t="n">
        <v>6454.65226753192</v>
      </c>
      <c r="AR3" s="67" t="n">
        <v>0</v>
      </c>
      <c r="AS3" s="67" t="n">
        <v>0</v>
      </c>
      <c r="AT3" s="67" t="n">
        <v>0</v>
      </c>
      <c r="AU3" s="67" t="n">
        <v>0</v>
      </c>
      <c r="AV3" s="67" t="n"/>
      <c r="AW3" s="67" t="n"/>
      <c r="AX3" s="67" t="n">
        <v>0</v>
      </c>
      <c r="AY3" s="67" t="n">
        <v>0</v>
      </c>
      <c r="AZ3" s="67" t="n">
        <v>0</v>
      </c>
      <c r="BA3" s="117" t="n">
        <v>0</v>
      </c>
      <c r="BB3" s="117" t="n">
        <v>0</v>
      </c>
      <c r="BC3" s="121" t="n">
        <v>0</v>
      </c>
      <c r="BD3" s="117" t="n"/>
      <c r="BE3" s="121" t="n"/>
      <c r="BF3" s="121" t="n"/>
      <c r="BG3" s="121" t="n"/>
      <c r="BH3" s="121" t="n"/>
      <c r="BI3" s="121" t="n"/>
      <c r="BJ3" s="121" t="n"/>
      <c r="BK3" s="121" t="n"/>
      <c r="BL3" s="121" t="n"/>
      <c r="BM3" s="121" t="n"/>
      <c r="BN3" s="67" t="n"/>
      <c r="BO3" s="67" t="n">
        <v>0</v>
      </c>
      <c r="BP3" s="67" t="n">
        <v>0</v>
      </c>
      <c r="BQ3" s="117" t="n">
        <v>0</v>
      </c>
      <c r="BR3" s="117" t="n">
        <v>0</v>
      </c>
      <c r="BS3" s="117" t="n">
        <v>0</v>
      </c>
      <c r="BT3" s="117" t="n">
        <v>0</v>
      </c>
      <c r="BU3" s="117" t="n">
        <v>0</v>
      </c>
      <c r="BV3" s="117" t="n">
        <v>0</v>
      </c>
      <c r="BW3" s="117" t="n">
        <v>151688</v>
      </c>
      <c r="BX3" s="121" t="n">
        <v>151688</v>
      </c>
      <c r="BY3" s="117" t="n">
        <v>1</v>
      </c>
      <c r="BZ3" s="117" t="n">
        <v>38863.427215613</v>
      </c>
      <c r="CA3" s="117" t="n">
        <v>38863.427215613</v>
      </c>
      <c r="CB3" s="117" t="n">
        <v>16820.6818777792</v>
      </c>
      <c r="CC3" s="117" t="n">
        <v>128084.364123008</v>
      </c>
      <c r="CD3" s="117" t="n">
        <v>128084.364123008</v>
      </c>
      <c r="CE3" s="122" t="n">
        <v>183768.4732164</v>
      </c>
      <c r="CF3" s="122" t="n">
        <v>0.82542994097457</v>
      </c>
      <c r="CG3" s="122" t="n">
        <v>4644.61756373969</v>
      </c>
      <c r="CH3" s="122" t="n">
        <v>183768.4732164</v>
      </c>
      <c r="CI3" s="122" t="n">
        <v>0.82542994097457</v>
      </c>
      <c r="CJ3" s="122" t="n">
        <v>183597.791338621</v>
      </c>
      <c r="CK3" s="39" t="n">
        <v>0.826197302778181</v>
      </c>
    </row>
    <row r="4" ht="16.5" customFormat="1" customHeight="1" s="39">
      <c r="A4" s="63" t="n">
        <v>45931</v>
      </c>
      <c r="B4" s="67" t="n"/>
      <c r="C4" s="67" t="n"/>
      <c r="D4" s="67" t="n"/>
      <c r="E4" s="67" t="n"/>
      <c r="F4" s="67" t="n"/>
      <c r="G4" s="67" t="n"/>
      <c r="H4" s="107" t="n">
        <v>173328.069106097</v>
      </c>
      <c r="I4" s="118">
        <f>H4-CG4</f>
        <v/>
      </c>
      <c r="J4" s="107" t="n">
        <v>509.788438547343</v>
      </c>
      <c r="K4" s="57" t="n">
        <v>340</v>
      </c>
      <c r="L4" s="57" t="n">
        <v>105</v>
      </c>
      <c r="M4" s="57" t="n">
        <v>107</v>
      </c>
      <c r="N4" s="57" t="n">
        <v>107</v>
      </c>
      <c r="O4" s="57" t="n"/>
      <c r="P4" s="57" t="n"/>
      <c r="Q4" s="57" t="n">
        <v>71</v>
      </c>
      <c r="R4" s="57" t="n">
        <v>81</v>
      </c>
      <c r="S4" s="57" t="n">
        <v>25</v>
      </c>
      <c r="T4" s="57" t="n">
        <v>28</v>
      </c>
      <c r="U4" s="107" t="n">
        <v>161397</v>
      </c>
      <c r="V4" s="107" t="n">
        <v>177161</v>
      </c>
      <c r="W4" s="108" t="n">
        <v>1</v>
      </c>
      <c r="X4" s="107" t="n">
        <v>6327.17857142857</v>
      </c>
      <c r="Y4" s="108" t="n">
        <v>0.308823529411765</v>
      </c>
      <c r="Z4" s="108" t="n">
        <v>1.01904761904762</v>
      </c>
      <c r="AA4" s="108" t="n">
        <v>0.314705882352941</v>
      </c>
      <c r="AB4" s="108" t="n">
        <v>0.663551401869159</v>
      </c>
      <c r="AC4" s="108" t="n"/>
      <c r="AD4" s="108" t="n">
        <v>1</v>
      </c>
      <c r="AE4" s="108" t="n">
        <v>0.352112676056338</v>
      </c>
      <c r="AF4" s="108" t="n">
        <v>0.0735294117647059</v>
      </c>
      <c r="AG4" s="108" t="n">
        <v>0.0823529411764706</v>
      </c>
      <c r="AH4" s="107" t="n">
        <v>239886.442661242</v>
      </c>
      <c r="AI4" s="109" t="n">
        <v>0.738520268317871</v>
      </c>
      <c r="AJ4" s="57" t="n">
        <v>81</v>
      </c>
      <c r="AK4" s="57" t="n">
        <v>81</v>
      </c>
      <c r="AL4" s="57" t="n">
        <v>85</v>
      </c>
      <c r="AM4" s="107" t="n">
        <v>21244.7947141132</v>
      </c>
      <c r="AN4" s="107" t="n">
        <v>15220.4676551344</v>
      </c>
      <c r="AO4" s="107" t="n">
        <v>19488.0093358024</v>
      </c>
      <c r="AP4" s="107" t="n">
        <v>3400</v>
      </c>
      <c r="AQ4" s="107" t="n">
        <v>7205.10185009537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/>
      <c r="AW4" s="57" t="n"/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161397</v>
      </c>
      <c r="BX4" s="107" t="n">
        <v>177161</v>
      </c>
      <c r="BY4" s="108" t="n">
        <v>1</v>
      </c>
      <c r="BZ4" s="107" t="n">
        <v>45313.5788410321</v>
      </c>
      <c r="CA4" s="107" t="n">
        <v>42362.5925379381</v>
      </c>
      <c r="CB4" s="107" t="n">
        <v>21244.7947141132</v>
      </c>
      <c r="CC4" s="107" t="n">
        <v>173328.069106097</v>
      </c>
      <c r="CD4" s="107" t="n">
        <v>172792.151694896</v>
      </c>
      <c r="CE4" s="107" t="n">
        <v>236399.538946947</v>
      </c>
      <c r="CF4" s="109" t="n">
        <v>0.6827297579299459</v>
      </c>
      <c r="CG4" s="118" t="n">
        <v>5001.89583787351</v>
      </c>
      <c r="CH4" s="107" t="n">
        <v>239886.442661242</v>
      </c>
      <c r="CI4" s="109" t="n">
        <v>0.738520268317871</v>
      </c>
      <c r="CJ4" s="107" t="n">
        <v>244141.647947129</v>
      </c>
      <c r="CK4" s="109" t="n">
        <v>0.725648415539351</v>
      </c>
    </row>
    <row r="5" ht="16.5" customFormat="1" customHeight="1" s="39">
      <c r="A5" s="63" t="n">
        <v>45962</v>
      </c>
      <c r="B5" s="67" t="n"/>
      <c r="C5" s="67" t="n"/>
      <c r="D5" s="67" t="n"/>
      <c r="E5" s="67" t="n"/>
      <c r="F5" s="67" t="n"/>
      <c r="G5" s="67" t="n"/>
      <c r="H5" s="107" t="n">
        <v>162240.101880322</v>
      </c>
      <c r="I5" s="118">
        <f>H5-CG5</f>
        <v/>
      </c>
      <c r="J5" s="107" t="n">
        <v>965.714892144772</v>
      </c>
      <c r="K5" s="57" t="n">
        <v>168</v>
      </c>
      <c r="L5" s="57" t="n">
        <v>74</v>
      </c>
      <c r="M5" s="57" t="n">
        <v>80</v>
      </c>
      <c r="N5" s="57" t="n">
        <v>79</v>
      </c>
      <c r="O5" s="57" t="n"/>
      <c r="P5" s="57" t="n"/>
      <c r="Q5" s="57" t="n">
        <v>55</v>
      </c>
      <c r="R5" s="57" t="n">
        <v>68</v>
      </c>
      <c r="S5" s="57" t="n">
        <v>22</v>
      </c>
      <c r="T5" s="57" t="n">
        <v>33</v>
      </c>
      <c r="U5" s="107" t="n">
        <v>123436</v>
      </c>
      <c r="V5" s="107" t="n">
        <v>176554</v>
      </c>
      <c r="W5" s="108" t="n">
        <v>1</v>
      </c>
      <c r="X5" s="107" t="n">
        <v>5350.12121212121</v>
      </c>
      <c r="Y5" s="108" t="n">
        <v>0.44047619047619</v>
      </c>
      <c r="Z5" s="108" t="n">
        <v>1.06756756756757</v>
      </c>
      <c r="AA5" s="108" t="n">
        <v>0.470238095238095</v>
      </c>
      <c r="AB5" s="108" t="n">
        <v>0.69620253164557</v>
      </c>
      <c r="AC5" s="108" t="n"/>
      <c r="AD5" s="108" t="n">
        <v>0.985507246376812</v>
      </c>
      <c r="AE5" s="108" t="n">
        <v>0.4</v>
      </c>
      <c r="AF5" s="108" t="n">
        <v>0.130952380952381</v>
      </c>
      <c r="AG5" s="108" t="n">
        <v>0.196428571428571</v>
      </c>
      <c r="AH5" s="107" t="n">
        <v>209744.066530486</v>
      </c>
      <c r="AI5" s="109" t="n">
        <v>0.841759211216296</v>
      </c>
      <c r="AJ5" s="57" t="n">
        <v>69</v>
      </c>
      <c r="AK5" s="57" t="n">
        <v>68</v>
      </c>
      <c r="AL5" s="57" t="n">
        <v>71</v>
      </c>
      <c r="AM5" s="107" t="n">
        <v>10935.7099928719</v>
      </c>
      <c r="AN5" s="107" t="n">
        <v>9448.63715466008</v>
      </c>
      <c r="AO5" s="107" t="n">
        <v>19421.2383101995</v>
      </c>
      <c r="AP5" s="107" t="n">
        <v>1680</v>
      </c>
      <c r="AQ5" s="107" t="n">
        <v>6018.3791924326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/>
      <c r="AW5" s="57" t="n"/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123436</v>
      </c>
      <c r="BX5" s="107" t="n">
        <v>176554</v>
      </c>
      <c r="BY5" s="108" t="n">
        <v>1</v>
      </c>
      <c r="BZ5" s="107" t="n">
        <v>36568.2546572922</v>
      </c>
      <c r="CA5" s="107" t="n">
        <v>28660.2826552473</v>
      </c>
      <c r="CB5" s="107" t="n">
        <v>10935.7099928719</v>
      </c>
      <c r="CC5" s="107" t="n">
        <v>162240.101880322</v>
      </c>
      <c r="CD5" s="107" t="n">
        <v>160274.155985324</v>
      </c>
      <c r="CE5" s="107" t="n">
        <v>199870.148633444</v>
      </c>
      <c r="CF5" s="109" t="n">
        <v>0.617580968663701</v>
      </c>
      <c r="CG5" s="118" t="n">
        <v>5897.8376849917</v>
      </c>
      <c r="CH5" s="107" t="n">
        <v>209744.066530486</v>
      </c>
      <c r="CI5" s="109" t="n">
        <v>0.841759211216296</v>
      </c>
      <c r="CJ5" s="107" t="n">
        <v>211408.356537614</v>
      </c>
      <c r="CK5" s="109" t="n">
        <v>0.83513255053656</v>
      </c>
    </row>
    <row r="6" ht="16.5" customFormat="1" customHeight="1" s="39">
      <c r="A6" s="63" t="n">
        <v>45992</v>
      </c>
      <c r="B6" s="67" t="n"/>
      <c r="C6" s="67" t="n"/>
      <c r="D6" s="67" t="n"/>
      <c r="E6" s="67" t="n"/>
      <c r="F6" s="67" t="n"/>
      <c r="G6" s="67" t="n"/>
      <c r="H6" s="107" t="n">
        <v>88525.16231298821</v>
      </c>
      <c r="I6" s="118">
        <f>H6-CG6</f>
        <v/>
      </c>
      <c r="J6" s="107" t="n">
        <v>1041.47249779986</v>
      </c>
      <c r="K6" s="57" t="n">
        <v>85</v>
      </c>
      <c r="L6" s="57" t="n">
        <v>51</v>
      </c>
      <c r="M6" s="57" t="n">
        <v>51</v>
      </c>
      <c r="N6" s="57" t="n">
        <v>49</v>
      </c>
      <c r="O6" s="57" t="n">
        <v>48</v>
      </c>
      <c r="P6" s="57" t="n">
        <v>47</v>
      </c>
      <c r="Q6" s="57" t="n">
        <v>37</v>
      </c>
      <c r="R6" s="57" t="n">
        <v>46</v>
      </c>
      <c r="S6" s="57" t="n">
        <v>19</v>
      </c>
      <c r="T6" s="57" t="n">
        <v>22</v>
      </c>
      <c r="U6" s="107" t="n">
        <v>100699</v>
      </c>
      <c r="V6" s="107" t="n">
        <v>111196</v>
      </c>
      <c r="W6" s="108" t="n">
        <v>1</v>
      </c>
      <c r="X6" s="107" t="n">
        <v>5054.36363636364</v>
      </c>
      <c r="Y6" s="108" t="n">
        <v>0.6</v>
      </c>
      <c r="Z6" s="108" t="n">
        <v>0.96078431372549</v>
      </c>
      <c r="AA6" s="108" t="n">
        <v>0.576470588235294</v>
      </c>
      <c r="AB6" s="108" t="n">
        <v>0.755102040816326</v>
      </c>
      <c r="AC6" s="108" t="n">
        <v>0.770833333333333</v>
      </c>
      <c r="AD6" s="108" t="n">
        <v>0.978723404255319</v>
      </c>
      <c r="AE6" s="108" t="n">
        <v>0.513513513513513</v>
      </c>
      <c r="AF6" s="108" t="n">
        <v>0.223529411764706</v>
      </c>
      <c r="AG6" s="108" t="n">
        <v>0.258823529411765</v>
      </c>
      <c r="AH6" s="107" t="n">
        <v>121104.871262442</v>
      </c>
      <c r="AI6" s="109" t="n">
        <v>0.918179416243554</v>
      </c>
      <c r="AJ6" s="57" t="n">
        <v>47</v>
      </c>
      <c r="AK6" s="57" t="n">
        <v>46</v>
      </c>
      <c r="AL6" s="57" t="n">
        <v>49</v>
      </c>
      <c r="AM6" s="107" t="n">
        <v>6342.40714129881</v>
      </c>
      <c r="AN6" s="107" t="n">
        <v>7508.62140945977</v>
      </c>
      <c r="AO6" s="107" t="n">
        <v>13754.6524335209</v>
      </c>
      <c r="AP6" s="107" t="n">
        <v>850</v>
      </c>
      <c r="AQ6" s="107" t="n">
        <v>4124.02796517456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57" t="n">
        <v>0</v>
      </c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8" t="n"/>
      <c r="BE6" s="107" t="n"/>
      <c r="BF6" s="108" t="n"/>
      <c r="BG6" s="108" t="n"/>
      <c r="BH6" s="108" t="n"/>
      <c r="BI6" s="108" t="n"/>
      <c r="BJ6" s="108" t="n"/>
      <c r="BK6" s="108" t="n"/>
      <c r="BL6" s="108" t="n"/>
      <c r="BM6" s="108" t="n"/>
      <c r="BN6" s="108" t="n"/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107" t="n">
        <v>0</v>
      </c>
      <c r="BV6" s="107" t="n">
        <v>0</v>
      </c>
      <c r="BW6" s="107" t="n">
        <v>100699</v>
      </c>
      <c r="BX6" s="107" t="n">
        <v>111196</v>
      </c>
      <c r="BY6" s="108" t="n">
        <v>1</v>
      </c>
      <c r="BZ6" s="107" t="n">
        <v>26237.3018081552</v>
      </c>
      <c r="CA6" s="107" t="n">
        <v>24097.2121853281</v>
      </c>
      <c r="CB6" s="107" t="n">
        <v>6342.40714129881</v>
      </c>
      <c r="CC6" s="107" t="n">
        <v>88525.16231298821</v>
      </c>
      <c r="CD6" s="107" t="n">
        <v>87939.74439225929</v>
      </c>
      <c r="CE6" s="107" t="n">
        <v>118379.363718886</v>
      </c>
      <c r="CF6" s="109" t="n">
        <v>0.850646572481404</v>
      </c>
      <c r="CG6" s="118" t="n">
        <v>4293.06475201264</v>
      </c>
      <c r="CH6" s="107" t="n">
        <v>121104.871262442</v>
      </c>
      <c r="CI6" s="109" t="n">
        <v>0.918179416243554</v>
      </c>
      <c r="CJ6" s="107" t="n">
        <v>121137.464121143</v>
      </c>
      <c r="CK6" s="109" t="n">
        <v>0.917932373826139</v>
      </c>
    </row>
    <row r="7" ht="16.5" customFormat="1" customHeight="1" s="39">
      <c r="A7" s="63" t="n">
        <v>46023</v>
      </c>
      <c r="B7" s="67" t="n"/>
      <c r="C7" s="67" t="n"/>
      <c r="D7" s="67" t="n"/>
      <c r="E7" s="67" t="n"/>
      <c r="F7" s="67" t="n"/>
      <c r="G7" s="67" t="n"/>
      <c r="H7" s="107" t="n">
        <v>47898.5463414635</v>
      </c>
      <c r="I7" s="118">
        <f>H7-CG7</f>
        <v/>
      </c>
      <c r="J7" s="107" t="n">
        <v>630.24403080873</v>
      </c>
      <c r="K7" s="57" t="n">
        <v>76</v>
      </c>
      <c r="L7" s="57" t="n">
        <v>32</v>
      </c>
      <c r="M7" s="57" t="n">
        <v>35</v>
      </c>
      <c r="N7" s="57" t="n">
        <v>34</v>
      </c>
      <c r="O7" s="57" t="n">
        <v>31</v>
      </c>
      <c r="P7" s="57" t="n">
        <v>36</v>
      </c>
      <c r="Q7" s="57" t="n">
        <v>30</v>
      </c>
      <c r="R7" s="57" t="n">
        <v>36</v>
      </c>
      <c r="S7" s="57" t="n">
        <v>9</v>
      </c>
      <c r="T7" s="57" t="n">
        <v>12</v>
      </c>
      <c r="U7" s="107" t="n">
        <v>46392</v>
      </c>
      <c r="V7" s="107" t="n">
        <v>64056</v>
      </c>
      <c r="W7" s="108" t="n">
        <v>1</v>
      </c>
      <c r="X7" s="107" t="n">
        <v>5338</v>
      </c>
      <c r="Y7" s="108" t="n">
        <v>0.421052631578947</v>
      </c>
      <c r="Z7" s="108" t="n">
        <v>1.0625</v>
      </c>
      <c r="AA7" s="108" t="n">
        <v>0.447368421052632</v>
      </c>
      <c r="AB7" s="108" t="n">
        <v>0.882352941176471</v>
      </c>
      <c r="AC7" s="108" t="n">
        <v>0.967741935483871</v>
      </c>
      <c r="AD7" s="108" t="n">
        <v>1</v>
      </c>
      <c r="AE7" s="108" t="n">
        <v>0.3</v>
      </c>
      <c r="AF7" s="108" t="n">
        <v>0.118421052631579</v>
      </c>
      <c r="AG7" s="108" t="n">
        <v>0.157894736842105</v>
      </c>
      <c r="AH7" s="107" t="n">
        <v>75130.8841926154</v>
      </c>
      <c r="AI7" s="109" t="n">
        <v>0.852592122245994</v>
      </c>
      <c r="AJ7" s="57" t="n">
        <v>36</v>
      </c>
      <c r="AK7" s="57" t="n">
        <v>36</v>
      </c>
      <c r="AL7" s="57" t="n">
        <v>37</v>
      </c>
      <c r="AM7" s="107" t="n">
        <v>8266.30789697521</v>
      </c>
      <c r="AN7" s="107" t="n">
        <v>6776.25688750347</v>
      </c>
      <c r="AO7" s="107" t="n">
        <v>8397.22312486402</v>
      </c>
      <c r="AP7" s="107" t="n">
        <v>760</v>
      </c>
      <c r="AQ7" s="107" t="n">
        <v>3032.54994180919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57" t="n">
        <v>0</v>
      </c>
      <c r="AX7" s="57" t="n">
        <v>0</v>
      </c>
      <c r="AY7" s="57" t="n">
        <v>0</v>
      </c>
      <c r="AZ7" s="57" t="n">
        <v>0</v>
      </c>
      <c r="BA7" s="57" t="n">
        <v>0</v>
      </c>
      <c r="BB7" s="107" t="n">
        <v>0</v>
      </c>
      <c r="BC7" s="107" t="n">
        <v>0</v>
      </c>
      <c r="BD7" s="108" t="n"/>
      <c r="BE7" s="107" t="n"/>
      <c r="BF7" s="108" t="n"/>
      <c r="BG7" s="108" t="n"/>
      <c r="BH7" s="108" t="n"/>
      <c r="BI7" s="108" t="n"/>
      <c r="BJ7" s="108" t="n"/>
      <c r="BK7" s="108" t="n"/>
      <c r="BL7" s="108" t="n"/>
      <c r="BM7" s="108" t="n"/>
      <c r="BN7" s="108" t="n"/>
      <c r="BO7" s="57" t="n">
        <v>0</v>
      </c>
      <c r="BP7" s="57" t="n">
        <v>0</v>
      </c>
      <c r="BQ7" s="57" t="n">
        <v>0</v>
      </c>
      <c r="BR7" s="107" t="n">
        <v>0</v>
      </c>
      <c r="BS7" s="107" t="n">
        <v>0</v>
      </c>
      <c r="BT7" s="107" t="n">
        <v>0</v>
      </c>
      <c r="BU7" s="107" t="n">
        <v>0</v>
      </c>
      <c r="BV7" s="107" t="n">
        <v>0</v>
      </c>
      <c r="BW7" s="107" t="n">
        <v>46392</v>
      </c>
      <c r="BX7" s="107" t="n">
        <v>64056</v>
      </c>
      <c r="BY7" s="108" t="n">
        <v>1</v>
      </c>
      <c r="BZ7" s="107" t="n">
        <v>18966.0299541767</v>
      </c>
      <c r="CA7" s="107" t="n">
        <v>15495.8748446165</v>
      </c>
      <c r="CB7" s="107" t="n">
        <v>8266.30789697521</v>
      </c>
      <c r="CC7" s="107" t="n">
        <v>47898.5463414635</v>
      </c>
      <c r="CD7" s="107" t="n">
        <v>47898.5463414635</v>
      </c>
      <c r="CE7" s="107" t="n">
        <v>71660.72908305519</v>
      </c>
      <c r="CF7" s="109" t="n">
        <v>0.647383868314142</v>
      </c>
      <c r="CG7" s="118" t="n">
        <v>0</v>
      </c>
      <c r="CH7" s="107" t="n">
        <v>75130.8841926154</v>
      </c>
      <c r="CI7" s="109" t="n">
        <v>0.852592122245994</v>
      </c>
      <c r="CJ7" s="107" t="n">
        <v>72564.5762956402</v>
      </c>
      <c r="CK7" s="109" t="n">
        <v>0.8827447670751239</v>
      </c>
    </row>
    <row r="8" ht="16.5" customFormat="1" customHeight="1" s="39">
      <c r="A8" s="63" t="n">
        <v>46054</v>
      </c>
      <c r="B8" s="67" t="n"/>
      <c r="C8" s="67" t="n"/>
      <c r="D8" s="67" t="n"/>
      <c r="E8" s="67" t="n"/>
      <c r="F8" s="67" t="n"/>
      <c r="G8" s="67" t="n"/>
      <c r="H8" s="107" t="n">
        <v>43300.3763161651</v>
      </c>
      <c r="I8" s="118">
        <f>H8-CG8</f>
        <v/>
      </c>
      <c r="J8" s="107" t="n">
        <v>849.026986591473</v>
      </c>
      <c r="K8" s="57" t="n">
        <v>51</v>
      </c>
      <c r="L8" s="57" t="n">
        <v>30</v>
      </c>
      <c r="M8" s="57" t="n">
        <v>33</v>
      </c>
      <c r="N8" s="57" t="n">
        <v>31</v>
      </c>
      <c r="O8" s="57" t="n">
        <v>26</v>
      </c>
      <c r="P8" s="57" t="n">
        <v>28</v>
      </c>
      <c r="Q8" s="57" t="n">
        <v>19</v>
      </c>
      <c r="R8" s="57" t="n">
        <v>27</v>
      </c>
      <c r="S8" s="57" t="n">
        <v>5</v>
      </c>
      <c r="T8" s="57" t="n">
        <v>8</v>
      </c>
      <c r="U8" s="107" t="n">
        <v>21140</v>
      </c>
      <c r="V8" s="107" t="n">
        <v>34204</v>
      </c>
      <c r="W8" s="108" t="n">
        <v>1</v>
      </c>
      <c r="X8" s="107" t="n">
        <v>4275.5</v>
      </c>
      <c r="Y8" s="108" t="n">
        <v>0.588235294117647</v>
      </c>
      <c r="Z8" s="108" t="n">
        <v>1.03333333333333</v>
      </c>
      <c r="AA8" s="108" t="n">
        <v>0.607843137254902</v>
      </c>
      <c r="AB8" s="108" t="n">
        <v>0.612903225806452</v>
      </c>
      <c r="AC8" s="108" t="n">
        <v>0.7307692307692309</v>
      </c>
      <c r="AD8" s="108" t="n">
        <v>0.964285714285714</v>
      </c>
      <c r="AE8" s="108" t="n">
        <v>0.263157894736842</v>
      </c>
      <c r="AF8" s="108" t="n">
        <v>0.09803921568627449</v>
      </c>
      <c r="AG8" s="108" t="n">
        <v>0.156862745098039</v>
      </c>
      <c r="AH8" s="107" t="n">
        <v>63873.7318944395</v>
      </c>
      <c r="AI8" s="109" t="n">
        <v>0.535493997071081</v>
      </c>
      <c r="AJ8" s="57" t="n">
        <v>28</v>
      </c>
      <c r="AK8" s="57" t="n">
        <v>27</v>
      </c>
      <c r="AL8" s="57" t="n">
        <v>30</v>
      </c>
      <c r="AM8" s="107" t="n">
        <v>6721.85971408146</v>
      </c>
      <c r="AN8" s="107" t="n">
        <v>6398.80403736181</v>
      </c>
      <c r="AO8" s="107" t="n">
        <v>4483.86754968854</v>
      </c>
      <c r="AP8" s="107" t="n">
        <v>510</v>
      </c>
      <c r="AQ8" s="107" t="n">
        <v>2458.82427714259</v>
      </c>
      <c r="AR8" s="57" t="n">
        <v>0</v>
      </c>
      <c r="AS8" s="57" t="n">
        <v>0</v>
      </c>
      <c r="AT8" s="57" t="n">
        <v>0</v>
      </c>
      <c r="AU8" s="57" t="n">
        <v>0</v>
      </c>
      <c r="AV8" s="57" t="n">
        <v>0</v>
      </c>
      <c r="AW8" s="57" t="n">
        <v>0</v>
      </c>
      <c r="AX8" s="57" t="n">
        <v>0</v>
      </c>
      <c r="AY8" s="57" t="n">
        <v>0</v>
      </c>
      <c r="AZ8" s="57" t="n">
        <v>0</v>
      </c>
      <c r="BA8" s="57" t="n">
        <v>0</v>
      </c>
      <c r="BB8" s="107" t="n">
        <v>0</v>
      </c>
      <c r="BC8" s="107" t="n">
        <v>0</v>
      </c>
      <c r="BD8" s="108" t="n"/>
      <c r="BE8" s="107" t="n"/>
      <c r="BF8" s="108" t="n"/>
      <c r="BG8" s="108" t="n"/>
      <c r="BH8" s="108" t="n"/>
      <c r="BI8" s="108" t="n"/>
      <c r="BJ8" s="108" t="n"/>
      <c r="BK8" s="108" t="n"/>
      <c r="BL8" s="108" t="n"/>
      <c r="BM8" s="108" t="n"/>
      <c r="BN8" s="108" t="n"/>
      <c r="BO8" s="57" t="n">
        <v>0</v>
      </c>
      <c r="BP8" s="57" t="n">
        <v>0</v>
      </c>
      <c r="BQ8" s="57" t="n">
        <v>0</v>
      </c>
      <c r="BR8" s="107" t="n">
        <v>0</v>
      </c>
      <c r="BS8" s="107" t="n">
        <v>0</v>
      </c>
      <c r="BT8" s="107" t="n">
        <v>0</v>
      </c>
      <c r="BU8" s="107" t="n">
        <v>0</v>
      </c>
      <c r="BV8" s="107" t="n">
        <v>0</v>
      </c>
      <c r="BW8" s="107" t="n">
        <v>21140</v>
      </c>
      <c r="BX8" s="107" t="n">
        <v>34204</v>
      </c>
      <c r="BY8" s="108" t="n">
        <v>1</v>
      </c>
      <c r="BZ8" s="107" t="n">
        <v>13851.4958641929</v>
      </c>
      <c r="CA8" s="107" t="n">
        <v>10819.5544643217</v>
      </c>
      <c r="CB8" s="107" t="n">
        <v>6721.85971408146</v>
      </c>
      <c r="CC8" s="107" t="n">
        <v>43300.3763161651</v>
      </c>
      <c r="CD8" s="107" t="n">
        <v>43300.3763161651</v>
      </c>
      <c r="CE8" s="107" t="n">
        <v>60841.7904945683</v>
      </c>
      <c r="CF8" s="109" t="n">
        <v>0.347458544992809</v>
      </c>
      <c r="CG8" s="118" t="n">
        <v>0</v>
      </c>
      <c r="CH8" s="107" t="n">
        <v>63873.7318944395</v>
      </c>
      <c r="CI8" s="109" t="n">
        <v>0.535493997071081</v>
      </c>
      <c r="CJ8" s="107" t="n">
        <v>60976.872180358</v>
      </c>
      <c r="CK8" s="109" t="n">
        <v>0.56093398655856</v>
      </c>
    </row>
    <row r="9" ht="16.5" customFormat="1" customHeight="1" s="39">
      <c r="A9" s="63" t="n">
        <v>46082</v>
      </c>
      <c r="B9" s="67" t="n"/>
      <c r="C9" s="67" t="n"/>
      <c r="D9" s="67" t="n"/>
      <c r="E9" s="67" t="n"/>
      <c r="F9" s="67" t="n"/>
      <c r="G9" s="67" t="n"/>
      <c r="H9" s="107" t="n">
        <v>22967.9443384807</v>
      </c>
      <c r="I9" s="118">
        <f>H9-CG9</f>
        <v/>
      </c>
      <c r="J9" s="107" t="n">
        <v>637.9984538466859</v>
      </c>
      <c r="K9" s="57" t="n">
        <v>36</v>
      </c>
      <c r="L9" s="57" t="n">
        <v>16</v>
      </c>
      <c r="M9" s="57" t="n">
        <v>17</v>
      </c>
      <c r="N9" s="57" t="n">
        <v>17</v>
      </c>
      <c r="O9" s="57" t="n">
        <v>16</v>
      </c>
      <c r="P9" s="57" t="n">
        <v>21</v>
      </c>
      <c r="Q9" s="57" t="n">
        <v>14</v>
      </c>
      <c r="R9" s="57" t="n">
        <v>21</v>
      </c>
      <c r="S9" s="57" t="n">
        <v>5</v>
      </c>
      <c r="T9" s="57" t="n">
        <v>10</v>
      </c>
      <c r="U9" s="107" t="n">
        <v>21740</v>
      </c>
      <c r="V9" s="107" t="n">
        <v>45980</v>
      </c>
      <c r="W9" s="108" t="n">
        <v>1</v>
      </c>
      <c r="X9" s="107" t="n">
        <v>4598</v>
      </c>
      <c r="Y9" s="108" t="n">
        <v>0.444444444444444</v>
      </c>
      <c r="Z9" s="108" t="n">
        <v>1.0625</v>
      </c>
      <c r="AA9" s="108" t="n">
        <v>0.472222222222222</v>
      </c>
      <c r="AB9" s="108" t="n">
        <v>0.823529411764706</v>
      </c>
      <c r="AC9" s="108" t="n">
        <v>0.875</v>
      </c>
      <c r="AD9" s="108" t="n">
        <v>1</v>
      </c>
      <c r="AE9" s="108" t="n">
        <v>0.357142857142857</v>
      </c>
      <c r="AF9" s="108" t="n">
        <v>0.138888888888889</v>
      </c>
      <c r="AG9" s="108" t="n">
        <v>0.277777777777778</v>
      </c>
      <c r="AH9" s="107" t="n">
        <v>36063.3212344148</v>
      </c>
      <c r="AI9" s="109" t="n">
        <v>1.27497963099754</v>
      </c>
      <c r="AJ9" s="57" t="n">
        <v>21</v>
      </c>
      <c r="AK9" s="57" t="n">
        <v>21</v>
      </c>
      <c r="AL9" s="57" t="n">
        <v>21</v>
      </c>
      <c r="AM9" s="107" t="n">
        <v>3172.86821705426</v>
      </c>
      <c r="AN9" s="107" t="n">
        <v>2350.60794032412</v>
      </c>
      <c r="AO9" s="107" t="n">
        <v>5456.4320287581</v>
      </c>
      <c r="AP9" s="107" t="n">
        <v>360</v>
      </c>
      <c r="AQ9" s="107" t="n">
        <v>1755.46870979757</v>
      </c>
      <c r="AR9" s="57" t="n">
        <v>0</v>
      </c>
      <c r="AS9" s="57" t="n">
        <v>0</v>
      </c>
      <c r="AT9" s="57" t="n">
        <v>0</v>
      </c>
      <c r="AU9" s="57" t="n">
        <v>0</v>
      </c>
      <c r="AV9" s="57" t="n">
        <v>0</v>
      </c>
      <c r="AW9" s="57" t="n">
        <v>0</v>
      </c>
      <c r="AX9" s="57" t="n">
        <v>0</v>
      </c>
      <c r="AY9" s="57" t="n">
        <v>0</v>
      </c>
      <c r="AZ9" s="57" t="n">
        <v>0</v>
      </c>
      <c r="BA9" s="57" t="n">
        <v>0</v>
      </c>
      <c r="BB9" s="107" t="n">
        <v>0</v>
      </c>
      <c r="BC9" s="107" t="n">
        <v>0</v>
      </c>
      <c r="BD9" s="108" t="n"/>
      <c r="BE9" s="107" t="n"/>
      <c r="BF9" s="108" t="n"/>
      <c r="BG9" s="108" t="n"/>
      <c r="BH9" s="108" t="n"/>
      <c r="BI9" s="108" t="n"/>
      <c r="BJ9" s="108" t="n"/>
      <c r="BK9" s="108" t="n"/>
      <c r="BL9" s="108" t="n"/>
      <c r="BM9" s="108" t="n"/>
      <c r="BN9" s="108" t="n"/>
      <c r="BO9" s="57" t="n">
        <v>0</v>
      </c>
      <c r="BP9" s="57" t="n">
        <v>0</v>
      </c>
      <c r="BQ9" s="57" t="n">
        <v>0</v>
      </c>
      <c r="BR9" s="107" t="n">
        <v>0</v>
      </c>
      <c r="BS9" s="107" t="n">
        <v>0</v>
      </c>
      <c r="BT9" s="107" t="n">
        <v>0</v>
      </c>
      <c r="BU9" s="107" t="n">
        <v>0</v>
      </c>
      <c r="BV9" s="107" t="n">
        <v>0</v>
      </c>
      <c r="BW9" s="107" t="n">
        <v>21740</v>
      </c>
      <c r="BX9" s="107" t="n">
        <v>45980</v>
      </c>
      <c r="BY9" s="108" t="n">
        <v>1</v>
      </c>
      <c r="BZ9" s="107" t="n">
        <v>9922.508678879791</v>
      </c>
      <c r="CA9" s="107" t="n">
        <v>6322.52826871826</v>
      </c>
      <c r="CB9" s="107" t="n">
        <v>3172.86821705426</v>
      </c>
      <c r="CC9" s="107" t="n">
        <v>22967.9443384807</v>
      </c>
      <c r="CD9" s="107" t="n">
        <v>21961.8724797709</v>
      </c>
      <c r="CE9" s="107" t="n">
        <v>31457.2689655434</v>
      </c>
      <c r="CF9" s="109" t="n">
        <v>0.691096230375651</v>
      </c>
      <c r="CG9" s="118" t="n">
        <v>2012.14371741966</v>
      </c>
      <c r="CH9" s="107" t="n">
        <v>36063.3212344148</v>
      </c>
      <c r="CI9" s="109" t="n">
        <v>1.27497963099754</v>
      </c>
      <c r="CJ9" s="107" t="n">
        <v>35590.4530173605</v>
      </c>
      <c r="CK9" s="109" t="n">
        <v>1.29191949249906</v>
      </c>
    </row>
    <row r="10" ht="16.5" customFormat="1" customHeight="1" s="39">
      <c r="A10" s="63" t="n">
        <v>46113</v>
      </c>
      <c r="B10" s="67" t="n"/>
      <c r="C10" s="67" t="n"/>
      <c r="D10" s="67" t="n"/>
      <c r="E10" s="67" t="n"/>
      <c r="F10" s="67" t="n"/>
      <c r="G10" s="67" t="n"/>
      <c r="H10" s="107" t="n">
        <v>22967.9443384807</v>
      </c>
      <c r="I10" s="118">
        <f>H10-CG10</f>
        <v/>
      </c>
      <c r="J10" s="107" t="n">
        <v>637.9984538466859</v>
      </c>
      <c r="K10" s="57" t="n">
        <v>36</v>
      </c>
      <c r="L10" s="57" t="n">
        <v>16</v>
      </c>
      <c r="M10" s="57" t="n">
        <v>17</v>
      </c>
      <c r="N10" s="57" t="n">
        <v>17</v>
      </c>
      <c r="O10" s="57" t="n">
        <v>16</v>
      </c>
      <c r="P10" s="57" t="n">
        <v>21</v>
      </c>
      <c r="Q10" s="57" t="n">
        <v>14</v>
      </c>
      <c r="R10" s="57" t="n">
        <v>21</v>
      </c>
      <c r="S10" s="57" t="n">
        <v>5</v>
      </c>
      <c r="T10" s="57" t="n">
        <v>10</v>
      </c>
      <c r="U10" s="107" t="n">
        <v>21740</v>
      </c>
      <c r="V10" s="107" t="n">
        <v>45980</v>
      </c>
      <c r="W10" s="108" t="n">
        <v>1</v>
      </c>
      <c r="X10" s="107" t="n">
        <v>4598</v>
      </c>
      <c r="Y10" s="108" t="n">
        <v>0.444444444444444</v>
      </c>
      <c r="Z10" s="108" t="n">
        <v>1.0625</v>
      </c>
      <c r="AA10" s="108" t="n">
        <v>0.472222222222222</v>
      </c>
      <c r="AB10" s="108" t="n">
        <v>0.823529411764706</v>
      </c>
      <c r="AC10" s="108" t="n">
        <v>0.875</v>
      </c>
      <c r="AD10" s="108" t="n">
        <v>1</v>
      </c>
      <c r="AE10" s="108" t="n">
        <v>0.357142857142857</v>
      </c>
      <c r="AF10" s="108" t="n">
        <v>0.138888888888889</v>
      </c>
      <c r="AG10" s="108" t="n">
        <v>0.277777777777778</v>
      </c>
      <c r="AH10" s="107" t="n">
        <v>36063.3212344148</v>
      </c>
      <c r="AI10" s="109" t="n">
        <v>1.27497963099754</v>
      </c>
      <c r="AJ10" s="57" t="n">
        <v>21</v>
      </c>
      <c r="AK10" s="57" t="n">
        <v>21</v>
      </c>
      <c r="AL10" s="57" t="n">
        <v>21</v>
      </c>
      <c r="AM10" s="107" t="n">
        <v>3172.86821705426</v>
      </c>
      <c r="AN10" s="107" t="n">
        <v>2350.60794032412</v>
      </c>
      <c r="AO10" s="107" t="n">
        <v>5456.4320287581</v>
      </c>
      <c r="AP10" s="107" t="n">
        <v>360</v>
      </c>
      <c r="AQ10" s="107" t="n">
        <v>1755.46870979757</v>
      </c>
      <c r="AR10" s="57" t="n">
        <v>0</v>
      </c>
      <c r="AS10" s="57" t="n">
        <v>0</v>
      </c>
      <c r="AT10" s="57" t="n">
        <v>0</v>
      </c>
      <c r="AU10" s="57" t="n">
        <v>0</v>
      </c>
      <c r="AV10" s="57" t="n">
        <v>0</v>
      </c>
      <c r="AW10" s="57" t="n">
        <v>0</v>
      </c>
      <c r="AX10" s="57" t="n">
        <v>0</v>
      </c>
      <c r="AY10" s="57" t="n">
        <v>0</v>
      </c>
      <c r="AZ10" s="57" t="n">
        <v>0</v>
      </c>
      <c r="BA10" s="57" t="n">
        <v>0</v>
      </c>
      <c r="BB10" s="107" t="n">
        <v>0</v>
      </c>
      <c r="BC10" s="107" t="n">
        <v>0</v>
      </c>
      <c r="BD10" s="108" t="n"/>
      <c r="BE10" s="107" t="n"/>
      <c r="BF10" s="108" t="n"/>
      <c r="BG10" s="108" t="n"/>
      <c r="BH10" s="108" t="n"/>
      <c r="BI10" s="108" t="n"/>
      <c r="BJ10" s="108" t="n"/>
      <c r="BK10" s="108" t="n"/>
      <c r="BL10" s="108" t="n"/>
      <c r="BM10" s="108" t="n"/>
      <c r="BN10" s="108" t="n"/>
      <c r="BO10" s="57" t="n">
        <v>0</v>
      </c>
      <c r="BP10" s="57" t="n">
        <v>0</v>
      </c>
      <c r="BQ10" s="57" t="n">
        <v>0</v>
      </c>
      <c r="BR10" s="107" t="n">
        <v>0</v>
      </c>
      <c r="BS10" s="107" t="n">
        <v>0</v>
      </c>
      <c r="BT10" s="107" t="n">
        <v>0</v>
      </c>
      <c r="BU10" s="107" t="n">
        <v>0</v>
      </c>
      <c r="BV10" s="107" t="n">
        <v>0</v>
      </c>
      <c r="BW10" s="107" t="n">
        <v>21740</v>
      </c>
      <c r="BX10" s="107" t="n">
        <v>45980</v>
      </c>
      <c r="BY10" s="108" t="n">
        <v>1</v>
      </c>
      <c r="BZ10" s="107" t="n">
        <v>9922.508678879791</v>
      </c>
      <c r="CA10" s="107" t="n">
        <v>6322.52826871826</v>
      </c>
      <c r="CB10" s="107" t="n">
        <v>3172.86821705426</v>
      </c>
      <c r="CC10" s="107" t="n">
        <v>22967.9443384807</v>
      </c>
      <c r="CD10" s="107" t="n">
        <v>21961.8724797709</v>
      </c>
      <c r="CE10" s="107" t="n">
        <v>31457.2689655434</v>
      </c>
      <c r="CF10" s="109" t="n">
        <v>0.691096230375651</v>
      </c>
      <c r="CG10" s="118" t="n">
        <v>2012.14371741966</v>
      </c>
      <c r="CH10" s="107" t="n">
        <v>36063.3212344148</v>
      </c>
      <c r="CI10" s="109" t="n">
        <v>1.27497963099754</v>
      </c>
      <c r="CJ10" s="107" t="n">
        <v>35590.4530173605</v>
      </c>
      <c r="CK10" s="109" t="n">
        <v>1.29191949249906</v>
      </c>
    </row>
    <row r="11" ht="30" customFormat="1" customHeight="1" s="40">
      <c r="A11" s="40" t="inlineStr">
        <is>
          <t>陈琪直播-汇总</t>
        </is>
      </c>
      <c r="B11" s="57" t="n"/>
      <c r="C11" s="57" t="n"/>
      <c r="D11" s="57" t="n"/>
      <c r="E11" s="57" t="n"/>
      <c r="F11" s="57" t="n"/>
      <c r="G11" s="57" t="n"/>
      <c r="H11" s="107">
        <f>SUM(H3:H10)</f>
        <v/>
      </c>
      <c r="I11" s="107">
        <f>SUM(I3:I10)</f>
        <v/>
      </c>
      <c r="J11" s="107">
        <f>I11/K11</f>
        <v/>
      </c>
      <c r="K11" s="57">
        <f>SUM(K3:K10)</f>
        <v/>
      </c>
      <c r="L11" s="57">
        <f>SUM(L3:L10)</f>
        <v/>
      </c>
      <c r="M11" s="57">
        <f>SUM(M3:M10)</f>
        <v/>
      </c>
      <c r="N11" s="57">
        <f>SUM(N3:N10)</f>
        <v/>
      </c>
      <c r="O11" s="57" t="n"/>
      <c r="P11" s="57" t="n"/>
      <c r="Q11" s="57">
        <f>SUM(Q3:Q10)</f>
        <v/>
      </c>
      <c r="R11" s="57">
        <f>SUM(R3:R10)</f>
        <v/>
      </c>
      <c r="S11" s="57">
        <f>SUM(S3:S10)</f>
        <v/>
      </c>
      <c r="T11" s="57">
        <f>SUM(T3:T10)</f>
        <v/>
      </c>
      <c r="U11" s="107">
        <f>SUM(U3:U10)</f>
        <v/>
      </c>
      <c r="V11" s="107">
        <f>SUM(V3:V10)</f>
        <v/>
      </c>
      <c r="W11" s="57" t="n"/>
      <c r="X11" s="107">
        <f>V11/T11</f>
        <v/>
      </c>
      <c r="Y11" s="61">
        <f>L11/K11</f>
        <v/>
      </c>
      <c r="Z11" s="61">
        <f>N11/L11</f>
        <v/>
      </c>
      <c r="AA11" s="61">
        <f>N11/K11</f>
        <v/>
      </c>
      <c r="AB11" s="61">
        <f>Q11/N11</f>
        <v/>
      </c>
      <c r="AC11" s="61" t="n"/>
      <c r="AD11" s="61">
        <f>AVERAGE(AD3:AD10)</f>
        <v/>
      </c>
      <c r="AE11" s="61">
        <f>S11/Q11</f>
        <v/>
      </c>
      <c r="AF11" s="61">
        <f>S11/K11</f>
        <v/>
      </c>
      <c r="AG11" s="61">
        <f>T11/K11</f>
        <v/>
      </c>
      <c r="AH11" s="107">
        <f>SUM(AH3:AH10)</f>
        <v/>
      </c>
      <c r="AI11" s="109">
        <f>V11/AH11</f>
        <v/>
      </c>
      <c r="AJ11" s="57">
        <f>SUM(AJ3:AJ10)</f>
        <v/>
      </c>
      <c r="AK11" s="57">
        <f>SUM(AK3:AK10)</f>
        <v/>
      </c>
      <c r="AL11" s="57">
        <f>SUM(AL3:AL10)</f>
        <v/>
      </c>
      <c r="AM11" s="107">
        <f>SUM(AM3:AM10)</f>
        <v/>
      </c>
      <c r="AN11" s="107">
        <f>SUM(AN3:AN10)</f>
        <v/>
      </c>
      <c r="AO11" s="107">
        <f>SUM(AO3:AO10)</f>
        <v/>
      </c>
      <c r="AP11" s="107">
        <f>SUM(AP3:AP10)</f>
        <v/>
      </c>
      <c r="AQ11" s="107">
        <f>SUM(AQ3:AQ10)</f>
        <v/>
      </c>
      <c r="AR11" s="57">
        <f>SUM(AR3:AR10)</f>
        <v/>
      </c>
      <c r="AS11" s="57">
        <f>SUM(AS3:AS10)</f>
        <v/>
      </c>
      <c r="AT11" s="57" t="n"/>
      <c r="AU11" s="57">
        <f>SUM(AU3:AU10)</f>
        <v/>
      </c>
      <c r="AV11" s="57" t="n"/>
      <c r="AW11" s="57" t="n"/>
      <c r="AX11" s="57">
        <f>SUM(AX3:AX10)</f>
        <v/>
      </c>
      <c r="AY11" s="57">
        <f>SUM(AY3:AY10)</f>
        <v/>
      </c>
      <c r="AZ11" s="57">
        <f>SUM(AZ3:AZ10)</f>
        <v/>
      </c>
      <c r="BA11" s="57">
        <f>SUM(BA3:BA10)</f>
        <v/>
      </c>
      <c r="BB11" s="107">
        <f>SUM(BB3:BB10)</f>
        <v/>
      </c>
      <c r="BC11" s="107">
        <f>SUM(BC3:BC10)</f>
        <v/>
      </c>
      <c r="BD11" s="107" t="n"/>
      <c r="BE11" s="107">
        <f>BC11/BA11</f>
        <v/>
      </c>
      <c r="BF11" s="62">
        <f>AS11/AR11</f>
        <v/>
      </c>
      <c r="BG11" s="62">
        <f>AU11/AS11</f>
        <v/>
      </c>
      <c r="BH11" s="62">
        <f>AU11/AR11</f>
        <v/>
      </c>
      <c r="BI11" s="62">
        <f>AX11/AU11</f>
        <v/>
      </c>
      <c r="BJ11" s="62" t="n"/>
      <c r="BK11" s="62">
        <f>AVERAGE(BK3:BK10)</f>
        <v/>
      </c>
      <c r="BL11" s="62">
        <f>AZ11/AX11</f>
        <v/>
      </c>
      <c r="BM11" s="62">
        <f>AZ11/AR11</f>
        <v/>
      </c>
      <c r="BN11" s="62">
        <f>BA11/AR11</f>
        <v/>
      </c>
      <c r="BO11" s="57">
        <f>SUM(BO3:BO10)</f>
        <v/>
      </c>
      <c r="BP11" s="57">
        <f>SUM(BP3:BP10)</f>
        <v/>
      </c>
      <c r="BQ11" s="57">
        <f>SUM(BQ3:BQ10)</f>
        <v/>
      </c>
      <c r="BR11" s="107">
        <f>SUM(BR3:BR10)</f>
        <v/>
      </c>
      <c r="BS11" s="107">
        <f>SUM(BS3:BS10)</f>
        <v/>
      </c>
      <c r="BT11" s="107">
        <f>SUM(BT3:BT10)</f>
        <v/>
      </c>
      <c r="BU11" s="57">
        <f>SUM(BU3:BU10)</f>
        <v/>
      </c>
      <c r="BV11" s="57">
        <f>SUM(BV3:BV10)</f>
        <v/>
      </c>
      <c r="BW11" s="107">
        <f>SUM(BW3:BW10)</f>
        <v/>
      </c>
      <c r="BX11" s="107">
        <f>SUM(BX3:BX10)</f>
        <v/>
      </c>
      <c r="BY11" s="107" t="n"/>
      <c r="BZ11" s="107">
        <f>SUM(BZ3:BZ10)</f>
        <v/>
      </c>
      <c r="CA11" s="107">
        <f>SUM(CA3:CA10)</f>
        <v/>
      </c>
      <c r="CB11" s="107">
        <f>SUM(CB3:CB10)</f>
        <v/>
      </c>
      <c r="CC11" s="107">
        <f>SUM(CC3:CC10)</f>
        <v/>
      </c>
      <c r="CD11" s="107">
        <f>SUM(CD3:CD10)</f>
        <v/>
      </c>
      <c r="CE11" s="107">
        <f>SUM(CE3:CE10)</f>
        <v/>
      </c>
      <c r="CF11" s="109">
        <f>BW11/CE11</f>
        <v/>
      </c>
      <c r="CG11" s="107">
        <f>SUM(CG3:CG10)</f>
        <v/>
      </c>
      <c r="CH11" s="107">
        <f>SUM(CH3:CH10)</f>
        <v/>
      </c>
      <c r="CI11" s="109">
        <f>BX11/CH11</f>
        <v/>
      </c>
      <c r="CJ11" s="107">
        <f>SUM(CJ3:CJ10)</f>
        <v/>
      </c>
      <c r="CK11" s="109">
        <f>BX11/CJ11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10"/>
  <sheetViews>
    <sheetView zoomScale="70" zoomScaleNormal="70" workbookViewId="0">
      <selection activeCell="AF10" sqref="AF10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7"/>
    <col width="12.225" customWidth="1" min="8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45718</v>
      </c>
      <c r="B3" s="67" t="n"/>
      <c r="C3" s="67" t="inlineStr">
        <is>
          <t>孙慧雪</t>
        </is>
      </c>
      <c r="D3" s="67" t="inlineStr">
        <is>
          <t>KOLHK-香港-孙慧雪-Shukei-思维&amp;无</t>
        </is>
      </c>
      <c r="E3" s="67" t="inlineStr">
        <is>
          <t>-</t>
        </is>
      </c>
      <c r="F3" s="67" t="inlineStr">
        <is>
          <t>-</t>
        </is>
      </c>
      <c r="G3" s="67" t="inlineStr">
        <is>
          <t>-</t>
        </is>
      </c>
      <c r="H3" s="67">
        <f>I3</f>
        <v/>
      </c>
      <c r="I3" s="117" t="n">
        <v>107006.99245</v>
      </c>
      <c r="J3" s="117" t="n">
        <v>442.177654752066</v>
      </c>
      <c r="K3" s="67" t="n">
        <v>242</v>
      </c>
      <c r="L3" s="67" t="n">
        <v>129</v>
      </c>
      <c r="M3" s="67" t="n">
        <v>129</v>
      </c>
      <c r="N3" s="67" t="n">
        <v>140</v>
      </c>
      <c r="O3" s="67" t="n">
        <v>113</v>
      </c>
      <c r="P3" s="67" t="n">
        <v>113</v>
      </c>
      <c r="Q3" s="67" t="n">
        <v>42</v>
      </c>
      <c r="R3" s="67" t="n">
        <v>42</v>
      </c>
      <c r="S3" s="117" t="n">
        <v>195996</v>
      </c>
      <c r="T3" s="117" t="n">
        <v>195996</v>
      </c>
      <c r="U3" s="121" t="n">
        <v>1</v>
      </c>
      <c r="V3" s="117" t="n">
        <v>4666.57142857143</v>
      </c>
      <c r="W3" s="121" t="n">
        <v>0.533057851239669</v>
      </c>
      <c r="X3" s="121" t="n">
        <v>1.08527131782946</v>
      </c>
      <c r="Y3" s="121" t="n">
        <v>0.5785123966942149</v>
      </c>
      <c r="Z3" s="121" t="n">
        <v>0.8071428571428571</v>
      </c>
      <c r="AA3" s="121" t="n">
        <v>0.965811965811966</v>
      </c>
      <c r="AB3" s="121" t="n">
        <v>0.371681415929204</v>
      </c>
      <c r="AC3" s="121" t="n">
        <v>0.173553719008264</v>
      </c>
      <c r="AD3" s="121" t="n">
        <v>0.173553719008264</v>
      </c>
      <c r="AE3" s="117" t="n">
        <v>171279.136380261</v>
      </c>
      <c r="AF3" s="122" t="n">
        <v>1.14430749793637</v>
      </c>
      <c r="AG3" s="67" t="n">
        <v>117</v>
      </c>
      <c r="AH3" s="67" t="n">
        <v>113</v>
      </c>
      <c r="AI3" s="67" t="n">
        <v>117</v>
      </c>
      <c r="AJ3" s="117" t="n">
        <v>21630.5548072592</v>
      </c>
      <c r="AK3" s="117" t="n">
        <v>12752.848006046</v>
      </c>
      <c r="AL3" s="117" t="n">
        <v>18762.9968528393</v>
      </c>
      <c r="AM3" s="117" t="n">
        <v>1628.57775192134</v>
      </c>
      <c r="AN3" s="67" t="n">
        <v>9497.16651219551</v>
      </c>
      <c r="AO3" s="67" t="n">
        <v>0</v>
      </c>
      <c r="AP3" s="67" t="n">
        <v>0</v>
      </c>
      <c r="AQ3" s="67" t="n">
        <v>0</v>
      </c>
      <c r="AR3" s="67" t="n">
        <v>0</v>
      </c>
      <c r="AS3" s="67" t="n">
        <v>0</v>
      </c>
      <c r="AT3" s="67" t="n">
        <v>0</v>
      </c>
      <c r="AU3" s="67" t="n">
        <v>0</v>
      </c>
      <c r="AV3" s="117" t="n">
        <v>0</v>
      </c>
      <c r="AW3" s="117" t="n">
        <v>0</v>
      </c>
      <c r="AX3" s="121" t="n">
        <v>0</v>
      </c>
      <c r="AY3" s="117" t="n"/>
      <c r="AZ3" s="121" t="n"/>
      <c r="BA3" s="121" t="n"/>
      <c r="BB3" s="121" t="n"/>
      <c r="BC3" s="121" t="n"/>
      <c r="BD3" s="121" t="n"/>
      <c r="BE3" s="121" t="n"/>
      <c r="BF3" s="121" t="n"/>
      <c r="BG3" s="121" t="n"/>
      <c r="BH3" s="67" t="n"/>
      <c r="BI3" s="67" t="n">
        <v>0</v>
      </c>
      <c r="BJ3" s="67" t="n">
        <v>0</v>
      </c>
      <c r="BK3" s="117" t="n">
        <v>0</v>
      </c>
      <c r="BL3" s="117" t="n">
        <v>0</v>
      </c>
      <c r="BM3" s="117" t="n">
        <v>0</v>
      </c>
      <c r="BN3" s="117" t="n">
        <v>0</v>
      </c>
      <c r="BO3" s="117" t="n">
        <v>0</v>
      </c>
      <c r="BP3" s="117" t="n">
        <v>0</v>
      </c>
      <c r="BQ3" s="117" t="n">
        <v>195996</v>
      </c>
      <c r="BR3" s="121" t="n">
        <v>195996</v>
      </c>
      <c r="BS3" s="117" t="n">
        <v>1</v>
      </c>
      <c r="BT3" s="117" t="n">
        <v>42729.8710776062</v>
      </c>
      <c r="BU3" s="117" t="n">
        <v>42729.8710776062</v>
      </c>
      <c r="BV3" s="117" t="n">
        <v>21712.3038043056</v>
      </c>
      <c r="BW3" s="117" t="n">
        <v>107006.99245</v>
      </c>
      <c r="BX3" s="117" t="n">
        <v>107006.99245</v>
      </c>
      <c r="BY3" s="122" t="n">
        <v>171449.167331912</v>
      </c>
      <c r="BZ3" s="122" t="n">
        <v>1.1431726560711</v>
      </c>
      <c r="CA3" s="122" t="n"/>
      <c r="CB3" s="122" t="n">
        <v>171449.167331912</v>
      </c>
      <c r="CC3" s="122" t="n">
        <v>1.1431726560711</v>
      </c>
      <c r="CD3" s="122" t="n">
        <v>167961.863527606</v>
      </c>
      <c r="CE3" s="39" t="n">
        <v>1.16690774848295</v>
      </c>
    </row>
    <row r="4" ht="16.5" customFormat="1" customHeight="1" s="39">
      <c r="A4" s="63" t="n">
        <v>45750</v>
      </c>
      <c r="B4" s="67" t="n"/>
      <c r="C4" s="67" t="n"/>
      <c r="D4" s="67" t="inlineStr">
        <is>
          <t>KOLHK-香港-孙慧雪-Shukei-思维&amp;无</t>
        </is>
      </c>
      <c r="E4" s="67" t="inlineStr">
        <is>
          <t>-</t>
        </is>
      </c>
      <c r="F4" s="67" t="inlineStr">
        <is>
          <t>-</t>
        </is>
      </c>
      <c r="G4" s="67" t="inlineStr">
        <is>
          <t>-</t>
        </is>
      </c>
      <c r="H4" s="67">
        <f>I4</f>
        <v/>
      </c>
      <c r="I4" s="117" t="n">
        <v>80325.4788066132</v>
      </c>
      <c r="J4" s="117" t="n">
        <v>892.50532007348</v>
      </c>
      <c r="K4" s="67" t="n">
        <v>90</v>
      </c>
      <c r="L4" s="67" t="n">
        <v>48</v>
      </c>
      <c r="M4" s="67" t="n">
        <v>50</v>
      </c>
      <c r="N4" s="67" t="n">
        <v>48</v>
      </c>
      <c r="O4" s="67" t="n">
        <v>35</v>
      </c>
      <c r="P4" s="67" t="n">
        <v>45</v>
      </c>
      <c r="Q4" s="67" t="n">
        <v>14</v>
      </c>
      <c r="R4" s="67" t="n">
        <v>20</v>
      </c>
      <c r="S4" s="117" t="n">
        <v>58432</v>
      </c>
      <c r="T4" s="117" t="n">
        <v>80360</v>
      </c>
      <c r="U4" s="121" t="n">
        <v>1</v>
      </c>
      <c r="V4" s="117" t="n">
        <v>4018</v>
      </c>
      <c r="W4" s="121" t="n">
        <v>0.533333333333333</v>
      </c>
      <c r="X4" s="121" t="n">
        <v>1</v>
      </c>
      <c r="Y4" s="121" t="n">
        <v>0.533333333333333</v>
      </c>
      <c r="Z4" s="121" t="n">
        <v>0.729166666666667</v>
      </c>
      <c r="AA4" s="121" t="n">
        <v>0.918367346938776</v>
      </c>
      <c r="AB4" s="121" t="n">
        <v>0.4</v>
      </c>
      <c r="AC4" s="121" t="n">
        <v>0.155555555555556</v>
      </c>
      <c r="AD4" s="121" t="n">
        <v>0.222222222222222</v>
      </c>
      <c r="AE4" s="117" t="n">
        <v>109746.722928769</v>
      </c>
      <c r="AF4" s="122" t="n">
        <v>0.732231431203261</v>
      </c>
      <c r="AG4" s="67" t="n">
        <v>49</v>
      </c>
      <c r="AH4" s="67" t="n">
        <v>45</v>
      </c>
      <c r="AI4" s="67" t="n">
        <v>47</v>
      </c>
      <c r="AJ4" s="117" t="n">
        <v>9968.27612071186</v>
      </c>
      <c r="AK4" s="117" t="n">
        <v>7405.95862925945</v>
      </c>
      <c r="AL4" s="117" t="n">
        <v>7204.59690726319</v>
      </c>
      <c r="AM4" s="117" t="n">
        <v>889.523240056654</v>
      </c>
      <c r="AN4" s="67" t="n">
        <v>3952.88922486436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58432</v>
      </c>
      <c r="BR4" s="121" t="n">
        <v>80360</v>
      </c>
      <c r="BS4" s="117" t="n">
        <v>1</v>
      </c>
      <c r="BT4" s="117" t="n">
        <v>19555.4814250193</v>
      </c>
      <c r="BU4" s="117" t="n">
        <v>16349.7560832887</v>
      </c>
      <c r="BV4" s="117" t="n">
        <v>9968.27612071186</v>
      </c>
      <c r="BW4" s="117" t="n">
        <v>80325.4788066132</v>
      </c>
      <c r="BX4" s="117" t="n">
        <v>80325.4788066132</v>
      </c>
      <c r="BY4" s="122" t="n">
        <v>106643.511010614</v>
      </c>
      <c r="BZ4" s="122" t="n">
        <v>0.547918944587116</v>
      </c>
      <c r="CA4" s="122" t="n"/>
      <c r="CB4" s="122" t="n">
        <v>109849.236352344</v>
      </c>
      <c r="CC4" s="122" t="n">
        <v>0.731548098725449</v>
      </c>
      <c r="CD4" s="122" t="n">
        <v>106630.960231633</v>
      </c>
      <c r="CE4" s="39" t="n">
        <v>0.753627275093795</v>
      </c>
    </row>
    <row r="5" ht="16.5" customFormat="1" customHeight="1" s="39">
      <c r="A5" s="63" t="n">
        <v>45780</v>
      </c>
      <c r="B5" s="67" t="n"/>
      <c r="C5" s="67" t="n"/>
      <c r="D5" s="67" t="n"/>
      <c r="E5" s="67" t="n"/>
      <c r="F5" s="67" t="n"/>
      <c r="G5" s="67" t="n"/>
      <c r="H5" s="67">
        <f>I5</f>
        <v/>
      </c>
      <c r="I5" s="117" t="n">
        <v>131098.620121601</v>
      </c>
      <c r="J5" s="117" t="n">
        <v>851.289741049357</v>
      </c>
      <c r="K5" s="67" t="n">
        <v>154</v>
      </c>
      <c r="L5" s="67" t="n">
        <v>63</v>
      </c>
      <c r="M5" s="67" t="n">
        <v>68</v>
      </c>
      <c r="N5" s="67" t="n">
        <v>68</v>
      </c>
      <c r="O5" s="67" t="n">
        <v>59</v>
      </c>
      <c r="P5" s="67" t="n">
        <v>68</v>
      </c>
      <c r="Q5" s="67" t="n">
        <v>25</v>
      </c>
      <c r="R5" s="67" t="n">
        <v>26</v>
      </c>
      <c r="S5" s="117" t="n">
        <v>120500</v>
      </c>
      <c r="T5" s="117" t="n">
        <v>124088</v>
      </c>
      <c r="U5" s="121" t="n">
        <v>1</v>
      </c>
      <c r="V5" s="117" t="n">
        <v>4772.61538461538</v>
      </c>
      <c r="W5" s="121" t="n">
        <v>0.409090909090909</v>
      </c>
      <c r="X5" s="121" t="n">
        <v>1.07936507936508</v>
      </c>
      <c r="Y5" s="121" t="n">
        <v>0.441558441558442</v>
      </c>
      <c r="Z5" s="121" t="n">
        <v>0.867647058823529</v>
      </c>
      <c r="AA5" s="121" t="n">
        <v>0.971428571428571</v>
      </c>
      <c r="AB5" s="121" t="n">
        <v>0.423728813559322</v>
      </c>
      <c r="AC5" s="121" t="n">
        <v>0.162337662337662</v>
      </c>
      <c r="AD5" s="121" t="n">
        <v>0.168831168831169</v>
      </c>
      <c r="AE5" s="117" t="n">
        <v>167935.164527611</v>
      </c>
      <c r="AF5" s="122" t="n">
        <v>0.738904209544502</v>
      </c>
      <c r="AG5" s="67" t="n">
        <v>70</v>
      </c>
      <c r="AH5" s="67" t="n">
        <v>68</v>
      </c>
      <c r="AI5" s="67" t="n">
        <v>74</v>
      </c>
      <c r="AJ5" s="117" t="n">
        <v>8731.2755783634</v>
      </c>
      <c r="AK5" s="117" t="n">
        <v>8345.124311961839</v>
      </c>
      <c r="AL5" s="117" t="n">
        <v>11900.351676815</v>
      </c>
      <c r="AM5" s="117" t="n">
        <v>1432.07605007123</v>
      </c>
      <c r="AN5" s="67" t="n">
        <v>6427.71678879805</v>
      </c>
      <c r="AO5" s="67" t="n">
        <v>0</v>
      </c>
      <c r="AP5" s="67" t="n">
        <v>0</v>
      </c>
      <c r="AQ5" s="67" t="n">
        <v>0</v>
      </c>
      <c r="AR5" s="67" t="n">
        <v>0</v>
      </c>
      <c r="AS5" s="67" t="n">
        <v>0</v>
      </c>
      <c r="AT5" s="67" t="n">
        <v>0</v>
      </c>
      <c r="AU5" s="67" t="n">
        <v>0</v>
      </c>
      <c r="AV5" s="117" t="n">
        <v>0</v>
      </c>
      <c r="AW5" s="117" t="n">
        <v>0</v>
      </c>
      <c r="AX5" s="121" t="n">
        <v>0</v>
      </c>
      <c r="AY5" s="117" t="n"/>
      <c r="AZ5" s="121" t="n"/>
      <c r="BA5" s="121" t="n"/>
      <c r="BB5" s="121" t="n"/>
      <c r="BC5" s="121" t="n"/>
      <c r="BD5" s="121" t="n"/>
      <c r="BE5" s="121" t="n"/>
      <c r="BF5" s="121" t="n"/>
      <c r="BG5" s="121" t="n"/>
      <c r="BH5" s="67" t="n"/>
      <c r="BI5" s="67" t="n">
        <v>0</v>
      </c>
      <c r="BJ5" s="67" t="n">
        <v>0</v>
      </c>
      <c r="BK5" s="117" t="n">
        <v>0</v>
      </c>
      <c r="BL5" s="117" t="n">
        <v>0</v>
      </c>
      <c r="BM5" s="117" t="n">
        <v>0</v>
      </c>
      <c r="BN5" s="117" t="n">
        <v>0</v>
      </c>
      <c r="BO5" s="117" t="n">
        <v>0</v>
      </c>
      <c r="BP5" s="117" t="n">
        <v>0</v>
      </c>
      <c r="BQ5" s="117" t="n">
        <v>120500</v>
      </c>
      <c r="BR5" s="121" t="n">
        <v>124088</v>
      </c>
      <c r="BS5" s="117" t="n">
        <v>1</v>
      </c>
      <c r="BT5" s="117" t="n">
        <v>28105.2688276461</v>
      </c>
      <c r="BU5" s="117" t="n">
        <v>26365.8091714504</v>
      </c>
      <c r="BV5" s="117" t="n">
        <v>8731.2755783634</v>
      </c>
      <c r="BW5" s="117" t="n">
        <v>131098.620121601</v>
      </c>
      <c r="BX5" s="117" t="n">
        <v>131098.620121601</v>
      </c>
      <c r="BY5" s="122" t="n">
        <v>166195.704871415</v>
      </c>
      <c r="BZ5" s="122" t="n">
        <v>0.725048821768472</v>
      </c>
      <c r="CA5" s="122" t="n"/>
      <c r="CB5" s="122" t="n">
        <v>167935.164527611</v>
      </c>
      <c r="CC5" s="122" t="n">
        <v>0.738904209544502</v>
      </c>
      <c r="CD5" s="122" t="n">
        <v>170753.888949247</v>
      </c>
      <c r="CE5" s="39" t="n">
        <v>0.726706728400678</v>
      </c>
    </row>
    <row r="6" ht="16.5" customFormat="1" customHeight="1" s="39">
      <c r="A6" s="63" t="n">
        <v>45811</v>
      </c>
      <c r="B6" s="67" t="n"/>
      <c r="C6" s="67" t="n"/>
      <c r="D6" s="67" t="n"/>
      <c r="E6" s="67" t="n"/>
      <c r="F6" s="67" t="n"/>
      <c r="G6" s="67" t="n"/>
      <c r="H6" s="67" t="n">
        <v>47816.4897564505</v>
      </c>
      <c r="I6" s="117" t="n">
        <v>45304.2455092683</v>
      </c>
      <c r="J6" s="117" t="n">
        <v>850.326156816073</v>
      </c>
      <c r="K6" s="67" t="n">
        <v>56</v>
      </c>
      <c r="L6" s="67" t="n">
        <v>27</v>
      </c>
      <c r="M6" s="67" t="n">
        <v>29</v>
      </c>
      <c r="N6" s="67" t="n">
        <v>29</v>
      </c>
      <c r="O6" s="67" t="n">
        <v>22</v>
      </c>
      <c r="P6" s="67" t="n">
        <v>31</v>
      </c>
      <c r="Q6" s="67" t="n">
        <v>9</v>
      </c>
      <c r="R6" s="67" t="n">
        <v>13</v>
      </c>
      <c r="S6" s="117" t="n">
        <v>50492</v>
      </c>
      <c r="T6" s="117" t="n">
        <v>67344</v>
      </c>
      <c r="U6" s="121" t="n">
        <v>1</v>
      </c>
      <c r="V6" s="117" t="n">
        <v>5180.30769230769</v>
      </c>
      <c r="W6" s="121" t="n">
        <v>0.482142857142857</v>
      </c>
      <c r="X6" s="121" t="n">
        <v>1.07407407407407</v>
      </c>
      <c r="Y6" s="121" t="n">
        <v>0.517857142857143</v>
      </c>
      <c r="Z6" s="121" t="n">
        <v>0.758620689655172</v>
      </c>
      <c r="AA6" s="121" t="n">
        <v>1</v>
      </c>
      <c r="AB6" s="121" t="n">
        <v>0.409090909090909</v>
      </c>
      <c r="AC6" s="121" t="n">
        <v>0.160714285714286</v>
      </c>
      <c r="AD6" s="121" t="n">
        <v>0.232142857142857</v>
      </c>
      <c r="AE6" s="117" t="n">
        <v>64518.7337072885</v>
      </c>
      <c r="AF6" s="122" t="n">
        <v>1.04378985963254</v>
      </c>
      <c r="AG6" s="67" t="n">
        <v>31</v>
      </c>
      <c r="AH6" s="67" t="n">
        <v>31</v>
      </c>
      <c r="AI6" s="67" t="n">
        <v>37</v>
      </c>
      <c r="AJ6" s="117" t="n">
        <v>3492.97421254456</v>
      </c>
      <c r="AK6" s="117" t="n">
        <v>3259.17794682538</v>
      </c>
      <c r="AL6" s="117" t="n">
        <v>6500.93765485358</v>
      </c>
      <c r="AM6" s="117" t="n">
        <v>452.251765352744</v>
      </c>
      <c r="AN6" s="67" t="n">
        <v>3195.12734601219</v>
      </c>
      <c r="AO6" s="67" t="n">
        <v>20</v>
      </c>
      <c r="AP6" s="67" t="n">
        <v>9</v>
      </c>
      <c r="AQ6" s="67" t="n">
        <v>9</v>
      </c>
      <c r="AR6" s="67" t="n">
        <v>9</v>
      </c>
      <c r="AS6" s="67" t="n">
        <v>5</v>
      </c>
      <c r="AT6" s="67" t="n">
        <v>5</v>
      </c>
      <c r="AU6" s="67" t="n">
        <v>2</v>
      </c>
      <c r="AV6" s="117" t="n">
        <v>2</v>
      </c>
      <c r="AW6" s="117" t="n">
        <v>7987.2</v>
      </c>
      <c r="AX6" s="121" t="n">
        <v>7987.2</v>
      </c>
      <c r="AY6" s="117" t="n">
        <v>1</v>
      </c>
      <c r="AZ6" s="121" t="n">
        <v>3993.6</v>
      </c>
      <c r="BA6" s="121" t="n">
        <v>0.45</v>
      </c>
      <c r="BB6" s="121" t="n">
        <v>1</v>
      </c>
      <c r="BC6" s="121" t="n">
        <v>0.45</v>
      </c>
      <c r="BD6" s="121" t="n">
        <v>0.555555555555556</v>
      </c>
      <c r="BE6" s="121" t="n">
        <v>0.555555555555556</v>
      </c>
      <c r="BF6" s="121" t="n">
        <v>0.4</v>
      </c>
      <c r="BG6" s="121" t="n">
        <v>0.1</v>
      </c>
      <c r="BH6" s="67" t="n">
        <v>0.1</v>
      </c>
      <c r="BI6" s="67" t="n">
        <v>9</v>
      </c>
      <c r="BJ6" s="67" t="n">
        <v>5</v>
      </c>
      <c r="BK6" s="117" t="n">
        <v>7</v>
      </c>
      <c r="BL6" s="117" t="n">
        <v>1119.56993056631</v>
      </c>
      <c r="BM6" s="117" t="n">
        <v>809.612309352859</v>
      </c>
      <c r="BN6" s="117" t="n">
        <v>830.105191990949</v>
      </c>
      <c r="BO6" s="117" t="n">
        <v>161.51848762598</v>
      </c>
      <c r="BP6" s="117" t="n">
        <v>552.62717029698</v>
      </c>
      <c r="BQ6" s="117" t="n">
        <v>58479.2</v>
      </c>
      <c r="BR6" s="121" t="n">
        <v>75331.2</v>
      </c>
      <c r="BS6" s="117" t="n">
        <v>1</v>
      </c>
      <c r="BT6" s="117" t="n">
        <v>15761.3578723107</v>
      </c>
      <c r="BU6" s="117" t="n">
        <v>12873.5505155011</v>
      </c>
      <c r="BV6" s="117" t="n">
        <v>4612.54414311086</v>
      </c>
      <c r="BW6" s="117" t="n">
        <v>47816.4897564505</v>
      </c>
      <c r="BX6" s="117" t="n">
        <v>47104.4838264715</v>
      </c>
      <c r="BY6" s="122" t="n">
        <v>64590.5784850835</v>
      </c>
      <c r="BZ6" s="122" t="n">
        <v>0.905382818540713</v>
      </c>
      <c r="CA6" s="122" t="n">
        <v>2512.2442471822</v>
      </c>
      <c r="CB6" s="122" t="n">
        <v>68190.391771872</v>
      </c>
      <c r="CC6" s="122" t="n">
        <v>1.10471868605796</v>
      </c>
      <c r="CD6" s="122" t="n">
        <v>69277.8476287612</v>
      </c>
      <c r="CE6" s="39" t="n">
        <v>1.0873778932001</v>
      </c>
    </row>
    <row r="7" ht="16.5" customFormat="1" customHeight="1" s="39">
      <c r="A7" s="63" t="n">
        <v>45842</v>
      </c>
      <c r="B7" s="67" t="n"/>
      <c r="C7" s="67" t="n"/>
      <c r="D7" s="67" t="n"/>
      <c r="E7" s="67" t="n"/>
      <c r="F7" s="67" t="n"/>
      <c r="G7" s="67" t="n"/>
      <c r="H7" s="67" t="n">
        <v>52997.3738771993</v>
      </c>
      <c r="I7" s="117" t="n">
        <v>50605.35</v>
      </c>
      <c r="J7" s="117" t="n">
        <v>928.050205619684</v>
      </c>
      <c r="K7" s="67" t="n">
        <v>57</v>
      </c>
      <c r="L7" s="67" t="n">
        <v>24</v>
      </c>
      <c r="M7" s="67" t="n">
        <v>29</v>
      </c>
      <c r="N7" s="67" t="n">
        <v>26</v>
      </c>
      <c r="O7" s="67" t="n">
        <v>20</v>
      </c>
      <c r="P7" s="67" t="n">
        <v>32</v>
      </c>
      <c r="Q7" s="67" t="n">
        <v>11</v>
      </c>
      <c r="R7" s="67" t="n">
        <v>13</v>
      </c>
      <c r="S7" s="117" t="n">
        <v>56968</v>
      </c>
      <c r="T7" s="117" t="n">
        <v>64144</v>
      </c>
      <c r="U7" s="121" t="n">
        <v>1</v>
      </c>
      <c r="V7" s="117" t="n">
        <v>4934.15384615385</v>
      </c>
      <c r="W7" s="121" t="n">
        <v>0.421052631578947</v>
      </c>
      <c r="X7" s="121" t="n">
        <v>1.08333333333333</v>
      </c>
      <c r="Y7" s="121" t="n">
        <v>0.456140350877193</v>
      </c>
      <c r="Z7" s="121" t="n">
        <v>0.7692307692307691</v>
      </c>
      <c r="AA7" s="121" t="n">
        <v>0.914285714285714</v>
      </c>
      <c r="AB7" s="121" t="n">
        <v>0.55</v>
      </c>
      <c r="AC7" s="121" t="n">
        <v>0.192982456140351</v>
      </c>
      <c r="AD7" s="121" t="n">
        <v>0.228070175438596</v>
      </c>
      <c r="AE7" s="117" t="n">
        <v>68601.9792325845</v>
      </c>
      <c r="AF7" s="122" t="n">
        <v>0.935016754874224</v>
      </c>
      <c r="AG7" s="67" t="n">
        <v>35</v>
      </c>
      <c r="AH7" s="67" t="n">
        <v>32</v>
      </c>
      <c r="AI7" s="67" t="n">
        <v>34</v>
      </c>
      <c r="AJ7" s="117" t="n">
        <v>2508.25082508251</v>
      </c>
      <c r="AK7" s="117" t="n">
        <v>3043.08520597673</v>
      </c>
      <c r="AL7" s="117" t="n">
        <v>6568.22290602078</v>
      </c>
      <c r="AM7" s="117" t="n">
        <v>586.746527786667</v>
      </c>
      <c r="AN7" s="67" t="n">
        <v>2996.81204739578</v>
      </c>
      <c r="AO7" s="67" t="n">
        <v>0</v>
      </c>
      <c r="AP7" s="67" t="n">
        <v>0</v>
      </c>
      <c r="AQ7" s="67" t="n">
        <v>1</v>
      </c>
      <c r="AR7" s="67" t="n">
        <v>0</v>
      </c>
      <c r="AS7" s="67" t="n">
        <v>0</v>
      </c>
      <c r="AT7" s="67" t="n">
        <v>1</v>
      </c>
      <c r="AU7" s="67" t="n">
        <v>0</v>
      </c>
      <c r="AV7" s="117" t="n">
        <v>1</v>
      </c>
      <c r="AW7" s="117" t="n">
        <v>0</v>
      </c>
      <c r="AX7" s="121" t="n">
        <v>1880</v>
      </c>
      <c r="AY7" s="117" t="n">
        <v>1</v>
      </c>
      <c r="AZ7" s="121" t="n">
        <v>1880</v>
      </c>
      <c r="BA7" s="121" t="n"/>
      <c r="BB7" s="121" t="n"/>
      <c r="BC7" s="121" t="n"/>
      <c r="BD7" s="121" t="n"/>
      <c r="BE7" s="121" t="n">
        <v>1</v>
      </c>
      <c r="BF7" s="121" t="n"/>
      <c r="BG7" s="121" t="n"/>
      <c r="BH7" s="67" t="n"/>
      <c r="BI7" s="67" t="n">
        <v>1</v>
      </c>
      <c r="BJ7" s="67" t="n">
        <v>1</v>
      </c>
      <c r="BK7" s="117" t="n">
        <v>1</v>
      </c>
      <c r="BL7" s="117" t="n">
        <v>0</v>
      </c>
      <c r="BM7" s="117" t="n">
        <v>94.86494985166161</v>
      </c>
      <c r="BN7" s="117" t="n">
        <v>197.373919695283</v>
      </c>
      <c r="BO7" s="117" t="n">
        <v>0</v>
      </c>
      <c r="BP7" s="117" t="n">
        <v>82.18338614965209</v>
      </c>
      <c r="BQ7" s="117" t="n">
        <v>56968</v>
      </c>
      <c r="BR7" s="121" t="n">
        <v>66024</v>
      </c>
      <c r="BS7" s="117" t="n">
        <v>1</v>
      </c>
      <c r="BT7" s="117" t="n">
        <v>13569.2889428766</v>
      </c>
      <c r="BU7" s="117" t="n">
        <v>10789.5482497842</v>
      </c>
      <c r="BV7" s="117" t="n">
        <v>2508.25082508251</v>
      </c>
      <c r="BW7" s="117" t="n">
        <v>52997.3738771993</v>
      </c>
      <c r="BX7" s="117" t="n">
        <v>52546.0137633494</v>
      </c>
      <c r="BY7" s="122" t="n">
        <v>65843.81283821609</v>
      </c>
      <c r="BZ7" s="122" t="n">
        <v>0.865198984450905</v>
      </c>
      <c r="CA7" s="122" t="n">
        <v>2392.02387719934</v>
      </c>
      <c r="CB7" s="122" t="n">
        <v>69074.91364515841</v>
      </c>
      <c r="CC7" s="122" t="n">
        <v>0.955831813835756</v>
      </c>
      <c r="CD7" s="122" t="n">
        <v>70841.6628200759</v>
      </c>
      <c r="CE7" s="39" t="n">
        <v>0.93199393367838</v>
      </c>
    </row>
    <row r="8" ht="16.5" customFormat="1" customHeight="1" s="39">
      <c r="A8" s="63" t="n">
        <v>45873</v>
      </c>
      <c r="B8" s="67" t="n"/>
      <c r="C8" s="67" t="n"/>
      <c r="D8" s="67" t="n"/>
      <c r="E8" s="67" t="n"/>
      <c r="F8" s="67" t="n"/>
      <c r="G8" s="67" t="n"/>
      <c r="H8" s="67" t="n">
        <v>17564.303738636</v>
      </c>
      <c r="I8" s="117" t="n">
        <v>16857.0210887805</v>
      </c>
      <c r="J8" s="117" t="n">
        <v>1170.95358257573</v>
      </c>
      <c r="K8" s="67" t="n">
        <v>15</v>
      </c>
      <c r="L8" s="67" t="n">
        <v>6</v>
      </c>
      <c r="M8" s="67" t="n">
        <v>9</v>
      </c>
      <c r="N8" s="67" t="n">
        <v>6</v>
      </c>
      <c r="O8" s="67" t="n">
        <v>6</v>
      </c>
      <c r="P8" s="67" t="n">
        <v>14</v>
      </c>
      <c r="Q8" s="67" t="n">
        <v>2</v>
      </c>
      <c r="R8" s="67" t="n">
        <v>4</v>
      </c>
      <c r="S8" s="117" t="n">
        <v>12176</v>
      </c>
      <c r="T8" s="117" t="n">
        <v>21852</v>
      </c>
      <c r="U8" s="121" t="n">
        <v>1</v>
      </c>
      <c r="V8" s="117" t="n">
        <v>5463</v>
      </c>
      <c r="W8" s="121" t="n">
        <v>0.4</v>
      </c>
      <c r="X8" s="121" t="n">
        <v>1</v>
      </c>
      <c r="Y8" s="121" t="n">
        <v>0.4</v>
      </c>
      <c r="Z8" s="121" t="n">
        <v>1</v>
      </c>
      <c r="AA8" s="121" t="n">
        <v>1</v>
      </c>
      <c r="AB8" s="121" t="n">
        <v>0.333333333333333</v>
      </c>
      <c r="AC8" s="121" t="n">
        <v>0.133333333333333</v>
      </c>
      <c r="AD8" s="121" t="n">
        <v>0.266666666666667</v>
      </c>
      <c r="AE8" s="117" t="n">
        <v>23739.8885633573</v>
      </c>
      <c r="AF8" s="122" t="n">
        <v>0.920476098347348</v>
      </c>
      <c r="AG8" s="67" t="n">
        <v>14</v>
      </c>
      <c r="AH8" s="67" t="n">
        <v>14</v>
      </c>
      <c r="AI8" s="67" t="n">
        <v>15</v>
      </c>
      <c r="AJ8" s="117" t="n">
        <v>1354.19297881555</v>
      </c>
      <c r="AK8" s="117" t="n">
        <v>1111.66588209883</v>
      </c>
      <c r="AL8" s="117" t="n">
        <v>2237.6030017206</v>
      </c>
      <c r="AM8" s="117" t="n">
        <v>150</v>
      </c>
      <c r="AN8" s="67" t="n">
        <v>1322.12296208637</v>
      </c>
      <c r="AO8" s="67" t="n">
        <v>0</v>
      </c>
      <c r="AP8" s="67" t="n">
        <v>0</v>
      </c>
      <c r="AQ8" s="67" t="n">
        <v>0</v>
      </c>
      <c r="AR8" s="67" t="n">
        <v>0</v>
      </c>
      <c r="AS8" s="67" t="n">
        <v>0</v>
      </c>
      <c r="AT8" s="67" t="n">
        <v>0</v>
      </c>
      <c r="AU8" s="67" t="n">
        <v>0</v>
      </c>
      <c r="AV8" s="117" t="n">
        <v>0</v>
      </c>
      <c r="AW8" s="117" t="n">
        <v>0</v>
      </c>
      <c r="AX8" s="121" t="n">
        <v>0</v>
      </c>
      <c r="AY8" s="117" t="n"/>
      <c r="AZ8" s="121" t="n"/>
      <c r="BA8" s="121" t="n"/>
      <c r="BB8" s="121" t="n"/>
      <c r="BC8" s="121" t="n"/>
      <c r="BD8" s="121" t="n"/>
      <c r="BE8" s="121" t="n"/>
      <c r="BF8" s="121" t="n"/>
      <c r="BG8" s="121" t="n"/>
      <c r="BH8" s="67" t="n"/>
      <c r="BI8" s="67" t="n">
        <v>0</v>
      </c>
      <c r="BJ8" s="67" t="n">
        <v>0</v>
      </c>
      <c r="BK8" s="117" t="n">
        <v>0</v>
      </c>
      <c r="BL8" s="117" t="n">
        <v>0</v>
      </c>
      <c r="BM8" s="117" t="n">
        <v>0</v>
      </c>
      <c r="BN8" s="117" t="n">
        <v>0</v>
      </c>
      <c r="BO8" s="117" t="n">
        <v>0</v>
      </c>
      <c r="BP8" s="117" t="n">
        <v>0</v>
      </c>
      <c r="BQ8" s="117" t="n">
        <v>12176</v>
      </c>
      <c r="BR8" s="121" t="n">
        <v>21852</v>
      </c>
      <c r="BS8" s="117" t="n">
        <v>1</v>
      </c>
      <c r="BT8" s="117" t="n">
        <v>4821.3918459058</v>
      </c>
      <c r="BU8" s="117" t="n">
        <v>2666.75888277368</v>
      </c>
      <c r="BV8" s="117" t="n">
        <v>1354.19297881555</v>
      </c>
      <c r="BW8" s="117" t="n">
        <v>17564.303738636</v>
      </c>
      <c r="BX8" s="117" t="n">
        <v>17210.6624137082</v>
      </c>
      <c r="BY8" s="122" t="n">
        <v>21231.6142752975</v>
      </c>
      <c r="BZ8" s="122" t="n">
        <v>0.57348442007853</v>
      </c>
      <c r="CA8" s="122" t="n">
        <v>707.282649855485</v>
      </c>
      <c r="CB8" s="122" t="n">
        <v>23739.8885633573</v>
      </c>
      <c r="CC8" s="122" t="n">
        <v>0.920476098347348</v>
      </c>
      <c r="CD8" s="122" t="n">
        <v>23510.6955845418</v>
      </c>
      <c r="CE8" s="39" t="n">
        <v>0.929449318988572</v>
      </c>
    </row>
    <row r="9" ht="16.5" customFormat="1" customHeight="1" s="39">
      <c r="A9" s="63" t="n">
        <v>45904</v>
      </c>
      <c r="B9" s="67" t="n"/>
      <c r="C9" s="67" t="n"/>
      <c r="D9" s="67" t="n"/>
      <c r="E9" s="67" t="n"/>
      <c r="F9" s="67" t="n"/>
      <c r="G9" s="67" t="n"/>
      <c r="H9" s="107" t="n">
        <v>905.743928767968</v>
      </c>
      <c r="I9" s="118">
        <f>H9-CA9</f>
        <v/>
      </c>
      <c r="J9" s="107" t="n">
        <v>226.435982191992</v>
      </c>
      <c r="K9" s="57" t="n">
        <v>4</v>
      </c>
      <c r="L9" s="57" t="n">
        <v>2</v>
      </c>
      <c r="M9" s="57" t="n">
        <v>2</v>
      </c>
      <c r="N9" s="57" t="n">
        <v>2</v>
      </c>
      <c r="O9" s="57" t="n">
        <v>2</v>
      </c>
      <c r="P9" s="57" t="n">
        <v>4</v>
      </c>
      <c r="Q9" s="57" t="n">
        <v>1</v>
      </c>
      <c r="R9" s="57" t="n">
        <v>2</v>
      </c>
      <c r="S9" s="107" t="n">
        <v>6088</v>
      </c>
      <c r="T9" s="107" t="n">
        <v>12176</v>
      </c>
      <c r="U9" s="108" t="n">
        <v>1</v>
      </c>
      <c r="V9" s="107" t="n">
        <v>6088</v>
      </c>
      <c r="W9" s="108" t="n">
        <v>0.5</v>
      </c>
      <c r="X9" s="108" t="n">
        <v>1</v>
      </c>
      <c r="Y9" s="108" t="n">
        <v>0.5</v>
      </c>
      <c r="Z9" s="108" t="n">
        <v>1</v>
      </c>
      <c r="AA9" s="108" t="n">
        <v>0.8</v>
      </c>
      <c r="AB9" s="108" t="n">
        <v>0.5</v>
      </c>
      <c r="AC9" s="108" t="n">
        <v>0.25</v>
      </c>
      <c r="AD9" s="108" t="n">
        <v>0.5</v>
      </c>
      <c r="AE9" s="107" t="n">
        <v>3329.73730847477</v>
      </c>
      <c r="AF9" s="109" t="n">
        <v>3.65674492369411</v>
      </c>
      <c r="AG9" s="57" t="n">
        <v>5</v>
      </c>
      <c r="AH9" s="57" t="n">
        <v>4</v>
      </c>
      <c r="AI9" s="57" t="n">
        <v>5</v>
      </c>
      <c r="AJ9" s="107" t="n">
        <v>303.075349149175</v>
      </c>
      <c r="AK9" s="107" t="n">
        <v>289.178420146088</v>
      </c>
      <c r="AL9" s="107" t="n">
        <v>1367.09143491602</v>
      </c>
      <c r="AM9" s="107" t="n">
        <v>40</v>
      </c>
      <c r="AN9" s="107" t="n">
        <v>424.648175495521</v>
      </c>
      <c r="AO9" s="57" t="n">
        <v>0</v>
      </c>
      <c r="AP9" s="57" t="n">
        <v>0</v>
      </c>
      <c r="AQ9" s="57" t="n">
        <v>0</v>
      </c>
      <c r="AR9" s="57" t="n">
        <v>0</v>
      </c>
      <c r="AS9" s="57" t="n">
        <v>0</v>
      </c>
      <c r="AT9" s="57" t="n">
        <v>0</v>
      </c>
      <c r="AU9" s="57" t="n">
        <v>0</v>
      </c>
      <c r="AV9" s="57" t="n">
        <v>0</v>
      </c>
      <c r="AW9" s="107" t="n">
        <v>0</v>
      </c>
      <c r="AX9" s="107" t="n">
        <v>0</v>
      </c>
      <c r="AY9" s="108" t="n"/>
      <c r="AZ9" s="107" t="n"/>
      <c r="BA9" s="108" t="n"/>
      <c r="BB9" s="108" t="n"/>
      <c r="BC9" s="108" t="n"/>
      <c r="BD9" s="108" t="n"/>
      <c r="BE9" s="108" t="n"/>
      <c r="BF9" s="108" t="n"/>
      <c r="BG9" s="108" t="n"/>
      <c r="BH9" s="108" t="n"/>
      <c r="BI9" s="57" t="n">
        <v>0</v>
      </c>
      <c r="BJ9" s="57" t="n">
        <v>0</v>
      </c>
      <c r="BK9" s="57" t="n">
        <v>0</v>
      </c>
      <c r="BL9" s="107" t="n">
        <v>0</v>
      </c>
      <c r="BM9" s="107" t="n">
        <v>0</v>
      </c>
      <c r="BN9" s="107" t="n">
        <v>0</v>
      </c>
      <c r="BO9" s="107" t="n">
        <v>0</v>
      </c>
      <c r="BP9" s="107" t="n">
        <v>0</v>
      </c>
      <c r="BQ9" s="107" t="n">
        <v>6088</v>
      </c>
      <c r="BR9" s="107" t="n">
        <v>12176</v>
      </c>
      <c r="BS9" s="108" t="n">
        <v>1</v>
      </c>
      <c r="BT9" s="107" t="n">
        <v>2120.91803055763</v>
      </c>
      <c r="BU9" s="107" t="n">
        <v>1267.51304290141</v>
      </c>
      <c r="BV9" s="107" t="n">
        <v>303.075349149175</v>
      </c>
      <c r="BW9" s="107" t="n">
        <v>905.743928767968</v>
      </c>
      <c r="BX9" s="107" t="n">
        <v>727.104791701057</v>
      </c>
      <c r="BY9" s="107" t="n">
        <v>2297.69318375164</v>
      </c>
      <c r="BZ9" s="109" t="n">
        <v>2.64961398808678</v>
      </c>
      <c r="CA9" s="118" t="n">
        <v>357.278274133822</v>
      </c>
      <c r="CB9" s="107" t="n">
        <v>3329.73730847477</v>
      </c>
      <c r="CC9" s="109" t="n">
        <v>3.65674492369411</v>
      </c>
      <c r="CD9" s="107" t="n">
        <v>3326.66195932559</v>
      </c>
      <c r="CE9" s="109" t="n">
        <v>3.66012541967697</v>
      </c>
    </row>
    <row r="10" ht="30" customFormat="1" customHeight="1" s="40">
      <c r="A10" s="40" t="inlineStr">
        <is>
          <t>孙慧雪-汇总</t>
        </is>
      </c>
      <c r="B10" s="57" t="n"/>
      <c r="C10" s="57" t="n"/>
      <c r="D10" s="57" t="n"/>
      <c r="E10" s="57" t="n"/>
      <c r="F10" s="57" t="n"/>
      <c r="G10" s="57" t="n"/>
      <c r="H10" s="107">
        <f>SUM(H3:H9)</f>
        <v/>
      </c>
      <c r="I10" s="107">
        <f>SUM(I3:I9)</f>
        <v/>
      </c>
      <c r="J10" s="107">
        <f>I10/K10</f>
        <v/>
      </c>
      <c r="K10" s="57">
        <f>SUM(K3:K9)</f>
        <v/>
      </c>
      <c r="L10" s="57">
        <f>SUM(L3:L9)</f>
        <v/>
      </c>
      <c r="M10" s="57">
        <f>SUM(M3:M9)</f>
        <v/>
      </c>
      <c r="N10" s="57">
        <f>SUM(N3:N9)</f>
        <v/>
      </c>
      <c r="O10" s="57">
        <f>SUM(O3:O9)</f>
        <v/>
      </c>
      <c r="P10" s="57">
        <f>SUM(P3:P9)</f>
        <v/>
      </c>
      <c r="Q10" s="57">
        <f>SUM(Q3:Q9)</f>
        <v/>
      </c>
      <c r="R10" s="57">
        <f>SUM(R3:R9)</f>
        <v/>
      </c>
      <c r="S10" s="107">
        <f>SUM(S3:S9)</f>
        <v/>
      </c>
      <c r="T10" s="107">
        <f>SUM(T3:T9)</f>
        <v/>
      </c>
      <c r="U10" s="57" t="n"/>
      <c r="V10" s="107">
        <f>T10/R10</f>
        <v/>
      </c>
      <c r="W10" s="61">
        <f>L10/K10</f>
        <v/>
      </c>
      <c r="X10" s="61">
        <f>N10/L10</f>
        <v/>
      </c>
      <c r="Y10" s="61">
        <f>N10/K10</f>
        <v/>
      </c>
      <c r="Z10" s="61">
        <f>O10/N10</f>
        <v/>
      </c>
      <c r="AA10" s="61">
        <f>AVERAGE(AA3:AA9)</f>
        <v/>
      </c>
      <c r="AB10" s="61">
        <f>Q10/O10</f>
        <v/>
      </c>
      <c r="AC10" s="61">
        <f>Q10/K10</f>
        <v/>
      </c>
      <c r="AD10" s="61">
        <f>R10/K10</f>
        <v/>
      </c>
      <c r="AE10" s="107">
        <f>SUM(AE3:AE9)</f>
        <v/>
      </c>
      <c r="AF10" s="109">
        <f>T10/AE10</f>
        <v/>
      </c>
      <c r="AG10" s="57">
        <f>SUM(AG3:AG9)</f>
        <v/>
      </c>
      <c r="AH10" s="57">
        <f>SUM(AH3:AH9)</f>
        <v/>
      </c>
      <c r="AI10" s="57">
        <f>SUM(AI3:AI9)</f>
        <v/>
      </c>
      <c r="AJ10" s="107">
        <f>SUM(AJ3:AJ9)</f>
        <v/>
      </c>
      <c r="AK10" s="107">
        <f>SUM(AK3:AK9)</f>
        <v/>
      </c>
      <c r="AL10" s="107">
        <f>SUM(AL3:AL9)</f>
        <v/>
      </c>
      <c r="AM10" s="107">
        <f>SUM(AM3:AM9)</f>
        <v/>
      </c>
      <c r="AN10" s="107">
        <f>SUM(AN3:AN9)</f>
        <v/>
      </c>
      <c r="AO10" s="57">
        <f>SUM(AO3:AO9)</f>
        <v/>
      </c>
      <c r="AP10" s="57">
        <f>SUM(AP3:AP9)</f>
        <v/>
      </c>
      <c r="AQ10" s="57" t="n"/>
      <c r="AR10" s="57">
        <f>SUM(AR3:AR9)</f>
        <v/>
      </c>
      <c r="AS10" s="57">
        <f>SUM(AS3:AS9)</f>
        <v/>
      </c>
      <c r="AT10" s="57">
        <f>SUM(AT3:AT9)</f>
        <v/>
      </c>
      <c r="AU10" s="57">
        <f>SUM(AU3:AU9)</f>
        <v/>
      </c>
      <c r="AV10" s="57">
        <f>SUM(AV3:AV9)</f>
        <v/>
      </c>
      <c r="AW10" s="107">
        <f>SUM(AW3:AW9)</f>
        <v/>
      </c>
      <c r="AX10" s="107">
        <f>SUM(AX3:AX9)</f>
        <v/>
      </c>
      <c r="AY10" s="107" t="n"/>
      <c r="AZ10" s="107">
        <f>AX10/AV10</f>
        <v/>
      </c>
      <c r="BA10" s="62">
        <f>AP10/AO10</f>
        <v/>
      </c>
      <c r="BB10" s="62">
        <f>AR10/AP10</f>
        <v/>
      </c>
      <c r="BC10" s="62">
        <f>AR10/AO10</f>
        <v/>
      </c>
      <c r="BD10" s="62">
        <f>AS10/AR10</f>
        <v/>
      </c>
      <c r="BE10" s="62">
        <f>AVERAGE(BE3:BE9)</f>
        <v/>
      </c>
      <c r="BF10" s="62">
        <f>AU10/AS10</f>
        <v/>
      </c>
      <c r="BG10" s="62">
        <f>AU10/AO10</f>
        <v/>
      </c>
      <c r="BH10" s="62">
        <f>AV10/AO10</f>
        <v/>
      </c>
      <c r="BI10" s="57">
        <f>SUM(BI3:BI9)</f>
        <v/>
      </c>
      <c r="BJ10" s="57">
        <f>SUM(BJ3:BJ9)</f>
        <v/>
      </c>
      <c r="BK10" s="57">
        <f>SUM(BK3:BK9)</f>
        <v/>
      </c>
      <c r="BL10" s="107">
        <f>SUM(BL3:BL9)</f>
        <v/>
      </c>
      <c r="BM10" s="107">
        <f>SUM(BM3:BM9)</f>
        <v/>
      </c>
      <c r="BN10" s="107">
        <f>SUM(BN3:BN9)</f>
        <v/>
      </c>
      <c r="BO10" s="57">
        <f>SUM(BO3:BO9)</f>
        <v/>
      </c>
      <c r="BP10" s="57">
        <f>SUM(BP3:BP9)</f>
        <v/>
      </c>
      <c r="BQ10" s="107">
        <f>SUM(BQ3:BQ9)</f>
        <v/>
      </c>
      <c r="BR10" s="107">
        <f>SUM(BR3:BR9)</f>
        <v/>
      </c>
      <c r="BS10" s="107" t="n"/>
      <c r="BT10" s="107">
        <f>SUM(BT3:BT9)</f>
        <v/>
      </c>
      <c r="BU10" s="107">
        <f>SUM(BU3:BU9)</f>
        <v/>
      </c>
      <c r="BV10" s="107">
        <f>SUM(BV3:BV9)</f>
        <v/>
      </c>
      <c r="BW10" s="107">
        <f>SUM(BW3:BW9)</f>
        <v/>
      </c>
      <c r="BX10" s="107">
        <f>SUM(BX3:BX9)</f>
        <v/>
      </c>
      <c r="BY10" s="107">
        <f>SUM(BY3:BY9)</f>
        <v/>
      </c>
      <c r="BZ10" s="109">
        <f>BQ10/BY10</f>
        <v/>
      </c>
      <c r="CA10" s="107">
        <f>SUM(CA3:CA9)</f>
        <v/>
      </c>
      <c r="CB10" s="107">
        <f>SUM(CB3:CB9)</f>
        <v/>
      </c>
      <c r="CC10" s="109">
        <f>BR10/CB10</f>
        <v/>
      </c>
      <c r="CD10" s="107">
        <f>SUM(CD3:CD9)</f>
        <v/>
      </c>
      <c r="CE10" s="109">
        <f>BR10/CD10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8"/>
  <sheetViews>
    <sheetView zoomScale="80" zoomScaleNormal="80" workbookViewId="0">
      <selection activeCell="AF8" sqref="AF8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41.8416666666667" customWidth="1" min="4" max="4"/>
    <col width="8.891666666666669" customWidth="1" min="5" max="7"/>
    <col width="10.6916666666667" customWidth="1" min="8" max="8"/>
    <col width="12.8916666666667" customWidth="1" min="9" max="9"/>
    <col width="12.0833333333333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45718</v>
      </c>
      <c r="B3" s="67" t="n"/>
      <c r="C3" s="67" t="inlineStr">
        <is>
          <t>陈倩扬</t>
        </is>
      </c>
      <c r="D3" s="67" t="inlineStr">
        <is>
          <t>KOLHK-香港-陈倩扬Skye-Shukei-思维&amp;无</t>
        </is>
      </c>
      <c r="E3" s="67" t="inlineStr">
        <is>
          <t>-</t>
        </is>
      </c>
      <c r="F3" s="67" t="inlineStr">
        <is>
          <t>-</t>
        </is>
      </c>
      <c r="G3" s="67" t="inlineStr">
        <is>
          <t>-</t>
        </is>
      </c>
      <c r="H3" s="67">
        <f>I3</f>
        <v/>
      </c>
      <c r="I3" s="117" t="n">
        <v>92998.23768999999</v>
      </c>
      <c r="J3" s="117" t="n">
        <v>522.462009494382</v>
      </c>
      <c r="K3" s="67" t="n">
        <v>178</v>
      </c>
      <c r="L3" s="67" t="n">
        <v>84</v>
      </c>
      <c r="M3" s="67" t="n">
        <v>84</v>
      </c>
      <c r="N3" s="67" t="n">
        <v>97</v>
      </c>
      <c r="O3" s="67" t="n">
        <v>79</v>
      </c>
      <c r="P3" s="67" t="n">
        <v>79</v>
      </c>
      <c r="Q3" s="67" t="n">
        <v>33</v>
      </c>
      <c r="R3" s="67" t="n">
        <v>33</v>
      </c>
      <c r="S3" s="117" t="n">
        <v>156665.2</v>
      </c>
      <c r="T3" s="117" t="n">
        <v>156665.2</v>
      </c>
      <c r="U3" s="121" t="n">
        <v>1</v>
      </c>
      <c r="V3" s="117" t="n">
        <v>4747.4303030303</v>
      </c>
      <c r="W3" s="121" t="n">
        <v>0.471910112359551</v>
      </c>
      <c r="X3" s="121" t="n">
        <v>1.1547619047619</v>
      </c>
      <c r="Y3" s="121" t="n">
        <v>0.544943820224719</v>
      </c>
      <c r="Z3" s="121" t="n">
        <v>0.814432989690722</v>
      </c>
      <c r="AA3" s="121" t="n">
        <v>0.975308641975309</v>
      </c>
      <c r="AB3" s="121" t="n">
        <v>0.417721518987342</v>
      </c>
      <c r="AC3" s="121" t="n">
        <v>0.185393258426966</v>
      </c>
      <c r="AD3" s="121" t="n">
        <v>0.185393258426966</v>
      </c>
      <c r="AE3" s="117" t="n">
        <v>140388.997254571</v>
      </c>
      <c r="AF3" s="122" t="n">
        <v>1.11593645558928</v>
      </c>
      <c r="AG3" s="67" t="n">
        <v>81</v>
      </c>
      <c r="AH3" s="67" t="n">
        <v>79</v>
      </c>
      <c r="AI3" s="67" t="n">
        <v>86</v>
      </c>
      <c r="AJ3" s="117" t="n">
        <v>15910.0775028601</v>
      </c>
      <c r="AK3" s="117" t="n">
        <v>8304.18009696021</v>
      </c>
      <c r="AL3" s="117" t="n">
        <v>14997.7992129913</v>
      </c>
      <c r="AM3" s="117" t="n">
        <v>1197.87950347933</v>
      </c>
      <c r="AN3" s="67" t="n">
        <v>6980.82324828046</v>
      </c>
      <c r="AO3" s="67" t="n">
        <v>0</v>
      </c>
      <c r="AP3" s="67" t="n">
        <v>0</v>
      </c>
      <c r="AQ3" s="67" t="n">
        <v>0</v>
      </c>
      <c r="AR3" s="67" t="n">
        <v>0</v>
      </c>
      <c r="AS3" s="67" t="n">
        <v>0</v>
      </c>
      <c r="AT3" s="67" t="n">
        <v>0</v>
      </c>
      <c r="AU3" s="67" t="n">
        <v>0</v>
      </c>
      <c r="AV3" s="117" t="n">
        <v>0</v>
      </c>
      <c r="AW3" s="117" t="n">
        <v>0</v>
      </c>
      <c r="AX3" s="121" t="n">
        <v>0</v>
      </c>
      <c r="AY3" s="117" t="n"/>
      <c r="AZ3" s="121" t="n"/>
      <c r="BA3" s="121" t="n"/>
      <c r="BB3" s="121" t="n"/>
      <c r="BC3" s="121" t="n"/>
      <c r="BD3" s="121" t="n"/>
      <c r="BE3" s="121" t="n"/>
      <c r="BF3" s="121" t="n"/>
      <c r="BG3" s="121" t="n"/>
      <c r="BH3" s="67" t="n"/>
      <c r="BI3" s="67" t="n">
        <v>0</v>
      </c>
      <c r="BJ3" s="67" t="n">
        <v>0</v>
      </c>
      <c r="BK3" s="117" t="n">
        <v>0</v>
      </c>
      <c r="BL3" s="117" t="n">
        <v>0</v>
      </c>
      <c r="BM3" s="117" t="n">
        <v>0</v>
      </c>
      <c r="BN3" s="117" t="n">
        <v>0</v>
      </c>
      <c r="BO3" s="117" t="n">
        <v>0</v>
      </c>
      <c r="BP3" s="117" t="n">
        <v>0</v>
      </c>
      <c r="BQ3" s="117" t="n">
        <v>156665.2</v>
      </c>
      <c r="BR3" s="121" t="n">
        <v>156665.2</v>
      </c>
      <c r="BS3" s="117" t="n">
        <v>1</v>
      </c>
      <c r="BT3" s="117" t="n">
        <v>31568.9640163153</v>
      </c>
      <c r="BU3" s="117" t="n">
        <v>31568.9640163153</v>
      </c>
      <c r="BV3" s="117" t="n">
        <v>15991.8264999065</v>
      </c>
      <c r="BW3" s="117" t="n">
        <v>92998.23768999999</v>
      </c>
      <c r="BX3" s="117" t="n">
        <v>92998.23768999999</v>
      </c>
      <c r="BY3" s="122" t="n">
        <v>140559.028206222</v>
      </c>
      <c r="BZ3" s="122" t="n">
        <v>1.11458653349643</v>
      </c>
      <c r="CA3" s="122" t="n"/>
      <c r="CB3" s="122" t="n">
        <v>140559.028206222</v>
      </c>
      <c r="CC3" s="122" t="n">
        <v>1.11458653349643</v>
      </c>
      <c r="CD3" s="122" t="n">
        <v>137992.201706315</v>
      </c>
      <c r="CE3" s="71" t="n">
        <v>1.13531922864327</v>
      </c>
    </row>
    <row r="4" ht="16.5" customFormat="1" customHeight="1" s="39">
      <c r="A4" s="63" t="n">
        <v>45750</v>
      </c>
      <c r="B4" s="67" t="n"/>
      <c r="C4" s="67" t="n"/>
      <c r="D4" s="67" t="inlineStr">
        <is>
          <t>KOLHK-香港-陈倩扬Skye-Shukei-思维&amp;无</t>
        </is>
      </c>
      <c r="E4" s="67" t="inlineStr">
        <is>
          <t>思维</t>
        </is>
      </c>
      <c r="F4" s="67" t="inlineStr">
        <is>
          <t>-</t>
        </is>
      </c>
      <c r="G4" s="67" t="inlineStr">
        <is>
          <t>CPT</t>
        </is>
      </c>
      <c r="H4" s="67">
        <f>I4</f>
        <v/>
      </c>
      <c r="I4" s="117" t="n">
        <v>48781.3305102439</v>
      </c>
      <c r="J4" s="117" t="n">
        <v>1084.02956689431</v>
      </c>
      <c r="K4" s="67" t="n">
        <v>45</v>
      </c>
      <c r="L4" s="67" t="n">
        <v>28</v>
      </c>
      <c r="M4" s="67" t="n">
        <v>31</v>
      </c>
      <c r="N4" s="67" t="n">
        <v>29</v>
      </c>
      <c r="O4" s="67" t="n">
        <v>21</v>
      </c>
      <c r="P4" s="67" t="n">
        <v>28</v>
      </c>
      <c r="Q4" s="67" t="n">
        <v>5</v>
      </c>
      <c r="R4" s="67" t="n">
        <v>11</v>
      </c>
      <c r="S4" s="117" t="n">
        <v>23940</v>
      </c>
      <c r="T4" s="117" t="n">
        <v>45568</v>
      </c>
      <c r="U4" s="121" t="n">
        <v>1</v>
      </c>
      <c r="V4" s="117" t="n">
        <v>4142.54545454545</v>
      </c>
      <c r="W4" s="121" t="n">
        <v>0.622222222222222</v>
      </c>
      <c r="X4" s="121" t="n">
        <v>1.03571428571429</v>
      </c>
      <c r="Y4" s="121" t="n">
        <v>0.644444444444444</v>
      </c>
      <c r="Z4" s="121" t="n">
        <v>0.724137931034483</v>
      </c>
      <c r="AA4" s="121" t="n">
        <v>0.933333333333333</v>
      </c>
      <c r="AB4" s="121" t="n">
        <v>0.238095238095238</v>
      </c>
      <c r="AC4" s="121" t="n">
        <v>0.111111111111111</v>
      </c>
      <c r="AD4" s="121" t="n">
        <v>0.244444444444444</v>
      </c>
      <c r="AE4" s="117" t="n">
        <v>65326.2956005454</v>
      </c>
      <c r="AF4" s="122" t="n">
        <v>0.697544527530496</v>
      </c>
      <c r="AG4" s="67" t="n">
        <v>30</v>
      </c>
      <c r="AH4" s="67" t="n">
        <v>28</v>
      </c>
      <c r="AI4" s="67" t="n">
        <v>29</v>
      </c>
      <c r="AJ4" s="117" t="n">
        <v>4984.13806035593</v>
      </c>
      <c r="AK4" s="117" t="n">
        <v>4591.69435014086</v>
      </c>
      <c r="AL4" s="117" t="n">
        <v>4085.35430400907</v>
      </c>
      <c r="AM4" s="117" t="n">
        <v>444.761620028327</v>
      </c>
      <c r="AN4" s="67" t="n">
        <v>2439.01675576737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23940</v>
      </c>
      <c r="BR4" s="121" t="n">
        <v>45568</v>
      </c>
      <c r="BS4" s="117" t="n">
        <v>1</v>
      </c>
      <c r="BT4" s="117" t="n">
        <v>12047.2928156579</v>
      </c>
      <c r="BU4" s="117" t="n">
        <v>8888.552558941579</v>
      </c>
      <c r="BV4" s="117" t="n">
        <v>5193.43191443755</v>
      </c>
      <c r="BW4" s="117" t="n">
        <v>48781.3305102439</v>
      </c>
      <c r="BX4" s="117" t="n">
        <v>48781.3305102439</v>
      </c>
      <c r="BY4" s="122" t="n">
        <v>62863.314983623</v>
      </c>
      <c r="BZ4" s="122" t="n">
        <v>0.380826241922444</v>
      </c>
      <c r="CA4" s="122" t="n"/>
      <c r="CB4" s="122" t="n">
        <v>66022.0552403394</v>
      </c>
      <c r="CC4" s="122" t="n">
        <v>0.6901936002161591</v>
      </c>
      <c r="CD4" s="122" t="n">
        <v>64353.6233259018</v>
      </c>
      <c r="CE4" s="71" t="n">
        <v>0.708087558166429</v>
      </c>
    </row>
    <row r="5" ht="16.5" customFormat="1" customHeight="1" s="39">
      <c r="A5" s="63" t="n">
        <v>45780</v>
      </c>
      <c r="B5" s="67" t="n"/>
      <c r="C5" s="67" t="n"/>
      <c r="D5" s="67" t="n"/>
      <c r="E5" s="67" t="n"/>
      <c r="F5" s="67" t="n"/>
      <c r="G5" s="67" t="n"/>
      <c r="H5" s="67">
        <f>I5</f>
        <v/>
      </c>
      <c r="I5" s="117" t="n">
        <v>69042.5101374909</v>
      </c>
      <c r="J5" s="117" t="n">
        <v>793.592070545872</v>
      </c>
      <c r="K5" s="67" t="n">
        <v>87</v>
      </c>
      <c r="L5" s="67" t="n">
        <v>44</v>
      </c>
      <c r="M5" s="67" t="n">
        <v>45</v>
      </c>
      <c r="N5" s="67" t="n">
        <v>44</v>
      </c>
      <c r="O5" s="67" t="n">
        <v>34</v>
      </c>
      <c r="P5" s="67" t="n">
        <v>42</v>
      </c>
      <c r="Q5" s="67" t="n">
        <v>11</v>
      </c>
      <c r="R5" s="67" t="n">
        <v>15</v>
      </c>
      <c r="S5" s="117" t="n">
        <v>47868</v>
      </c>
      <c r="T5" s="117" t="n">
        <v>69111.2</v>
      </c>
      <c r="U5" s="121" t="n">
        <v>1</v>
      </c>
      <c r="V5" s="117" t="n">
        <v>4607.41333333333</v>
      </c>
      <c r="W5" s="121" t="n">
        <v>0.505747126436782</v>
      </c>
      <c r="X5" s="121" t="n">
        <v>1</v>
      </c>
      <c r="Y5" s="121" t="n">
        <v>0.505747126436782</v>
      </c>
      <c r="Z5" s="121" t="n">
        <v>0.772727272727273</v>
      </c>
      <c r="AA5" s="121" t="n">
        <v>0.91304347826087</v>
      </c>
      <c r="AB5" s="121" t="n">
        <v>0.323529411764706</v>
      </c>
      <c r="AC5" s="121" t="n">
        <v>0.126436781609195</v>
      </c>
      <c r="AD5" s="121" t="n">
        <v>0.172413793103448</v>
      </c>
      <c r="AE5" s="117" t="n">
        <v>91364.5036224653</v>
      </c>
      <c r="AF5" s="122" t="n">
        <v>0.756433814663735</v>
      </c>
      <c r="AG5" s="67" t="n">
        <v>46</v>
      </c>
      <c r="AH5" s="67" t="n">
        <v>42</v>
      </c>
      <c r="AI5" s="67" t="n">
        <v>51</v>
      </c>
      <c r="AJ5" s="117" t="n">
        <v>4932.60373582867</v>
      </c>
      <c r="AK5" s="117" t="n">
        <v>5522.5087358571</v>
      </c>
      <c r="AL5" s="117" t="n">
        <v>6627.93811494018</v>
      </c>
      <c r="AM5" s="117" t="n">
        <v>809.029976338942</v>
      </c>
      <c r="AN5" s="67" t="n">
        <v>4429.91292200946</v>
      </c>
      <c r="AO5" s="67" t="n">
        <v>0</v>
      </c>
      <c r="AP5" s="67" t="n">
        <v>0</v>
      </c>
      <c r="AQ5" s="67" t="n">
        <v>0</v>
      </c>
      <c r="AR5" s="67" t="n">
        <v>0</v>
      </c>
      <c r="AS5" s="67" t="n">
        <v>0</v>
      </c>
      <c r="AT5" s="67" t="n">
        <v>0</v>
      </c>
      <c r="AU5" s="67" t="n">
        <v>0</v>
      </c>
      <c r="AV5" s="117" t="n">
        <v>0</v>
      </c>
      <c r="AW5" s="117" t="n">
        <v>0</v>
      </c>
      <c r="AX5" s="121" t="n">
        <v>0</v>
      </c>
      <c r="AY5" s="117" t="n"/>
      <c r="AZ5" s="121" t="n"/>
      <c r="BA5" s="121" t="n"/>
      <c r="BB5" s="121" t="n"/>
      <c r="BC5" s="121" t="n"/>
      <c r="BD5" s="121" t="n"/>
      <c r="BE5" s="121" t="n"/>
      <c r="BF5" s="121" t="n"/>
      <c r="BG5" s="121" t="n"/>
      <c r="BH5" s="67" t="n"/>
      <c r="BI5" s="67" t="n">
        <v>0</v>
      </c>
      <c r="BJ5" s="67" t="n">
        <v>0</v>
      </c>
      <c r="BK5" s="117" t="n">
        <v>0</v>
      </c>
      <c r="BL5" s="117" t="n">
        <v>0</v>
      </c>
      <c r="BM5" s="117" t="n">
        <v>0</v>
      </c>
      <c r="BN5" s="117" t="n">
        <v>0</v>
      </c>
      <c r="BO5" s="117" t="n">
        <v>0</v>
      </c>
      <c r="BP5" s="117" t="n">
        <v>0</v>
      </c>
      <c r="BQ5" s="117" t="n">
        <v>47868</v>
      </c>
      <c r="BR5" s="121" t="n">
        <v>69111.2</v>
      </c>
      <c r="BS5" s="117" t="n">
        <v>1</v>
      </c>
      <c r="BT5" s="117" t="n">
        <v>17389.3897491457</v>
      </c>
      <c r="BU5" s="117" t="n">
        <v>14187.0585062012</v>
      </c>
      <c r="BV5" s="117" t="n">
        <v>4932.60373582867</v>
      </c>
      <c r="BW5" s="117" t="n">
        <v>69042.5101374909</v>
      </c>
      <c r="BX5" s="117" t="n">
        <v>69042.5101374909</v>
      </c>
      <c r="BY5" s="122" t="n">
        <v>88162.17237952071</v>
      </c>
      <c r="BZ5" s="122" t="n">
        <v>0.542953953016694</v>
      </c>
      <c r="CA5" s="122" t="n"/>
      <c r="CB5" s="122" t="n">
        <v>91364.5036224653</v>
      </c>
      <c r="CC5" s="122" t="n">
        <v>0.756433814663735</v>
      </c>
      <c r="CD5" s="122" t="n">
        <v>92956.8998866366</v>
      </c>
      <c r="CE5" s="71" t="n">
        <v>0.743475740738804</v>
      </c>
    </row>
    <row r="6" ht="16.5" customFormat="1" customHeight="1" s="39">
      <c r="A6" s="63" t="n">
        <v>45811</v>
      </c>
      <c r="B6" s="67" t="n"/>
      <c r="C6" s="67" t="n"/>
      <c r="D6" s="67" t="n"/>
      <c r="E6" s="67" t="n"/>
      <c r="F6" s="67" t="n"/>
      <c r="G6" s="67" t="n"/>
      <c r="H6" s="67" t="n">
        <v>5499.18139588839</v>
      </c>
      <c r="I6" s="117" t="n">
        <v>4609.17398341463</v>
      </c>
      <c r="J6" s="117" t="n">
        <v>549.918139588839</v>
      </c>
      <c r="K6" s="67" t="n">
        <v>10</v>
      </c>
      <c r="L6" s="67" t="n">
        <v>3</v>
      </c>
      <c r="M6" s="67" t="n">
        <v>3</v>
      </c>
      <c r="N6" s="67" t="n">
        <v>3</v>
      </c>
      <c r="O6" s="67" t="n">
        <v>3</v>
      </c>
      <c r="P6" s="67" t="n">
        <v>8</v>
      </c>
      <c r="Q6" s="67" t="n">
        <v>2</v>
      </c>
      <c r="R6" s="67" t="n">
        <v>5</v>
      </c>
      <c r="S6" s="117" t="n">
        <v>9776</v>
      </c>
      <c r="T6" s="117" t="n">
        <v>21340</v>
      </c>
      <c r="U6" s="121" t="n">
        <v>1</v>
      </c>
      <c r="V6" s="117" t="n">
        <v>4268</v>
      </c>
      <c r="W6" s="121" t="n">
        <v>0.3</v>
      </c>
      <c r="X6" s="121" t="n">
        <v>1</v>
      </c>
      <c r="Y6" s="121" t="n">
        <v>0.3</v>
      </c>
      <c r="Z6" s="121" t="n">
        <v>1</v>
      </c>
      <c r="AA6" s="121" t="n">
        <v>1</v>
      </c>
      <c r="AB6" s="121" t="n">
        <v>0.666666666666667</v>
      </c>
      <c r="AC6" s="121" t="n">
        <v>0.2</v>
      </c>
      <c r="AD6" s="121" t="n">
        <v>0.5</v>
      </c>
      <c r="AE6" s="117" t="n">
        <v>9378.055849042339</v>
      </c>
      <c r="AF6" s="122" t="n">
        <v>2.2755249428568</v>
      </c>
      <c r="AG6" s="67" t="n">
        <v>8</v>
      </c>
      <c r="AH6" s="67" t="n">
        <v>8</v>
      </c>
      <c r="AI6" s="67" t="n">
        <v>9</v>
      </c>
      <c r="AJ6" s="117" t="n">
        <v>623.745395097242</v>
      </c>
      <c r="AK6" s="117" t="n">
        <v>337.156339326763</v>
      </c>
      <c r="AL6" s="117" t="n">
        <v>2060.02033669778</v>
      </c>
      <c r="AM6" s="117" t="n">
        <v>80.75924381298999</v>
      </c>
      <c r="AN6" s="67" t="n">
        <v>777.193138219181</v>
      </c>
      <c r="AO6" s="67" t="n">
        <v>0</v>
      </c>
      <c r="AP6" s="67" t="n">
        <v>0</v>
      </c>
      <c r="AQ6" s="67" t="n">
        <v>0</v>
      </c>
      <c r="AR6" s="67" t="n">
        <v>0</v>
      </c>
      <c r="AS6" s="67" t="n">
        <v>0</v>
      </c>
      <c r="AT6" s="67" t="n">
        <v>0</v>
      </c>
      <c r="AU6" s="67" t="n">
        <v>0</v>
      </c>
      <c r="AV6" s="117" t="n">
        <v>0</v>
      </c>
      <c r="AW6" s="117" t="n">
        <v>0</v>
      </c>
      <c r="AX6" s="121" t="n">
        <v>0</v>
      </c>
      <c r="AY6" s="117" t="n"/>
      <c r="AZ6" s="121" t="n"/>
      <c r="BA6" s="121" t="n"/>
      <c r="BB6" s="121" t="n"/>
      <c r="BC6" s="121" t="n"/>
      <c r="BD6" s="121" t="n"/>
      <c r="BE6" s="121" t="n"/>
      <c r="BF6" s="121" t="n"/>
      <c r="BG6" s="121" t="n"/>
      <c r="BH6" s="67" t="n"/>
      <c r="BI6" s="67" t="n">
        <v>0</v>
      </c>
      <c r="BJ6" s="67" t="n">
        <v>0</v>
      </c>
      <c r="BK6" s="117" t="n">
        <v>0</v>
      </c>
      <c r="BL6" s="117" t="n">
        <v>0</v>
      </c>
      <c r="BM6" s="117" t="n">
        <v>0</v>
      </c>
      <c r="BN6" s="117" t="n">
        <v>0</v>
      </c>
      <c r="BO6" s="117" t="n">
        <v>0</v>
      </c>
      <c r="BP6" s="117" t="n">
        <v>0</v>
      </c>
      <c r="BQ6" s="117" t="n">
        <v>9776</v>
      </c>
      <c r="BR6" s="121" t="n">
        <v>21340</v>
      </c>
      <c r="BS6" s="117" t="n">
        <v>1</v>
      </c>
      <c r="BT6" s="117" t="n">
        <v>3530.14149195603</v>
      </c>
      <c r="BU6" s="117" t="n">
        <v>1895.70180654656</v>
      </c>
      <c r="BV6" s="117" t="n">
        <v>735.702388153873</v>
      </c>
      <c r="BW6" s="117" t="n">
        <v>5499.18139588839</v>
      </c>
      <c r="BX6" s="117" t="n">
        <v>4965.17694840413</v>
      </c>
      <c r="BY6" s="122" t="n">
        <v>7596.58114310456</v>
      </c>
      <c r="BZ6" s="122" t="n">
        <v>1.28689469852813</v>
      </c>
      <c r="CA6" s="122" t="n">
        <v>890.0074124737559</v>
      </c>
      <c r="CB6" s="122" t="n">
        <v>9765.02527599829</v>
      </c>
      <c r="CC6" s="122" t="n">
        <v>2.18535020615381</v>
      </c>
      <c r="CD6" s="122" t="n">
        <v>9929.32288784441</v>
      </c>
      <c r="CE6" s="71" t="n">
        <v>2.14918985323004</v>
      </c>
    </row>
    <row r="7" ht="16.5" customFormat="1" customHeight="1" s="39">
      <c r="A7" s="63" t="n"/>
      <c r="B7" s="67" t="n"/>
      <c r="C7" s="67" t="n"/>
      <c r="D7" s="67" t="n"/>
      <c r="E7" s="67" t="n"/>
      <c r="F7" s="67" t="n"/>
      <c r="G7" s="67" t="n"/>
      <c r="H7" s="67" t="n"/>
      <c r="I7" s="117" t="n"/>
      <c r="J7" s="117" t="n"/>
      <c r="K7" s="67" t="n"/>
      <c r="L7" s="67" t="n"/>
      <c r="M7" s="67" t="n"/>
      <c r="N7" s="67" t="n"/>
      <c r="O7" s="67" t="n"/>
      <c r="P7" s="67" t="n"/>
      <c r="Q7" s="67" t="n"/>
      <c r="R7" s="67" t="n"/>
      <c r="S7" s="117" t="n"/>
      <c r="T7" s="117" t="n"/>
      <c r="U7" s="121" t="n"/>
      <c r="V7" s="117" t="n"/>
      <c r="W7" s="121" t="n"/>
      <c r="X7" s="121" t="n"/>
      <c r="Y7" s="121" t="n"/>
      <c r="Z7" s="121" t="n"/>
      <c r="AA7" s="121" t="n"/>
      <c r="AB7" s="121" t="n"/>
      <c r="AC7" s="121" t="n"/>
      <c r="AD7" s="121" t="n"/>
      <c r="AE7" s="117" t="n"/>
      <c r="AF7" s="122" t="n"/>
      <c r="AG7" s="67" t="n"/>
      <c r="AH7" s="67" t="n"/>
      <c r="AI7" s="67" t="n"/>
      <c r="AJ7" s="117" t="n"/>
      <c r="AK7" s="117" t="n"/>
      <c r="AL7" s="117" t="n"/>
      <c r="AM7" s="117" t="n"/>
      <c r="AN7" s="67" t="n"/>
      <c r="AO7" s="67" t="n"/>
      <c r="AP7" s="67" t="n"/>
      <c r="AQ7" s="67" t="n"/>
      <c r="AR7" s="67" t="n"/>
      <c r="AS7" s="67" t="n"/>
      <c r="AT7" s="67" t="n"/>
      <c r="AU7" s="67" t="n"/>
      <c r="AV7" s="117" t="n"/>
      <c r="AW7" s="117" t="n"/>
      <c r="AX7" s="121" t="n"/>
      <c r="AY7" s="117" t="n"/>
      <c r="AZ7" s="121" t="n"/>
      <c r="BA7" s="121" t="n"/>
      <c r="BB7" s="121" t="n"/>
      <c r="BC7" s="121" t="n"/>
      <c r="BD7" s="121" t="n"/>
      <c r="BE7" s="121" t="n"/>
      <c r="BF7" s="121" t="n"/>
      <c r="BG7" s="121" t="n"/>
      <c r="BH7" s="67" t="n"/>
      <c r="BI7" s="67" t="n"/>
      <c r="BJ7" s="67" t="n"/>
      <c r="BK7" s="117" t="n"/>
      <c r="BL7" s="117" t="n"/>
      <c r="BM7" s="117" t="n"/>
      <c r="BN7" s="117" t="n"/>
      <c r="BO7" s="117" t="n"/>
      <c r="BP7" s="117" t="n"/>
      <c r="BQ7" s="117" t="n"/>
      <c r="BR7" s="121" t="n"/>
      <c r="BS7" s="117" t="n"/>
      <c r="BT7" s="117" t="n"/>
      <c r="BU7" s="117" t="n"/>
      <c r="BV7" s="117" t="n"/>
      <c r="BW7" s="117" t="n"/>
      <c r="BX7" s="117" t="n"/>
      <c r="BY7" s="122" t="n"/>
      <c r="BZ7" s="122" t="n"/>
      <c r="CA7" s="122" t="n"/>
      <c r="CB7" s="122" t="n"/>
      <c r="CC7" s="122" t="n"/>
      <c r="CD7" s="122" t="n"/>
      <c r="CE7" s="71" t="n"/>
    </row>
    <row r="8" ht="30" customFormat="1" customHeight="1" s="40">
      <c r="A8" s="40" t="inlineStr">
        <is>
          <t>陈倩扬-汇总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>
        <f>SUM(O3:O7)</f>
        <v/>
      </c>
      <c r="P8" s="57">
        <f>SUM(P3:P7)</f>
        <v/>
      </c>
      <c r="Q8" s="57">
        <f>SUM(Q3:Q7)</f>
        <v/>
      </c>
      <c r="R8" s="57">
        <f>SUM(R3:R7)</f>
        <v/>
      </c>
      <c r="S8" s="107">
        <f>SUM(S3:S7)</f>
        <v/>
      </c>
      <c r="T8" s="107">
        <f>SUM(T3:T7)</f>
        <v/>
      </c>
      <c r="U8" s="57" t="n"/>
      <c r="V8" s="107">
        <f>T8/R8</f>
        <v/>
      </c>
      <c r="W8" s="61">
        <f>L8/K8</f>
        <v/>
      </c>
      <c r="X8" s="61">
        <f>N8/L8</f>
        <v/>
      </c>
      <c r="Y8" s="61">
        <f>N8/K8</f>
        <v/>
      </c>
      <c r="Z8" s="61">
        <f>O8/N8</f>
        <v/>
      </c>
      <c r="AA8" s="61">
        <f>AVERAGE(AA3:AA7)</f>
        <v/>
      </c>
      <c r="AB8" s="61">
        <f>Q8/O8</f>
        <v/>
      </c>
      <c r="AC8" s="61">
        <f>Q8/K8</f>
        <v/>
      </c>
      <c r="AD8" s="61">
        <f>R8/K8</f>
        <v/>
      </c>
      <c r="AE8" s="107">
        <f>SUM(AE3:AE7)</f>
        <v/>
      </c>
      <c r="AF8" s="109">
        <f>T8/AE8</f>
        <v/>
      </c>
      <c r="AG8" s="57">
        <f>SUM(AG3:AG7)</f>
        <v/>
      </c>
      <c r="AH8" s="57">
        <f>SUM(AH3:AH7)</f>
        <v/>
      </c>
      <c r="AI8" s="57">
        <f>SUM(AI3:AI7)</f>
        <v/>
      </c>
      <c r="AJ8" s="107">
        <f>SUM(AJ3:AJ7)</f>
        <v/>
      </c>
      <c r="AK8" s="107">
        <f>SUM(AK3:AK7)</f>
        <v/>
      </c>
      <c r="AL8" s="107">
        <f>SUM(AL3:AL7)</f>
        <v/>
      </c>
      <c r="AM8" s="107">
        <f>SUM(AM3:AM7)</f>
        <v/>
      </c>
      <c r="AN8" s="107">
        <f>SUM(AN3:AN7)</f>
        <v/>
      </c>
      <c r="AO8" s="57">
        <f>SUM(AO3:AO7)</f>
        <v/>
      </c>
      <c r="AP8" s="57">
        <f>SUM(AP3:AP7)</f>
        <v/>
      </c>
      <c r="AQ8" s="57" t="n"/>
      <c r="AR8" s="57">
        <f>SUM(AR3:AR7)</f>
        <v/>
      </c>
      <c r="AS8" s="57">
        <f>SUM(AS3:AS7)</f>
        <v/>
      </c>
      <c r="AT8" s="57">
        <f>SUM(AT3:AT7)</f>
        <v/>
      </c>
      <c r="AU8" s="57">
        <f>SUM(AU3:AU7)</f>
        <v/>
      </c>
      <c r="AV8" s="57">
        <f>SUM(AV3:AV7)</f>
        <v/>
      </c>
      <c r="AW8" s="107">
        <f>SUM(AW3:AW7)</f>
        <v/>
      </c>
      <c r="AX8" s="107">
        <f>SUM(AX3:AX7)</f>
        <v/>
      </c>
      <c r="AY8" s="107" t="n"/>
      <c r="AZ8" s="107">
        <f>AX8/AV8</f>
        <v/>
      </c>
      <c r="BA8" s="62">
        <f>AP8/AO8</f>
        <v/>
      </c>
      <c r="BB8" s="62">
        <f>AR8/AP8</f>
        <v/>
      </c>
      <c r="BC8" s="62">
        <f>AR8/AO8</f>
        <v/>
      </c>
      <c r="BD8" s="62">
        <f>AS8/AR8</f>
        <v/>
      </c>
      <c r="BE8" s="62">
        <f>AVERAGE(BE3:BE7)</f>
        <v/>
      </c>
      <c r="BF8" s="62">
        <f>AU8/AS8</f>
        <v/>
      </c>
      <c r="BG8" s="62">
        <f>AU8/AO8</f>
        <v/>
      </c>
      <c r="BH8" s="62">
        <f>AV8/AO8</f>
        <v/>
      </c>
      <c r="BI8" s="57">
        <f>SUM(BI3:BI7)</f>
        <v/>
      </c>
      <c r="BJ8" s="57">
        <f>SUM(BJ3:BJ7)</f>
        <v/>
      </c>
      <c r="BK8" s="57">
        <f>SUM(BK3:BK7)</f>
        <v/>
      </c>
      <c r="BL8" s="107">
        <f>SUM(BL3:BL7)</f>
        <v/>
      </c>
      <c r="BM8" s="107">
        <f>SUM(BM3:BM7)</f>
        <v/>
      </c>
      <c r="BN8" s="107">
        <f>SUM(BN3:BN7)</f>
        <v/>
      </c>
      <c r="BO8" s="57">
        <f>SUM(BO3:BO7)</f>
        <v/>
      </c>
      <c r="BP8" s="57">
        <f>SUM(BP3:BP7)</f>
        <v/>
      </c>
      <c r="BQ8" s="107">
        <f>SUM(BQ3:BQ7)</f>
        <v/>
      </c>
      <c r="BR8" s="107">
        <f>SUM(BR3:BR7)</f>
        <v/>
      </c>
      <c r="BS8" s="107" t="n"/>
      <c r="BT8" s="107">
        <f>SUM(BT3:BT7)</f>
        <v/>
      </c>
      <c r="BU8" s="107">
        <f>SUM(BU3:BU7)</f>
        <v/>
      </c>
      <c r="BV8" s="107">
        <f>SUM(BV3:BV7)</f>
        <v/>
      </c>
      <c r="BW8" s="107">
        <f>SUM(BW3:BW7)</f>
        <v/>
      </c>
      <c r="BX8" s="107">
        <f>SUM(BX3:BX7)</f>
        <v/>
      </c>
      <c r="BY8" s="107">
        <f>SUM(BY3:BY7)</f>
        <v/>
      </c>
      <c r="BZ8" s="109">
        <f>BQ8/BY8</f>
        <v/>
      </c>
      <c r="CA8" s="107">
        <f>SUM(CA3:CA7)</f>
        <v/>
      </c>
      <c r="CB8" s="107">
        <f>SUM(CB3:CB7)</f>
        <v/>
      </c>
      <c r="CC8" s="109">
        <f>BR8/CB8</f>
        <v/>
      </c>
      <c r="CD8" s="107">
        <f>SUM(CD3:CD7)</f>
        <v/>
      </c>
      <c r="CE8" s="109">
        <f>BR8/CD8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10"/>
  <sheetViews>
    <sheetView topLeftCell="BM1" zoomScale="70" zoomScaleNormal="70" workbookViewId="0">
      <selection activeCell="H9" sqref="H9:CK10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/>
      <c r="B3" s="67" t="n"/>
      <c r="C3" s="67" t="n"/>
      <c r="D3" s="67" t="n"/>
      <c r="E3" s="67" t="n"/>
      <c r="F3" s="67" t="n"/>
      <c r="G3" s="67" t="n"/>
      <c r="H3" s="67" t="n"/>
      <c r="I3" s="117" t="n"/>
      <c r="J3" s="11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117" t="n"/>
      <c r="V3" s="117" t="n"/>
      <c r="W3" s="121" t="n"/>
      <c r="X3" s="117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17" t="n"/>
      <c r="AI3" s="122" t="n"/>
      <c r="AJ3" s="67" t="n"/>
      <c r="AK3" s="67" t="n"/>
      <c r="AL3" s="67" t="n"/>
      <c r="AM3" s="117" t="n"/>
      <c r="AN3" s="117" t="n"/>
      <c r="AO3" s="117" t="n"/>
      <c r="AP3" s="117" t="n"/>
      <c r="AQ3" s="67" t="n"/>
      <c r="AR3" s="67" t="n"/>
      <c r="AS3" s="67" t="n"/>
      <c r="AT3" s="67" t="n"/>
      <c r="AU3" s="67" t="n"/>
      <c r="AV3" s="67" t="n"/>
      <c r="AW3" s="67" t="n"/>
      <c r="AX3" s="67" t="n"/>
      <c r="AY3" s="67" t="n"/>
      <c r="AZ3" s="67" t="n"/>
      <c r="BA3" s="117" t="n"/>
      <c r="BB3" s="117" t="n"/>
      <c r="BC3" s="121" t="n"/>
      <c r="BD3" s="117" t="n"/>
      <c r="BE3" s="121" t="n"/>
      <c r="BF3" s="121" t="n"/>
      <c r="BG3" s="121" t="n"/>
      <c r="BH3" s="121" t="n"/>
      <c r="BI3" s="121" t="n"/>
      <c r="BJ3" s="121" t="n"/>
      <c r="BK3" s="121" t="n"/>
      <c r="BL3" s="121" t="n"/>
      <c r="BM3" s="121" t="n"/>
      <c r="BN3" s="67" t="n"/>
      <c r="BO3" s="67" t="n"/>
      <c r="BP3" s="67" t="n"/>
      <c r="BQ3" s="117" t="n"/>
      <c r="BR3" s="117" t="n"/>
      <c r="BS3" s="117" t="n"/>
      <c r="BT3" s="117" t="n"/>
      <c r="BU3" s="117" t="n"/>
      <c r="BV3" s="117" t="n"/>
      <c r="BW3" s="117" t="n"/>
      <c r="BX3" s="121" t="n"/>
      <c r="BY3" s="117" t="n"/>
      <c r="BZ3" s="117" t="n"/>
      <c r="CA3" s="117" t="n"/>
      <c r="CB3" s="117" t="n"/>
      <c r="CC3" s="117" t="n"/>
      <c r="CD3" s="117" t="n"/>
      <c r="CE3" s="122" t="n"/>
      <c r="CF3" s="122" t="n"/>
      <c r="CG3" s="122" t="n"/>
      <c r="CH3" s="122" t="n"/>
      <c r="CI3" s="122" t="n"/>
      <c r="CJ3" s="122" t="n"/>
    </row>
    <row r="4" ht="16.5" customFormat="1" customHeight="1" s="39">
      <c r="A4" s="63" t="n">
        <v>45750</v>
      </c>
      <c r="B4" s="67" t="n"/>
      <c r="C4" s="67" t="n"/>
      <c r="D4" s="67" t="inlineStr">
        <is>
          <t>KOLHK-香港-Bob林盛斌-Shukei-思维&amp;无01</t>
        </is>
      </c>
      <c r="E4" s="67" t="inlineStr">
        <is>
          <t>-</t>
        </is>
      </c>
      <c r="F4" s="67" t="inlineStr">
        <is>
          <t>-</t>
        </is>
      </c>
      <c r="G4" s="67" t="inlineStr">
        <is>
          <t>-</t>
        </is>
      </c>
      <c r="H4" s="67">
        <f>I4</f>
        <v/>
      </c>
      <c r="I4" s="117" t="n">
        <v>46341.6565882226</v>
      </c>
      <c r="J4" s="117" t="n">
        <v>311.017829451158</v>
      </c>
      <c r="K4" s="67" t="n">
        <v>149</v>
      </c>
      <c r="L4" s="67" t="n">
        <v>82</v>
      </c>
      <c r="M4" s="67" t="n">
        <v>82</v>
      </c>
      <c r="N4" s="67" t="n">
        <v>79</v>
      </c>
      <c r="O4" s="67" t="n"/>
      <c r="P4" s="67" t="n"/>
      <c r="Q4" s="67" t="n">
        <v>57</v>
      </c>
      <c r="R4" s="67" t="n">
        <v>57</v>
      </c>
      <c r="S4" s="67" t="n">
        <v>22</v>
      </c>
      <c r="T4" s="67" t="n">
        <v>22</v>
      </c>
      <c r="U4" s="117" t="n">
        <v>96736</v>
      </c>
      <c r="V4" s="117" t="n">
        <v>96736</v>
      </c>
      <c r="W4" s="121" t="n">
        <v>1</v>
      </c>
      <c r="X4" s="117" t="n">
        <v>4397.09090909091</v>
      </c>
      <c r="Y4" s="121" t="n">
        <v>0.550335570469799</v>
      </c>
      <c r="Z4" s="121" t="n">
        <v>0.963414634146341</v>
      </c>
      <c r="AA4" s="121" t="n">
        <v>0.530201342281879</v>
      </c>
      <c r="AB4" s="121" t="n">
        <v>0.721518987341772</v>
      </c>
      <c r="AC4" s="121" t="n"/>
      <c r="AD4" s="121" t="n">
        <v>0.966101694915254</v>
      </c>
      <c r="AE4" s="121" t="n">
        <v>0.385964912280702</v>
      </c>
      <c r="AF4" s="121" t="n">
        <v>0.147651006711409</v>
      </c>
      <c r="AG4" s="121" t="n">
        <v>0.147651006711409</v>
      </c>
      <c r="AH4" s="117" t="n">
        <v>90013.9234148371</v>
      </c>
      <c r="AI4" s="122" t="n">
        <v>1.07467818677543</v>
      </c>
      <c r="AJ4" s="67" t="n">
        <v>59</v>
      </c>
      <c r="AK4" s="67" t="n">
        <v>57</v>
      </c>
      <c r="AL4" s="67" t="n">
        <v>58</v>
      </c>
      <c r="AM4" s="117" t="n">
        <v>16503.0349109563</v>
      </c>
      <c r="AN4" s="117" t="n">
        <v>12145.7721519855</v>
      </c>
      <c r="AO4" s="117" t="n">
        <v>8672.771110266451</v>
      </c>
      <c r="AP4" s="117" t="n">
        <v>1472.65514187157</v>
      </c>
      <c r="AQ4" s="67" t="n">
        <v>4878.03351153474</v>
      </c>
      <c r="AR4" s="67" t="n">
        <v>0</v>
      </c>
      <c r="AS4" s="67" t="n">
        <v>0</v>
      </c>
      <c r="AT4" s="67" t="n">
        <v>0</v>
      </c>
      <c r="AU4" s="67" t="n">
        <v>0</v>
      </c>
      <c r="AV4" s="67" t="n"/>
      <c r="AW4" s="67" t="n"/>
      <c r="AX4" s="67" t="n">
        <v>0</v>
      </c>
      <c r="AY4" s="67" t="n">
        <v>0</v>
      </c>
      <c r="AZ4" s="67" t="n">
        <v>0</v>
      </c>
      <c r="BA4" s="117" t="n">
        <v>0</v>
      </c>
      <c r="BB4" s="117" t="n">
        <v>0</v>
      </c>
      <c r="BC4" s="121" t="n">
        <v>0</v>
      </c>
      <c r="BD4" s="117" t="n"/>
      <c r="BE4" s="121" t="n"/>
      <c r="BF4" s="121" t="n"/>
      <c r="BG4" s="121" t="n"/>
      <c r="BH4" s="121" t="n"/>
      <c r="BI4" s="121" t="n"/>
      <c r="BJ4" s="121" t="n"/>
      <c r="BK4" s="121" t="n"/>
      <c r="BL4" s="121" t="n"/>
      <c r="BM4" s="121" t="n"/>
      <c r="BN4" s="67" t="n"/>
      <c r="BO4" s="67" t="n">
        <v>0</v>
      </c>
      <c r="BP4" s="67" t="n">
        <v>0</v>
      </c>
      <c r="BQ4" s="117" t="n">
        <v>0</v>
      </c>
      <c r="BR4" s="117" t="n">
        <v>0</v>
      </c>
      <c r="BS4" s="117" t="n">
        <v>0</v>
      </c>
      <c r="BT4" s="117" t="n">
        <v>0</v>
      </c>
      <c r="BU4" s="117" t="n">
        <v>0</v>
      </c>
      <c r="BV4" s="117" t="n">
        <v>0</v>
      </c>
      <c r="BW4" s="117" t="n">
        <v>96736</v>
      </c>
      <c r="BX4" s="121" t="n">
        <v>96736</v>
      </c>
      <c r="BY4" s="117" t="n">
        <v>1</v>
      </c>
      <c r="BZ4" s="117" t="n">
        <v>27169.2319156583</v>
      </c>
      <c r="CA4" s="117" t="n">
        <v>27169.2319156583</v>
      </c>
      <c r="CB4" s="117" t="n">
        <v>16503.0349109563</v>
      </c>
      <c r="CC4" s="117" t="n">
        <v>46341.6565882226</v>
      </c>
      <c r="CD4" s="117" t="n">
        <v>46341.6565882226</v>
      </c>
      <c r="CE4" s="122" t="n">
        <v>90013.9234148371</v>
      </c>
      <c r="CF4" s="122" t="n">
        <v>1.07467818677543</v>
      </c>
      <c r="CG4" s="122" t="n"/>
      <c r="CH4" s="122" t="n">
        <v>90013.9234148371</v>
      </c>
      <c r="CI4" s="122" t="n">
        <v>1.07467818677543</v>
      </c>
      <c r="CJ4" s="122" t="n">
        <v>84685.88850388089</v>
      </c>
      <c r="CK4" s="39" t="n">
        <v>1.14229184707163</v>
      </c>
    </row>
    <row r="5" ht="16.5" customFormat="1" customHeight="1" s="39">
      <c r="A5" s="63" t="n">
        <v>45780</v>
      </c>
      <c r="B5" s="67" t="n"/>
      <c r="C5" s="67" t="n"/>
      <c r="D5" s="67" t="n"/>
      <c r="E5" s="67" t="n"/>
      <c r="F5" s="67" t="n"/>
      <c r="G5" s="67" t="n"/>
      <c r="H5" s="67">
        <f>I5</f>
        <v/>
      </c>
      <c r="I5" s="117" t="n">
        <v>164736.253672553</v>
      </c>
      <c r="J5" s="117" t="n">
        <v>752.220336404352</v>
      </c>
      <c r="K5" s="67" t="n">
        <v>219</v>
      </c>
      <c r="L5" s="67" t="n">
        <v>85</v>
      </c>
      <c r="M5" s="67" t="n">
        <v>92</v>
      </c>
      <c r="N5" s="67" t="n">
        <v>89</v>
      </c>
      <c r="O5" s="67" t="n"/>
      <c r="P5" s="67" t="n"/>
      <c r="Q5" s="67" t="n">
        <v>68</v>
      </c>
      <c r="R5" s="67" t="n">
        <v>86</v>
      </c>
      <c r="S5" s="67" t="n">
        <v>23</v>
      </c>
      <c r="T5" s="67" t="n">
        <v>27</v>
      </c>
      <c r="U5" s="117" t="n">
        <v>131124</v>
      </c>
      <c r="V5" s="117" t="n">
        <v>145576</v>
      </c>
      <c r="W5" s="121" t="n">
        <v>1</v>
      </c>
      <c r="X5" s="117" t="n">
        <v>5391.7037037037</v>
      </c>
      <c r="Y5" s="121" t="n">
        <v>0.388127853881279</v>
      </c>
      <c r="Z5" s="121" t="n">
        <v>1.04705882352941</v>
      </c>
      <c r="AA5" s="121" t="n">
        <v>0.406392694063927</v>
      </c>
      <c r="AB5" s="121" t="n">
        <v>0.764044943820225</v>
      </c>
      <c r="AC5" s="121" t="n"/>
      <c r="AD5" s="121" t="n">
        <v>0.977272727272727</v>
      </c>
      <c r="AE5" s="121" t="n">
        <v>0.338235294117647</v>
      </c>
      <c r="AF5" s="121" t="n">
        <v>0.105022831050228</v>
      </c>
      <c r="AG5" s="121" t="n">
        <v>0.123287671232877</v>
      </c>
      <c r="AH5" s="117" t="n">
        <v>212258.392321487</v>
      </c>
      <c r="AI5" s="122" t="n">
        <v>0.6858433177026541</v>
      </c>
      <c r="AJ5" s="67" t="n">
        <v>88</v>
      </c>
      <c r="AK5" s="67" t="n">
        <v>86</v>
      </c>
      <c r="AL5" s="67" t="n">
        <v>90</v>
      </c>
      <c r="AM5" s="117" t="n">
        <v>12416.5542315687</v>
      </c>
      <c r="AN5" s="117" t="n">
        <v>11290.462304419</v>
      </c>
      <c r="AO5" s="117" t="n">
        <v>13961.1049876219</v>
      </c>
      <c r="AP5" s="117" t="n">
        <v>2036.52373354285</v>
      </c>
      <c r="AQ5" s="67" t="n">
        <v>7817.49339178141</v>
      </c>
      <c r="AR5" s="67" t="n">
        <v>0</v>
      </c>
      <c r="AS5" s="67" t="n">
        <v>0</v>
      </c>
      <c r="AT5" s="67" t="n">
        <v>0</v>
      </c>
      <c r="AU5" s="67" t="n">
        <v>0</v>
      </c>
      <c r="AV5" s="67" t="n"/>
      <c r="AW5" s="67" t="n"/>
      <c r="AX5" s="67" t="n">
        <v>0</v>
      </c>
      <c r="AY5" s="67" t="n">
        <v>0</v>
      </c>
      <c r="AZ5" s="67" t="n">
        <v>0</v>
      </c>
      <c r="BA5" s="117" t="n">
        <v>0</v>
      </c>
      <c r="BB5" s="117" t="n">
        <v>0</v>
      </c>
      <c r="BC5" s="121" t="n">
        <v>0</v>
      </c>
      <c r="BD5" s="117" t="n"/>
      <c r="BE5" s="121" t="n"/>
      <c r="BF5" s="121" t="n"/>
      <c r="BG5" s="121" t="n"/>
      <c r="BH5" s="121" t="n"/>
      <c r="BI5" s="121" t="n"/>
      <c r="BJ5" s="121" t="n"/>
      <c r="BK5" s="121" t="n"/>
      <c r="BL5" s="121" t="n"/>
      <c r="BM5" s="121" t="n"/>
      <c r="BN5" s="67" t="n"/>
      <c r="BO5" s="67" t="n">
        <v>0</v>
      </c>
      <c r="BP5" s="67" t="n">
        <v>0</v>
      </c>
      <c r="BQ5" s="117" t="n">
        <v>0</v>
      </c>
      <c r="BR5" s="117" t="n">
        <v>0</v>
      </c>
      <c r="BS5" s="117" t="n">
        <v>0</v>
      </c>
      <c r="BT5" s="117" t="n">
        <v>0</v>
      </c>
      <c r="BU5" s="117" t="n">
        <v>0</v>
      </c>
      <c r="BV5" s="117" t="n">
        <v>0</v>
      </c>
      <c r="BW5" s="117" t="n">
        <v>131124</v>
      </c>
      <c r="BX5" s="121" t="n">
        <v>145576</v>
      </c>
      <c r="BY5" s="117" t="n">
        <v>1</v>
      </c>
      <c r="BZ5" s="117" t="n">
        <v>35105.5844173651</v>
      </c>
      <c r="CA5" s="117" t="n">
        <v>31210.1845940141</v>
      </c>
      <c r="CB5" s="117" t="n">
        <v>12416.5542315687</v>
      </c>
      <c r="CC5" s="117" t="n">
        <v>164736.253672553</v>
      </c>
      <c r="CD5" s="117" t="n">
        <v>164736.253672553</v>
      </c>
      <c r="CE5" s="122" t="n">
        <v>208362.992498136</v>
      </c>
      <c r="CF5" s="122" t="n">
        <v>0.629305609541834</v>
      </c>
      <c r="CG5" s="122" t="n"/>
      <c r="CH5" s="122" t="n">
        <v>212258.392321487</v>
      </c>
      <c r="CI5" s="122" t="n">
        <v>0.6858433177026541</v>
      </c>
      <c r="CJ5" s="122" t="n">
        <v>216266.838089918</v>
      </c>
      <c r="CK5" s="39" t="n">
        <v>0.6731314023256461</v>
      </c>
    </row>
    <row r="6" ht="16.5" customFormat="1" customHeight="1" s="39">
      <c r="A6" s="63" t="n">
        <v>45811</v>
      </c>
      <c r="B6" s="67" t="n"/>
      <c r="C6" s="67" t="n"/>
      <c r="D6" s="67" t="n"/>
      <c r="E6" s="67" t="n"/>
      <c r="F6" s="67" t="n"/>
      <c r="G6" s="67" t="n"/>
      <c r="H6" s="67" t="n">
        <v>105682.872822659</v>
      </c>
      <c r="I6" s="117" t="n">
        <v>100124.37988081</v>
      </c>
      <c r="J6" s="117" t="n">
        <v>974.874285862572</v>
      </c>
      <c r="K6" s="67" t="n">
        <v>108</v>
      </c>
      <c r="L6" s="67" t="n">
        <v>66</v>
      </c>
      <c r="M6" s="67" t="n">
        <v>70</v>
      </c>
      <c r="N6" s="67" t="n">
        <v>69</v>
      </c>
      <c r="O6" s="67" t="n"/>
      <c r="P6" s="67" t="n"/>
      <c r="Q6" s="67" t="n">
        <v>54</v>
      </c>
      <c r="R6" s="67" t="n">
        <v>63</v>
      </c>
      <c r="S6" s="67" t="n">
        <v>23</v>
      </c>
      <c r="T6" s="67" t="n">
        <v>29</v>
      </c>
      <c r="U6" s="117" t="n">
        <v>124424</v>
      </c>
      <c r="V6" s="117" t="n">
        <v>155552</v>
      </c>
      <c r="W6" s="121" t="n">
        <v>1</v>
      </c>
      <c r="X6" s="117" t="n">
        <v>5363.86206896552</v>
      </c>
      <c r="Y6" s="121" t="n">
        <v>0.611111111111111</v>
      </c>
      <c r="Z6" s="121" t="n">
        <v>1.04545454545455</v>
      </c>
      <c r="AA6" s="121" t="n">
        <v>0.638888888888889</v>
      </c>
      <c r="AB6" s="121" t="n">
        <v>0.7826086956521739</v>
      </c>
      <c r="AC6" s="121" t="n"/>
      <c r="AD6" s="121" t="n">
        <v>0.926470588235294</v>
      </c>
      <c r="AE6" s="121" t="n">
        <v>0.425925925925926</v>
      </c>
      <c r="AF6" s="121" t="n">
        <v>0.212962962962963</v>
      </c>
      <c r="AG6" s="121" t="n">
        <v>0.268518518518519</v>
      </c>
      <c r="AH6" s="117" t="n">
        <v>141650.125959526</v>
      </c>
      <c r="AI6" s="122" t="n">
        <v>1.0981423344759</v>
      </c>
      <c r="AJ6" s="67" t="n">
        <v>68</v>
      </c>
      <c r="AK6" s="67" t="n">
        <v>63</v>
      </c>
      <c r="AL6" s="67" t="n">
        <v>68</v>
      </c>
      <c r="AM6" s="117" t="n">
        <v>6736.45026705022</v>
      </c>
      <c r="AN6" s="117" t="n">
        <v>7866.98125095781</v>
      </c>
      <c r="AO6" s="117" t="n">
        <v>15015.9458019688</v>
      </c>
      <c r="AP6" s="117" t="n">
        <v>872.199833180292</v>
      </c>
      <c r="AQ6" s="67" t="n">
        <v>5872.12593321159</v>
      </c>
      <c r="AR6" s="67" t="n">
        <v>72</v>
      </c>
      <c r="AS6" s="67" t="n">
        <v>32</v>
      </c>
      <c r="AT6" s="67" t="n">
        <v>32</v>
      </c>
      <c r="AU6" s="67" t="n">
        <v>32</v>
      </c>
      <c r="AV6" s="67" t="n"/>
      <c r="AW6" s="67" t="n"/>
      <c r="AX6" s="67" t="n">
        <v>24</v>
      </c>
      <c r="AY6" s="67" t="n">
        <v>24</v>
      </c>
      <c r="AZ6" s="67" t="n">
        <v>4</v>
      </c>
      <c r="BA6" s="117" t="n">
        <v>4</v>
      </c>
      <c r="BB6" s="117" t="n">
        <v>13404.4</v>
      </c>
      <c r="BC6" s="121" t="n">
        <v>13404.4</v>
      </c>
      <c r="BD6" s="117" t="n">
        <v>1</v>
      </c>
      <c r="BE6" s="121" t="n">
        <v>3351.1</v>
      </c>
      <c r="BF6" s="121" t="n">
        <v>0.444444444444444</v>
      </c>
      <c r="BG6" s="121" t="n">
        <v>1</v>
      </c>
      <c r="BH6" s="121" t="n">
        <v>0.444444444444444</v>
      </c>
      <c r="BI6" s="121" t="n">
        <v>0.75</v>
      </c>
      <c r="BJ6" s="121" t="n"/>
      <c r="BK6" s="121" t="n">
        <v>0.75</v>
      </c>
      <c r="BL6" s="121" t="n">
        <v>0.166666666666667</v>
      </c>
      <c r="BM6" s="121" t="n">
        <v>0.0555555555555556</v>
      </c>
      <c r="BN6" s="67" t="n">
        <v>0.0555555555555556</v>
      </c>
      <c r="BO6" s="67" t="n">
        <v>32</v>
      </c>
      <c r="BP6" s="67" t="n">
        <v>24</v>
      </c>
      <c r="BQ6" s="117" t="n">
        <v>28</v>
      </c>
      <c r="BR6" s="117" t="n">
        <v>4030.45175003871</v>
      </c>
      <c r="BS6" s="117" t="n">
        <v>2878.62154436572</v>
      </c>
      <c r="BT6" s="117" t="n">
        <v>1393.11173321358</v>
      </c>
      <c r="BU6" s="117" t="n">
        <v>581.466555453528</v>
      </c>
      <c r="BV6" s="117" t="n">
        <v>2210.50868118792</v>
      </c>
      <c r="BW6" s="117" t="n">
        <v>137828.4</v>
      </c>
      <c r="BX6" s="121" t="n">
        <v>168956.4</v>
      </c>
      <c r="BY6" s="117" t="n">
        <v>1</v>
      </c>
      <c r="BZ6" s="117" t="n">
        <v>36690.9613335392</v>
      </c>
      <c r="CA6" s="117" t="n">
        <v>32372.9834701771</v>
      </c>
      <c r="CB6" s="117" t="n">
        <v>10766.9020170889</v>
      </c>
      <c r="CC6" s="117" t="n">
        <v>105682.872822659</v>
      </c>
      <c r="CD6" s="117" t="n">
        <v>104614.86392769</v>
      </c>
      <c r="CE6" s="122" t="n">
        <v>147754.749414956</v>
      </c>
      <c r="CF6" s="122" t="n">
        <v>0.932818745561411</v>
      </c>
      <c r="CG6" s="122" t="n">
        <v>5558.49294184865</v>
      </c>
      <c r="CH6" s="122" t="n">
        <v>153140.736173287</v>
      </c>
      <c r="CI6" s="122" t="n">
        <v>1.10327535456547</v>
      </c>
      <c r="CJ6" s="122" t="n">
        <v>155873.834156198</v>
      </c>
      <c r="CK6" s="39" t="n">
        <v>1.08393048079315</v>
      </c>
    </row>
    <row r="7" ht="16.5" customFormat="1" customHeight="1" s="39">
      <c r="A7" s="63" t="n">
        <v>45842</v>
      </c>
      <c r="B7" s="67" t="n"/>
      <c r="C7" s="67" t="n"/>
      <c r="D7" s="67" t="n"/>
      <c r="E7" s="67" t="n"/>
      <c r="F7" s="67" t="n"/>
      <c r="G7" s="67" t="n"/>
      <c r="H7" s="67" t="n">
        <v>53515.0378494042</v>
      </c>
      <c r="I7" s="117" t="n">
        <v>52280.07</v>
      </c>
      <c r="J7" s="117" t="n">
        <v>1274.16756784296</v>
      </c>
      <c r="K7" s="67" t="n">
        <v>42</v>
      </c>
      <c r="L7" s="67" t="n">
        <v>21</v>
      </c>
      <c r="M7" s="67" t="n">
        <v>28</v>
      </c>
      <c r="N7" s="67" t="n">
        <v>21</v>
      </c>
      <c r="O7" s="67" t="n"/>
      <c r="P7" s="67" t="n"/>
      <c r="Q7" s="67" t="n">
        <v>18</v>
      </c>
      <c r="R7" s="67" t="n">
        <v>25</v>
      </c>
      <c r="S7" s="67" t="n">
        <v>4</v>
      </c>
      <c r="T7" s="67" t="n">
        <v>7</v>
      </c>
      <c r="U7" s="117" t="n">
        <v>26852</v>
      </c>
      <c r="V7" s="117" t="n">
        <v>44916</v>
      </c>
      <c r="W7" s="121" t="n">
        <v>1</v>
      </c>
      <c r="X7" s="117" t="n">
        <v>6416.57142857143</v>
      </c>
      <c r="Y7" s="121" t="n">
        <v>0.5</v>
      </c>
      <c r="Z7" s="121" t="n">
        <v>1</v>
      </c>
      <c r="AA7" s="121" t="n">
        <v>0.5</v>
      </c>
      <c r="AB7" s="121" t="n">
        <v>0.857142857142857</v>
      </c>
      <c r="AC7" s="121" t="n"/>
      <c r="AD7" s="121" t="n">
        <v>0.961538461538462</v>
      </c>
      <c r="AE7" s="121" t="n">
        <v>0.222222222222222</v>
      </c>
      <c r="AF7" s="121" t="n">
        <v>0.09523809523809521</v>
      </c>
      <c r="AG7" s="121" t="n">
        <v>0.166666666666667</v>
      </c>
      <c r="AH7" s="117" t="n">
        <v>65977.2718573459</v>
      </c>
      <c r="AI7" s="122" t="n">
        <v>0.680779891856032</v>
      </c>
      <c r="AJ7" s="67" t="n">
        <v>26</v>
      </c>
      <c r="AK7" s="67" t="n">
        <v>25</v>
      </c>
      <c r="AL7" s="67" t="n">
        <v>30</v>
      </c>
      <c r="AM7" s="117" t="n">
        <v>1848.18481848185</v>
      </c>
      <c r="AN7" s="117" t="n">
        <v>2938.15123335685</v>
      </c>
      <c r="AO7" s="117" t="n">
        <v>4599.31248514014</v>
      </c>
      <c r="AP7" s="117" t="n">
        <v>432.339546790176</v>
      </c>
      <c r="AQ7" s="67" t="n">
        <v>2644.24592417274</v>
      </c>
      <c r="AR7" s="67" t="n">
        <v>0</v>
      </c>
      <c r="AS7" s="67" t="n">
        <v>0</v>
      </c>
      <c r="AT7" s="67" t="n">
        <v>0</v>
      </c>
      <c r="AU7" s="67" t="n">
        <v>0</v>
      </c>
      <c r="AV7" s="67" t="n"/>
      <c r="AW7" s="67" t="n"/>
      <c r="AX7" s="67" t="n">
        <v>0</v>
      </c>
      <c r="AY7" s="67" t="n">
        <v>1</v>
      </c>
      <c r="AZ7" s="67" t="n">
        <v>0</v>
      </c>
      <c r="BA7" s="117" t="n">
        <v>0</v>
      </c>
      <c r="BB7" s="117" t="n">
        <v>0</v>
      </c>
      <c r="BC7" s="121" t="n">
        <v>0</v>
      </c>
      <c r="BD7" s="117" t="n"/>
      <c r="BE7" s="121" t="n"/>
      <c r="BF7" s="121" t="n"/>
      <c r="BG7" s="121" t="n"/>
      <c r="BH7" s="121" t="n"/>
      <c r="BI7" s="121" t="n"/>
      <c r="BJ7" s="121" t="n"/>
      <c r="BK7" s="121" t="n">
        <v>1</v>
      </c>
      <c r="BL7" s="121" t="n"/>
      <c r="BM7" s="121" t="n"/>
      <c r="BN7" s="67" t="n"/>
      <c r="BO7" s="67" t="n">
        <v>1</v>
      </c>
      <c r="BP7" s="67" t="n">
        <v>1</v>
      </c>
      <c r="BQ7" s="117" t="n">
        <v>1</v>
      </c>
      <c r="BR7" s="117" t="n">
        <v>0</v>
      </c>
      <c r="BS7" s="117" t="n">
        <v>0</v>
      </c>
      <c r="BT7" s="117" t="n">
        <v>0</v>
      </c>
      <c r="BU7" s="117" t="n">
        <v>0</v>
      </c>
      <c r="BV7" s="117" t="n">
        <v>82.18338614965209</v>
      </c>
      <c r="BW7" s="117" t="n">
        <v>26852</v>
      </c>
      <c r="BX7" s="121" t="n">
        <v>44916</v>
      </c>
      <c r="BY7" s="117" t="n">
        <v>1</v>
      </c>
      <c r="BZ7" s="117" t="n">
        <v>10696.2325756096</v>
      </c>
      <c r="CA7" s="117" t="n">
        <v>7236.51855650109</v>
      </c>
      <c r="CB7" s="117" t="n">
        <v>1848.18481848185</v>
      </c>
      <c r="CC7" s="117" t="n">
        <v>53515.0378494042</v>
      </c>
      <c r="CD7" s="117" t="n">
        <v>52985.7659139452</v>
      </c>
      <c r="CE7" s="122" t="n">
        <v>62070.4692889282</v>
      </c>
      <c r="CF7" s="122" t="n">
        <v>0.43260507464521</v>
      </c>
      <c r="CG7" s="122" t="n">
        <v>1234.96784940415</v>
      </c>
      <c r="CH7" s="122" t="n">
        <v>66059.4552434956</v>
      </c>
      <c r="CI7" s="122" t="n">
        <v>0.679932945774974</v>
      </c>
      <c r="CJ7" s="122" t="n">
        <v>67361.2704250137</v>
      </c>
      <c r="CK7" s="39" t="n">
        <v>0.666792649791252</v>
      </c>
    </row>
    <row r="8" ht="16.5" customFormat="1" customHeight="1" s="39">
      <c r="A8" s="63" t="n">
        <v>45962</v>
      </c>
      <c r="B8" s="67" t="n"/>
      <c r="C8" s="67" t="n"/>
      <c r="D8" s="67" t="n"/>
      <c r="E8" s="67" t="n"/>
      <c r="F8" s="67" t="n"/>
      <c r="G8" s="67" t="n"/>
      <c r="H8" s="107" t="n">
        <v>21854.9729033032</v>
      </c>
      <c r="I8" s="118">
        <f>H8-CG8</f>
        <v/>
      </c>
      <c r="J8" s="107" t="n">
        <v>1986.81571848211</v>
      </c>
      <c r="K8" s="57" t="n">
        <v>11</v>
      </c>
      <c r="L8" s="57" t="n">
        <v>4</v>
      </c>
      <c r="M8" s="57" t="n">
        <v>4</v>
      </c>
      <c r="N8" s="57" t="n">
        <v>4</v>
      </c>
      <c r="O8" s="57" t="n"/>
      <c r="P8" s="57" t="n"/>
      <c r="Q8" s="57" t="n">
        <v>2</v>
      </c>
      <c r="R8" s="57" t="n">
        <v>2</v>
      </c>
      <c r="S8" s="57" t="n">
        <v>2</v>
      </c>
      <c r="T8" s="57" t="n">
        <v>2</v>
      </c>
      <c r="U8" s="107" t="n">
        <v>10598</v>
      </c>
      <c r="V8" s="107" t="n">
        <v>10598</v>
      </c>
      <c r="W8" s="108" t="n">
        <v>1</v>
      </c>
      <c r="X8" s="107" t="n">
        <v>5299</v>
      </c>
      <c r="Y8" s="108" t="n">
        <v>0.363636363636364</v>
      </c>
      <c r="Z8" s="108" t="n">
        <v>1</v>
      </c>
      <c r="AA8" s="108" t="n">
        <v>0.363636363636364</v>
      </c>
      <c r="AB8" s="108" t="n">
        <v>0.5</v>
      </c>
      <c r="AC8" s="108" t="n"/>
      <c r="AD8" s="108" t="n">
        <v>1</v>
      </c>
      <c r="AE8" s="108" t="n">
        <v>1</v>
      </c>
      <c r="AF8" s="108" t="n">
        <v>0.181818181818182</v>
      </c>
      <c r="AG8" s="108" t="n">
        <v>0.181818181818182</v>
      </c>
      <c r="AH8" s="107" t="n">
        <v>24573.5290105328</v>
      </c>
      <c r="AI8" s="109" t="n">
        <v>0.431277086634869</v>
      </c>
      <c r="AJ8" s="57" t="n">
        <v>2</v>
      </c>
      <c r="AK8" s="57" t="n">
        <v>2</v>
      </c>
      <c r="AL8" s="57" t="n">
        <v>3</v>
      </c>
      <c r="AM8" s="107" t="n">
        <v>716.02863048566</v>
      </c>
      <c r="AN8" s="107" t="n">
        <v>472.431857733004</v>
      </c>
      <c r="AO8" s="107" t="n">
        <v>1165.79790665459</v>
      </c>
      <c r="AP8" s="107" t="n">
        <v>110</v>
      </c>
      <c r="AQ8" s="107" t="n">
        <v>254.297712356307</v>
      </c>
      <c r="AR8" s="57" t="n">
        <v>0</v>
      </c>
      <c r="AS8" s="57" t="n">
        <v>0</v>
      </c>
      <c r="AT8" s="57" t="n">
        <v>0</v>
      </c>
      <c r="AU8" s="57" t="n">
        <v>0</v>
      </c>
      <c r="AV8" s="57" t="n"/>
      <c r="AW8" s="57" t="n"/>
      <c r="AX8" s="57" t="n">
        <v>0</v>
      </c>
      <c r="AY8" s="57" t="n">
        <v>0</v>
      </c>
      <c r="AZ8" s="57" t="n">
        <v>0</v>
      </c>
      <c r="BA8" s="57" t="n">
        <v>0</v>
      </c>
      <c r="BB8" s="107" t="n">
        <v>0</v>
      </c>
      <c r="BC8" s="107" t="n">
        <v>0</v>
      </c>
      <c r="BD8" s="108" t="n"/>
      <c r="BE8" s="107" t="n"/>
      <c r="BF8" s="108" t="n"/>
      <c r="BG8" s="108" t="n"/>
      <c r="BH8" s="108" t="n"/>
      <c r="BI8" s="108" t="n"/>
      <c r="BJ8" s="108" t="n"/>
      <c r="BK8" s="108" t="n"/>
      <c r="BL8" s="108" t="n"/>
      <c r="BM8" s="108" t="n"/>
      <c r="BN8" s="108" t="n"/>
      <c r="BO8" s="57" t="n">
        <v>0</v>
      </c>
      <c r="BP8" s="57" t="n">
        <v>0</v>
      </c>
      <c r="BQ8" s="57" t="n">
        <v>0</v>
      </c>
      <c r="BR8" s="107" t="n">
        <v>0</v>
      </c>
      <c r="BS8" s="107" t="n">
        <v>0</v>
      </c>
      <c r="BT8" s="107" t="n">
        <v>0</v>
      </c>
      <c r="BU8" s="107" t="n">
        <v>0</v>
      </c>
      <c r="BV8" s="107" t="n">
        <v>0</v>
      </c>
      <c r="BW8" s="107" t="n">
        <v>10598</v>
      </c>
      <c r="BX8" s="107" t="n">
        <v>10598</v>
      </c>
      <c r="BY8" s="108" t="n">
        <v>1</v>
      </c>
      <c r="BZ8" s="107" t="n">
        <v>2002.5274767439</v>
      </c>
      <c r="CA8" s="107" t="n">
        <v>2002.5274767439</v>
      </c>
      <c r="CB8" s="107" t="n">
        <v>716.02863048566</v>
      </c>
      <c r="CC8" s="107" t="n">
        <v>21854.9729033032</v>
      </c>
      <c r="CD8" s="107" t="n">
        <v>21854.9729033032</v>
      </c>
      <c r="CE8" s="107" t="n">
        <v>24573.5290105328</v>
      </c>
      <c r="CF8" s="109" t="n">
        <v>0.431277086634869</v>
      </c>
      <c r="CG8" s="118" t="n">
        <v>357.444708181315</v>
      </c>
      <c r="CH8" s="107" t="n">
        <v>24573.5290105328</v>
      </c>
      <c r="CI8" s="109" t="n">
        <v>0.431277086634869</v>
      </c>
      <c r="CJ8" s="107" t="n">
        <v>24682.5003800471</v>
      </c>
      <c r="CK8" s="109" t="n">
        <v>0.429373030965989</v>
      </c>
    </row>
    <row r="9" ht="16.5" customFormat="1" customHeight="1" s="39">
      <c r="A9" s="63" t="n">
        <v>45992</v>
      </c>
      <c r="B9" s="67" t="n"/>
      <c r="C9" s="67" t="n"/>
      <c r="D9" s="67" t="n"/>
      <c r="E9" s="67" t="n"/>
      <c r="F9" s="67" t="n"/>
      <c r="G9" s="67" t="n"/>
      <c r="H9" s="107" t="n">
        <v>7697.79686788528</v>
      </c>
      <c r="I9" s="118">
        <f>H9-CG9</f>
        <v/>
      </c>
      <c r="J9" s="107" t="n">
        <v>2565.93228929509</v>
      </c>
      <c r="K9" s="57" t="n">
        <v>3</v>
      </c>
      <c r="L9" s="57" t="n">
        <v>1</v>
      </c>
      <c r="M9" s="57" t="n">
        <v>1</v>
      </c>
      <c r="N9" s="57" t="n">
        <v>1</v>
      </c>
      <c r="O9" s="57" t="n">
        <v>1</v>
      </c>
      <c r="P9" s="57" t="n">
        <v>1</v>
      </c>
      <c r="Q9" s="57" t="n">
        <v>1</v>
      </c>
      <c r="R9" s="57" t="n">
        <v>1</v>
      </c>
      <c r="S9" s="57" t="n">
        <v>1</v>
      </c>
      <c r="T9" s="57" t="n">
        <v>1</v>
      </c>
      <c r="U9" s="107" t="n">
        <v>5299</v>
      </c>
      <c r="V9" s="107" t="n">
        <v>5299</v>
      </c>
      <c r="W9" s="108" t="n">
        <v>1</v>
      </c>
      <c r="X9" s="107" t="n">
        <v>5299</v>
      </c>
      <c r="Y9" s="108" t="n">
        <v>0.333333333333333</v>
      </c>
      <c r="Z9" s="108" t="n">
        <v>1</v>
      </c>
      <c r="AA9" s="108" t="n">
        <v>0.333333333333333</v>
      </c>
      <c r="AB9" s="108" t="n">
        <v>1</v>
      </c>
      <c r="AC9" s="108" t="n">
        <v>1</v>
      </c>
      <c r="AD9" s="108" t="n">
        <v>1</v>
      </c>
      <c r="AE9" s="108" t="n">
        <v>1</v>
      </c>
      <c r="AF9" s="108" t="n">
        <v>0.333333333333333</v>
      </c>
      <c r="AG9" s="108" t="n">
        <v>0.333333333333333</v>
      </c>
      <c r="AH9" s="107" t="n">
        <v>8759.646267787861</v>
      </c>
      <c r="AI9" s="109" t="n">
        <v>0.604933103233425</v>
      </c>
      <c r="AJ9" s="57" t="n">
        <v>1</v>
      </c>
      <c r="AK9" s="57" t="n">
        <v>1</v>
      </c>
      <c r="AL9" s="57" t="n">
        <v>1</v>
      </c>
      <c r="AM9" s="107" t="n">
        <v>209.569490309309</v>
      </c>
      <c r="AN9" s="107" t="n">
        <v>130.288992128544</v>
      </c>
      <c r="AO9" s="107" t="n">
        <v>609.737887448974</v>
      </c>
      <c r="AP9" s="107" t="n">
        <v>30</v>
      </c>
      <c r="AQ9" s="107" t="n">
        <v>82.25303001575411</v>
      </c>
      <c r="AR9" s="57" t="n">
        <v>0</v>
      </c>
      <c r="AS9" s="57" t="n">
        <v>0</v>
      </c>
      <c r="AT9" s="57" t="n">
        <v>0</v>
      </c>
      <c r="AU9" s="57" t="n">
        <v>0</v>
      </c>
      <c r="AV9" s="57" t="n">
        <v>0</v>
      </c>
      <c r="AW9" s="57" t="n">
        <v>0</v>
      </c>
      <c r="AX9" s="57" t="n">
        <v>0</v>
      </c>
      <c r="AY9" s="57" t="n">
        <v>0</v>
      </c>
      <c r="AZ9" s="57" t="n">
        <v>0</v>
      </c>
      <c r="BA9" s="57" t="n">
        <v>0</v>
      </c>
      <c r="BB9" s="107" t="n">
        <v>0</v>
      </c>
      <c r="BC9" s="107" t="n">
        <v>0</v>
      </c>
      <c r="BD9" s="108" t="n"/>
      <c r="BE9" s="107" t="n"/>
      <c r="BF9" s="108" t="n"/>
      <c r="BG9" s="108" t="n"/>
      <c r="BH9" s="108" t="n"/>
      <c r="BI9" s="108" t="n"/>
      <c r="BJ9" s="108" t="n"/>
      <c r="BK9" s="108" t="n"/>
      <c r="BL9" s="108" t="n"/>
      <c r="BM9" s="108" t="n"/>
      <c r="BN9" s="108" t="n"/>
      <c r="BO9" s="57" t="n">
        <v>0</v>
      </c>
      <c r="BP9" s="57" t="n">
        <v>0</v>
      </c>
      <c r="BQ9" s="57" t="n">
        <v>0</v>
      </c>
      <c r="BR9" s="107" t="n">
        <v>0</v>
      </c>
      <c r="BS9" s="107" t="n">
        <v>0</v>
      </c>
      <c r="BT9" s="107" t="n">
        <v>0</v>
      </c>
      <c r="BU9" s="107" t="n">
        <v>0</v>
      </c>
      <c r="BV9" s="107" t="n">
        <v>0</v>
      </c>
      <c r="BW9" s="107" t="n">
        <v>5299</v>
      </c>
      <c r="BX9" s="107" t="n">
        <v>5299</v>
      </c>
      <c r="BY9" s="108" t="n">
        <v>1</v>
      </c>
      <c r="BZ9" s="107" t="n">
        <v>852.279909593272</v>
      </c>
      <c r="CA9" s="107" t="n">
        <v>852.279909593272</v>
      </c>
      <c r="CB9" s="107" t="n">
        <v>209.569490309309</v>
      </c>
      <c r="CC9" s="107" t="n">
        <v>7697.79686788528</v>
      </c>
      <c r="CD9" s="107" t="n">
        <v>7697.79686788528</v>
      </c>
      <c r="CE9" s="107" t="n">
        <v>8759.646267787861</v>
      </c>
      <c r="CF9" s="109" t="n">
        <v>0.604933103233425</v>
      </c>
      <c r="CG9" s="118" t="n">
        <v>195.139306909666</v>
      </c>
      <c r="CH9" s="107" t="n">
        <v>8759.646267787861</v>
      </c>
      <c r="CI9" s="109" t="n">
        <v>0.604933103233425</v>
      </c>
      <c r="CJ9" s="107" t="n">
        <v>8775.076777478551</v>
      </c>
      <c r="CK9" s="109" t="n">
        <v>0.603869360277282</v>
      </c>
    </row>
    <row r="10" ht="30" customFormat="1" customHeight="1" s="40">
      <c r="A10" s="40" t="inlineStr">
        <is>
          <t>bob-汇总</t>
        </is>
      </c>
      <c r="B10" s="57" t="n"/>
      <c r="C10" s="57" t="n"/>
      <c r="D10" s="57" t="n"/>
      <c r="E10" s="57" t="n"/>
      <c r="F10" s="57" t="n"/>
      <c r="G10" s="57" t="n"/>
      <c r="H10" s="107">
        <f>SUM(H3:H9)</f>
        <v/>
      </c>
      <c r="I10" s="107">
        <f>SUM(I3:I9)</f>
        <v/>
      </c>
      <c r="J10" s="107">
        <f>I10/K10</f>
        <v/>
      </c>
      <c r="K10" s="57">
        <f>SUM(K3:K9)</f>
        <v/>
      </c>
      <c r="L10" s="57">
        <f>SUM(L3:L9)</f>
        <v/>
      </c>
      <c r="M10" s="57">
        <f>SUM(M3:M9)</f>
        <v/>
      </c>
      <c r="N10" s="57">
        <f>SUM(N3:N9)</f>
        <v/>
      </c>
      <c r="O10" s="57" t="n"/>
      <c r="P10" s="57" t="n"/>
      <c r="Q10" s="57">
        <f>SUM(Q3:Q9)</f>
        <v/>
      </c>
      <c r="R10" s="57">
        <f>SUM(R3:R9)</f>
        <v/>
      </c>
      <c r="S10" s="57">
        <f>SUM(S3:S9)</f>
        <v/>
      </c>
      <c r="T10" s="57">
        <f>SUM(T3:T9)</f>
        <v/>
      </c>
      <c r="U10" s="107">
        <f>SUM(U3:U9)</f>
        <v/>
      </c>
      <c r="V10" s="107">
        <f>SUM(V3:V9)</f>
        <v/>
      </c>
      <c r="W10" s="57" t="n"/>
      <c r="X10" s="107">
        <f>V10/T10</f>
        <v/>
      </c>
      <c r="Y10" s="61">
        <f>L10/K10</f>
        <v/>
      </c>
      <c r="Z10" s="61">
        <f>N10/L10</f>
        <v/>
      </c>
      <c r="AA10" s="61">
        <f>N10/K10</f>
        <v/>
      </c>
      <c r="AB10" s="61">
        <f>Q10/N10</f>
        <v/>
      </c>
      <c r="AC10" s="61" t="n"/>
      <c r="AD10" s="61">
        <f>AVERAGE(AD3:AD9)</f>
        <v/>
      </c>
      <c r="AE10" s="61">
        <f>S10/Q10</f>
        <v/>
      </c>
      <c r="AF10" s="61">
        <f>S10/K10</f>
        <v/>
      </c>
      <c r="AG10" s="61">
        <f>T10/K10</f>
        <v/>
      </c>
      <c r="AH10" s="107">
        <f>SUM(AH3:AH9)</f>
        <v/>
      </c>
      <c r="AI10" s="109">
        <f>V10/AH10</f>
        <v/>
      </c>
      <c r="AJ10" s="57">
        <f>SUM(AJ3:AJ9)</f>
        <v/>
      </c>
      <c r="AK10" s="57">
        <f>SUM(AK3:AK9)</f>
        <v/>
      </c>
      <c r="AL10" s="57">
        <f>SUM(AL3:AL9)</f>
        <v/>
      </c>
      <c r="AM10" s="107">
        <f>SUM(AM3:AM9)</f>
        <v/>
      </c>
      <c r="AN10" s="107">
        <f>SUM(AN3:AN9)</f>
        <v/>
      </c>
      <c r="AO10" s="107">
        <f>SUM(AO3:AO9)</f>
        <v/>
      </c>
      <c r="AP10" s="107">
        <f>SUM(AP3:AP9)</f>
        <v/>
      </c>
      <c r="AQ10" s="107">
        <f>SUM(AQ3:AQ9)</f>
        <v/>
      </c>
      <c r="AR10" s="57">
        <f>SUM(AR3:AR9)</f>
        <v/>
      </c>
      <c r="AS10" s="57">
        <f>SUM(AS3:AS9)</f>
        <v/>
      </c>
      <c r="AT10" s="57" t="n"/>
      <c r="AU10" s="57">
        <f>SUM(AU3:AU9)</f>
        <v/>
      </c>
      <c r="AV10" s="57" t="n"/>
      <c r="AW10" s="57" t="n"/>
      <c r="AX10" s="57">
        <f>SUM(AX3:AX9)</f>
        <v/>
      </c>
      <c r="AY10" s="57">
        <f>SUM(AY3:AY9)</f>
        <v/>
      </c>
      <c r="AZ10" s="57">
        <f>SUM(AZ3:AZ9)</f>
        <v/>
      </c>
      <c r="BA10" s="57">
        <f>SUM(BA3:BA9)</f>
        <v/>
      </c>
      <c r="BB10" s="107">
        <f>SUM(BB3:BB9)</f>
        <v/>
      </c>
      <c r="BC10" s="107">
        <f>SUM(BC3:BC9)</f>
        <v/>
      </c>
      <c r="BD10" s="107" t="n"/>
      <c r="BE10" s="107">
        <f>BC10/BA10</f>
        <v/>
      </c>
      <c r="BF10" s="62">
        <f>AS10/AR10</f>
        <v/>
      </c>
      <c r="BG10" s="62">
        <f>AU10/AS10</f>
        <v/>
      </c>
      <c r="BH10" s="62">
        <f>AU10/AR10</f>
        <v/>
      </c>
      <c r="BI10" s="62">
        <f>AX10/AU10</f>
        <v/>
      </c>
      <c r="BJ10" s="62" t="n"/>
      <c r="BK10" s="62">
        <f>AVERAGE(BK3:BK9)</f>
        <v/>
      </c>
      <c r="BL10" s="62">
        <f>AZ10/AX10</f>
        <v/>
      </c>
      <c r="BM10" s="62">
        <f>AZ10/AR10</f>
        <v/>
      </c>
      <c r="BN10" s="62">
        <f>BA10/AR10</f>
        <v/>
      </c>
      <c r="BO10" s="57">
        <f>SUM(BO3:BO9)</f>
        <v/>
      </c>
      <c r="BP10" s="57">
        <f>SUM(BP3:BP9)</f>
        <v/>
      </c>
      <c r="BQ10" s="57">
        <f>SUM(BQ3:BQ9)</f>
        <v/>
      </c>
      <c r="BR10" s="107">
        <f>SUM(BR3:BR9)</f>
        <v/>
      </c>
      <c r="BS10" s="107">
        <f>SUM(BS3:BS9)</f>
        <v/>
      </c>
      <c r="BT10" s="107">
        <f>SUM(BT3:BT9)</f>
        <v/>
      </c>
      <c r="BU10" s="57">
        <f>SUM(BU3:BU9)</f>
        <v/>
      </c>
      <c r="BV10" s="57">
        <f>SUM(BV3:BV9)</f>
        <v/>
      </c>
      <c r="BW10" s="107">
        <f>SUM(BW3:BW9)</f>
        <v/>
      </c>
      <c r="BX10" s="107">
        <f>SUM(BX3:BX9)</f>
        <v/>
      </c>
      <c r="BY10" s="107" t="n"/>
      <c r="BZ10" s="107">
        <f>SUM(BZ3:BZ9)</f>
        <v/>
      </c>
      <c r="CA10" s="107">
        <f>SUM(CA3:CA9)</f>
        <v/>
      </c>
      <c r="CB10" s="107">
        <f>SUM(CB3:CB9)</f>
        <v/>
      </c>
      <c r="CC10" s="107">
        <f>SUM(CC3:CC9)</f>
        <v/>
      </c>
      <c r="CD10" s="107">
        <f>SUM(CD3:CD9)</f>
        <v/>
      </c>
      <c r="CE10" s="107">
        <f>SUM(CE3:CE9)</f>
        <v/>
      </c>
      <c r="CF10" s="109">
        <f>BW10/CE10</f>
        <v/>
      </c>
      <c r="CG10" s="107">
        <f>SUM(CG3:CG9)</f>
        <v/>
      </c>
      <c r="CH10" s="107">
        <f>SUM(CH3:CH9)</f>
        <v/>
      </c>
      <c r="CI10" s="109">
        <f>BX10/CH10</f>
        <v/>
      </c>
      <c r="CJ10" s="107">
        <f>SUM(CJ3:CJ9)</f>
        <v/>
      </c>
      <c r="CK10" s="109">
        <f>BX10/CJ10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8"/>
  <sheetViews>
    <sheetView zoomScale="70" zoomScaleNormal="70" workbookViewId="0">
      <selection activeCell="AF8" sqref="AF8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/>
      <c r="B3" s="67" t="n"/>
      <c r="C3" s="67" t="n"/>
      <c r="D3" s="67" t="n"/>
      <c r="E3" s="67" t="n"/>
      <c r="F3" s="67" t="n"/>
      <c r="G3" s="67" t="n"/>
      <c r="H3" s="67" t="n"/>
      <c r="I3" s="117" t="n"/>
      <c r="J3" s="117" t="n"/>
      <c r="K3" s="67" t="n"/>
      <c r="L3" s="67" t="n"/>
      <c r="M3" s="67" t="n"/>
      <c r="N3" s="67" t="n"/>
      <c r="O3" s="67" t="n"/>
      <c r="P3" s="67" t="n"/>
      <c r="Q3" s="67" t="n"/>
      <c r="R3" s="67" t="n"/>
      <c r="S3" s="117" t="n"/>
      <c r="T3" s="117" t="n"/>
      <c r="U3" s="121" t="n"/>
      <c r="V3" s="117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17" t="n"/>
      <c r="AF3" s="122" t="n"/>
      <c r="AG3" s="67" t="n"/>
      <c r="AH3" s="67" t="n"/>
      <c r="AI3" s="67" t="n"/>
      <c r="AJ3" s="117" t="n"/>
      <c r="AK3" s="117" t="n"/>
      <c r="AL3" s="117" t="n"/>
      <c r="AM3" s="117" t="n"/>
      <c r="AN3" s="67" t="n"/>
      <c r="AO3" s="67" t="n"/>
      <c r="AP3" s="67" t="n"/>
      <c r="AQ3" s="67" t="n"/>
      <c r="AR3" s="67" t="n"/>
      <c r="AS3" s="67" t="n"/>
      <c r="AT3" s="67" t="n"/>
      <c r="AU3" s="67" t="n"/>
      <c r="AV3" s="117" t="n"/>
      <c r="AW3" s="117" t="n"/>
      <c r="AX3" s="121" t="n"/>
      <c r="AY3" s="117" t="n"/>
      <c r="AZ3" s="121" t="n"/>
      <c r="BA3" s="121" t="n"/>
      <c r="BB3" s="121" t="n"/>
      <c r="BC3" s="121" t="n"/>
      <c r="BD3" s="121" t="n"/>
      <c r="BE3" s="121" t="n"/>
      <c r="BF3" s="121" t="n"/>
      <c r="BG3" s="121" t="n"/>
      <c r="BH3" s="67" t="n"/>
      <c r="BI3" s="67" t="n"/>
      <c r="BJ3" s="67" t="n"/>
      <c r="BK3" s="117" t="n"/>
      <c r="BL3" s="117" t="n"/>
      <c r="BM3" s="117" t="n"/>
      <c r="BN3" s="117" t="n"/>
      <c r="BO3" s="117" t="n"/>
      <c r="BP3" s="117" t="n"/>
      <c r="BQ3" s="117" t="n"/>
      <c r="BR3" s="121" t="n"/>
      <c r="BS3" s="117" t="n"/>
      <c r="BT3" s="117" t="n"/>
      <c r="BU3" s="117" t="n"/>
      <c r="BV3" s="117" t="n"/>
      <c r="BW3" s="117" t="n"/>
      <c r="BX3" s="117" t="n"/>
      <c r="BY3" s="122" t="n"/>
      <c r="BZ3" s="122" t="n"/>
      <c r="CA3" s="122" t="n"/>
      <c r="CB3" s="122" t="n"/>
      <c r="CC3" s="122" t="n"/>
      <c r="CD3" s="122" t="n"/>
    </row>
    <row r="4" ht="16.5" customFormat="1" customHeight="1" s="39">
      <c r="A4" s="63" t="n">
        <v>45750</v>
      </c>
      <c r="B4" s="67" t="n"/>
      <c r="C4" s="67" t="n"/>
      <c r="D4" s="67" t="inlineStr">
        <is>
          <t>KOLHK-香港-Tracy葉翠翠-Shukei-思维&amp;无</t>
        </is>
      </c>
      <c r="E4" s="67" t="inlineStr">
        <is>
          <t>-</t>
        </is>
      </c>
      <c r="F4" s="67" t="inlineStr">
        <is>
          <t>-</t>
        </is>
      </c>
      <c r="G4" s="67" t="inlineStr">
        <is>
          <t>-</t>
        </is>
      </c>
      <c r="H4" s="67">
        <f>I4</f>
        <v/>
      </c>
      <c r="I4" s="117" t="n">
        <v>15480.5183466667</v>
      </c>
      <c r="J4" s="117" t="n">
        <v>418.392387747749</v>
      </c>
      <c r="K4" s="67" t="n">
        <v>37</v>
      </c>
      <c r="L4" s="67" t="n">
        <v>15</v>
      </c>
      <c r="M4" s="67" t="n">
        <v>15</v>
      </c>
      <c r="N4" s="67" t="n">
        <v>15</v>
      </c>
      <c r="O4" s="67" t="n">
        <v>9</v>
      </c>
      <c r="P4" s="67" t="n">
        <v>9</v>
      </c>
      <c r="Q4" s="67" t="n">
        <v>4</v>
      </c>
      <c r="R4" s="67" t="n">
        <v>4</v>
      </c>
      <c r="S4" s="117" t="n">
        <v>16752</v>
      </c>
      <c r="T4" s="117" t="n">
        <v>16752</v>
      </c>
      <c r="U4" s="121" t="n">
        <v>1</v>
      </c>
      <c r="V4" s="117" t="n">
        <v>4188</v>
      </c>
      <c r="W4" s="121" t="n">
        <v>0.405405405405405</v>
      </c>
      <c r="X4" s="121" t="n">
        <v>1</v>
      </c>
      <c r="Y4" s="121" t="n">
        <v>0.405405405405405</v>
      </c>
      <c r="Z4" s="121" t="n">
        <v>0.6</v>
      </c>
      <c r="AA4" s="121" t="n">
        <v>1</v>
      </c>
      <c r="AB4" s="121" t="n">
        <v>0.444444444444444</v>
      </c>
      <c r="AC4" s="121" t="n">
        <v>0.108108108108108</v>
      </c>
      <c r="AD4" s="121" t="n">
        <v>0.108108108108108</v>
      </c>
      <c r="AE4" s="117" t="n">
        <v>24424.8882432886</v>
      </c>
      <c r="AF4" s="122" t="n">
        <v>0.685857795259435</v>
      </c>
      <c r="AG4" s="67" t="n">
        <v>9</v>
      </c>
      <c r="AH4" s="67" t="n">
        <v>9</v>
      </c>
      <c r="AI4" s="67" t="n">
        <v>9</v>
      </c>
      <c r="AJ4" s="117" t="n">
        <v>4098.06907184821</v>
      </c>
      <c r="AK4" s="117" t="n">
        <v>2221.78758877784</v>
      </c>
      <c r="AL4" s="117" t="n">
        <v>1501.8841138685</v>
      </c>
      <c r="AM4" s="117" t="n">
        <v>365.692887578847</v>
      </c>
      <c r="AN4" s="67" t="n">
        <v>756.936234548494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16752</v>
      </c>
      <c r="BR4" s="121" t="n">
        <v>16752</v>
      </c>
      <c r="BS4" s="117" t="n">
        <v>1</v>
      </c>
      <c r="BT4" s="117" t="n">
        <v>4846.30082477368</v>
      </c>
      <c r="BU4" s="117" t="n">
        <v>4846.30082477368</v>
      </c>
      <c r="BV4" s="117" t="n">
        <v>4098.06907184821</v>
      </c>
      <c r="BW4" s="117" t="n">
        <v>15480.5183466667</v>
      </c>
      <c r="BX4" s="117" t="n">
        <v>15480.5183466667</v>
      </c>
      <c r="BY4" s="122" t="n">
        <v>24424.8882432886</v>
      </c>
      <c r="BZ4" s="122" t="n">
        <v>0.685857795259435</v>
      </c>
      <c r="CA4" s="122" t="n"/>
      <c r="CB4" s="122" t="n">
        <v>24424.8882432886</v>
      </c>
      <c r="CC4" s="122" t="n">
        <v>0.685857795259435</v>
      </c>
      <c r="CD4" s="122" t="n">
        <v>23101.8191714404</v>
      </c>
      <c r="CE4" s="39" t="n">
        <v>0.7251376991431761</v>
      </c>
    </row>
    <row r="5" ht="16.5" customFormat="1" customHeight="1" s="39">
      <c r="A5" s="63" t="n">
        <v>45780</v>
      </c>
      <c r="B5" s="67" t="n"/>
      <c r="C5" s="67" t="n"/>
      <c r="D5" s="67" t="n"/>
      <c r="E5" s="67" t="n"/>
      <c r="F5" s="67" t="n"/>
      <c r="G5" s="67" t="n"/>
      <c r="H5" s="67">
        <f>I5</f>
        <v/>
      </c>
      <c r="I5" s="117" t="n">
        <v>73876.8466003611</v>
      </c>
      <c r="J5" s="117" t="n">
        <v>1191.56204194131</v>
      </c>
      <c r="K5" s="67" t="n">
        <v>62</v>
      </c>
      <c r="L5" s="67" t="n">
        <v>29</v>
      </c>
      <c r="M5" s="67" t="n">
        <v>32</v>
      </c>
      <c r="N5" s="67" t="n">
        <v>28</v>
      </c>
      <c r="O5" s="67" t="n">
        <v>18</v>
      </c>
      <c r="P5" s="67" t="n">
        <v>24</v>
      </c>
      <c r="Q5" s="67" t="n">
        <v>5</v>
      </c>
      <c r="R5" s="67" t="n">
        <v>5</v>
      </c>
      <c r="S5" s="117" t="n">
        <v>18140</v>
      </c>
      <c r="T5" s="117" t="n">
        <v>18140</v>
      </c>
      <c r="U5" s="121" t="n">
        <v>1</v>
      </c>
      <c r="V5" s="117" t="n">
        <v>3628</v>
      </c>
      <c r="W5" s="121" t="n">
        <v>0.467741935483871</v>
      </c>
      <c r="X5" s="121" t="n">
        <v>0.9655172413793101</v>
      </c>
      <c r="Y5" s="121" t="n">
        <v>0.451612903225806</v>
      </c>
      <c r="Z5" s="121" t="n">
        <v>0.642857142857143</v>
      </c>
      <c r="AA5" s="121" t="n">
        <v>0.888888888888889</v>
      </c>
      <c r="AB5" s="121" t="n">
        <v>0.277777777777778</v>
      </c>
      <c r="AC5" s="121" t="n">
        <v>0.08064516129032261</v>
      </c>
      <c r="AD5" s="121" t="n">
        <v>0.08064516129032261</v>
      </c>
      <c r="AE5" s="117" t="n">
        <v>85893.7615506931</v>
      </c>
      <c r="AF5" s="122" t="n">
        <v>0.21119112345888</v>
      </c>
      <c r="AG5" s="67" t="n">
        <v>27</v>
      </c>
      <c r="AH5" s="67" t="n">
        <v>24</v>
      </c>
      <c r="AI5" s="67" t="n">
        <v>26</v>
      </c>
      <c r="AJ5" s="117" t="n">
        <v>3515.18886921124</v>
      </c>
      <c r="AK5" s="117" t="n">
        <v>3927.11732327616</v>
      </c>
      <c r="AL5" s="117" t="n">
        <v>1739.67167991606</v>
      </c>
      <c r="AM5" s="117" t="n">
        <v>576.550098080626</v>
      </c>
      <c r="AN5" s="67" t="n">
        <v>2258.38697984796</v>
      </c>
      <c r="AO5" s="67" t="n">
        <v>0</v>
      </c>
      <c r="AP5" s="67" t="n">
        <v>0</v>
      </c>
      <c r="AQ5" s="67" t="n">
        <v>0</v>
      </c>
      <c r="AR5" s="67" t="n">
        <v>0</v>
      </c>
      <c r="AS5" s="67" t="n">
        <v>0</v>
      </c>
      <c r="AT5" s="67" t="n">
        <v>0</v>
      </c>
      <c r="AU5" s="67" t="n">
        <v>0</v>
      </c>
      <c r="AV5" s="117" t="n">
        <v>0</v>
      </c>
      <c r="AW5" s="117" t="n">
        <v>0</v>
      </c>
      <c r="AX5" s="121" t="n">
        <v>0</v>
      </c>
      <c r="AY5" s="117" t="n"/>
      <c r="AZ5" s="121" t="n"/>
      <c r="BA5" s="121" t="n"/>
      <c r="BB5" s="121" t="n"/>
      <c r="BC5" s="121" t="n"/>
      <c r="BD5" s="121" t="n"/>
      <c r="BE5" s="121" t="n"/>
      <c r="BF5" s="121" t="n"/>
      <c r="BG5" s="121" t="n"/>
      <c r="BH5" s="67" t="n"/>
      <c r="BI5" s="67" t="n">
        <v>0</v>
      </c>
      <c r="BJ5" s="67" t="n">
        <v>0</v>
      </c>
      <c r="BK5" s="117" t="n">
        <v>0</v>
      </c>
      <c r="BL5" s="117" t="n">
        <v>0</v>
      </c>
      <c r="BM5" s="117" t="n">
        <v>0</v>
      </c>
      <c r="BN5" s="117" t="n">
        <v>0</v>
      </c>
      <c r="BO5" s="117" t="n">
        <v>0</v>
      </c>
      <c r="BP5" s="117" t="n">
        <v>0</v>
      </c>
      <c r="BQ5" s="117" t="n">
        <v>18140</v>
      </c>
      <c r="BR5" s="121" t="n">
        <v>18140</v>
      </c>
      <c r="BS5" s="117" t="n">
        <v>1</v>
      </c>
      <c r="BT5" s="117" t="n">
        <v>8501.726081120811</v>
      </c>
      <c r="BU5" s="117" t="n">
        <v>7438.67053057199</v>
      </c>
      <c r="BV5" s="117" t="n">
        <v>3515.18886921124</v>
      </c>
      <c r="BW5" s="117" t="n">
        <v>73876.8466003611</v>
      </c>
      <c r="BX5" s="117" t="n">
        <v>73876.8466003611</v>
      </c>
      <c r="BY5" s="122" t="n">
        <v>84830.7060001443</v>
      </c>
      <c r="BZ5" s="122" t="n">
        <v>0.213837663922886</v>
      </c>
      <c r="CA5" s="122" t="n"/>
      <c r="CB5" s="122" t="n">
        <v>85893.7615506931</v>
      </c>
      <c r="CC5" s="122" t="n">
        <v>0.21119112345888</v>
      </c>
      <c r="CD5" s="122" t="n">
        <v>87028.57268148191</v>
      </c>
      <c r="CE5" s="39" t="n">
        <v>0.208437291812093</v>
      </c>
    </row>
    <row r="6" ht="16.5" customFormat="1" customHeight="1" s="39">
      <c r="A6" s="63" t="n">
        <v>45811</v>
      </c>
      <c r="B6" s="67" t="n"/>
      <c r="C6" s="67" t="n"/>
      <c r="D6" s="67" t="n"/>
      <c r="E6" s="67" t="n"/>
      <c r="F6" s="67" t="n"/>
      <c r="G6" s="67" t="n"/>
      <c r="H6" s="67" t="n">
        <v>27427.5610407665</v>
      </c>
      <c r="I6" s="117" t="n">
        <v>26537.5536282927</v>
      </c>
      <c r="J6" s="117" t="n">
        <v>2285.63008673054</v>
      </c>
      <c r="K6" s="67" t="n">
        <v>12</v>
      </c>
      <c r="L6" s="67" t="n">
        <v>7</v>
      </c>
      <c r="M6" s="67" t="n">
        <v>7</v>
      </c>
      <c r="N6" s="67" t="n">
        <v>7</v>
      </c>
      <c r="O6" s="67" t="n">
        <v>7</v>
      </c>
      <c r="P6" s="67" t="n">
        <v>8</v>
      </c>
      <c r="Q6" s="67" t="n">
        <v>4</v>
      </c>
      <c r="R6" s="67" t="n">
        <v>5</v>
      </c>
      <c r="S6" s="117" t="n">
        <v>14252</v>
      </c>
      <c r="T6" s="117" t="n">
        <v>17840</v>
      </c>
      <c r="U6" s="121" t="n">
        <v>1</v>
      </c>
      <c r="V6" s="117" t="n">
        <v>3568</v>
      </c>
      <c r="W6" s="121" t="n">
        <v>0.583333333333333</v>
      </c>
      <c r="X6" s="121" t="n">
        <v>1</v>
      </c>
      <c r="Y6" s="121" t="n">
        <v>0.583333333333333</v>
      </c>
      <c r="Z6" s="121" t="n">
        <v>1</v>
      </c>
      <c r="AA6" s="121" t="n">
        <v>0.888888888888889</v>
      </c>
      <c r="AB6" s="121" t="n">
        <v>0.571428571428571</v>
      </c>
      <c r="AC6" s="121" t="n">
        <v>0.333333333333333</v>
      </c>
      <c r="AD6" s="121" t="n">
        <v>0.416666666666667</v>
      </c>
      <c r="AE6" s="117" t="n">
        <v>31472.6569111288</v>
      </c>
      <c r="AF6" s="122" t="n">
        <v>0.566841244143317</v>
      </c>
      <c r="AG6" s="67" t="n">
        <v>9</v>
      </c>
      <c r="AH6" s="67" t="n">
        <v>8</v>
      </c>
      <c r="AI6" s="67" t="n">
        <v>8</v>
      </c>
      <c r="AJ6" s="117" t="n">
        <v>748.494474116691</v>
      </c>
      <c r="AK6" s="117" t="n">
        <v>786.6981250957811</v>
      </c>
      <c r="AL6" s="117" t="n">
        <v>1722.15383349055</v>
      </c>
      <c r="AM6" s="117" t="n">
        <v>96.911092575588</v>
      </c>
      <c r="AN6" s="67" t="n">
        <v>690.8383450837169</v>
      </c>
      <c r="AO6" s="67" t="n">
        <v>0</v>
      </c>
      <c r="AP6" s="67" t="n">
        <v>0</v>
      </c>
      <c r="AQ6" s="67" t="n">
        <v>0</v>
      </c>
      <c r="AR6" s="67" t="n">
        <v>0</v>
      </c>
      <c r="AS6" s="67" t="n">
        <v>0</v>
      </c>
      <c r="AT6" s="67" t="n">
        <v>0</v>
      </c>
      <c r="AU6" s="67" t="n">
        <v>0</v>
      </c>
      <c r="AV6" s="117" t="n">
        <v>0</v>
      </c>
      <c r="AW6" s="117" t="n">
        <v>0</v>
      </c>
      <c r="AX6" s="121" t="n">
        <v>0</v>
      </c>
      <c r="AY6" s="117" t="n"/>
      <c r="AZ6" s="121" t="n"/>
      <c r="BA6" s="121" t="n"/>
      <c r="BB6" s="121" t="n"/>
      <c r="BC6" s="121" t="n"/>
      <c r="BD6" s="121" t="n"/>
      <c r="BE6" s="121" t="n"/>
      <c r="BF6" s="121" t="n"/>
      <c r="BG6" s="121" t="n"/>
      <c r="BH6" s="67" t="n"/>
      <c r="BI6" s="67" t="n">
        <v>0</v>
      </c>
      <c r="BJ6" s="67" t="n">
        <v>0</v>
      </c>
      <c r="BK6" s="117" t="n">
        <v>0</v>
      </c>
      <c r="BL6" s="117" t="n">
        <v>0</v>
      </c>
      <c r="BM6" s="117" t="n">
        <v>0</v>
      </c>
      <c r="BN6" s="117" t="n">
        <v>0</v>
      </c>
      <c r="BO6" s="117" t="n">
        <v>0</v>
      </c>
      <c r="BP6" s="117" t="n">
        <v>0</v>
      </c>
      <c r="BQ6" s="117" t="n">
        <v>14252</v>
      </c>
      <c r="BR6" s="121" t="n">
        <v>17840</v>
      </c>
      <c r="BS6" s="117" t="n">
        <v>1</v>
      </c>
      <c r="BT6" s="117" t="n">
        <v>3296.60139624564</v>
      </c>
      <c r="BU6" s="117" t="n">
        <v>2863.88517067945</v>
      </c>
      <c r="BV6" s="117" t="n">
        <v>748.494474116691</v>
      </c>
      <c r="BW6" s="117" t="n">
        <v>27427.5610407665</v>
      </c>
      <c r="BX6" s="117" t="n">
        <v>27249.5595582717</v>
      </c>
      <c r="BY6" s="122" t="n">
        <v>30861.9392030678</v>
      </c>
      <c r="BZ6" s="122" t="n">
        <v>0.461798589719964</v>
      </c>
      <c r="CA6" s="122" t="n">
        <v>890.0074124737559</v>
      </c>
      <c r="CB6" s="122" t="n">
        <v>31472.6569111288</v>
      </c>
      <c r="CC6" s="122" t="n">
        <v>0.566841244143317</v>
      </c>
      <c r="CD6" s="122" t="n">
        <v>31624.1624370121</v>
      </c>
      <c r="CE6" s="39" t="n">
        <v>0.564125612355208</v>
      </c>
    </row>
    <row r="7" ht="16.5" customFormat="1" customHeight="1" s="39">
      <c r="A7" s="63" t="n">
        <v>45842</v>
      </c>
      <c r="B7" s="67" t="n"/>
      <c r="C7" s="67" t="n"/>
      <c r="D7" s="67" t="n"/>
      <c r="E7" s="67" t="n"/>
      <c r="F7" s="67" t="n"/>
      <c r="G7" s="67" t="n"/>
      <c r="H7" s="67" t="n">
        <v>13816.4239784863</v>
      </c>
      <c r="I7" s="117" t="n">
        <v>13640</v>
      </c>
      <c r="J7" s="117" t="n"/>
      <c r="K7" s="67" t="n">
        <v>0</v>
      </c>
      <c r="L7" s="67" t="n">
        <v>0</v>
      </c>
      <c r="M7" s="67" t="n">
        <v>1</v>
      </c>
      <c r="N7" s="67" t="n">
        <v>0</v>
      </c>
      <c r="O7" s="67" t="n">
        <v>0</v>
      </c>
      <c r="P7" s="67" t="n">
        <v>1</v>
      </c>
      <c r="Q7" s="67" t="n">
        <v>0</v>
      </c>
      <c r="R7" s="67" t="n">
        <v>1</v>
      </c>
      <c r="S7" s="117" t="n">
        <v>0</v>
      </c>
      <c r="T7" s="117" t="n">
        <v>3588</v>
      </c>
      <c r="U7" s="121" t="n">
        <v>1</v>
      </c>
      <c r="V7" s="117" t="n">
        <v>3588</v>
      </c>
      <c r="W7" s="121" t="n"/>
      <c r="X7" s="121" t="n"/>
      <c r="Y7" s="121" t="n"/>
      <c r="Z7" s="121" t="n"/>
      <c r="AA7" s="121" t="n">
        <v>1</v>
      </c>
      <c r="AB7" s="121" t="n"/>
      <c r="AC7" s="121" t="n"/>
      <c r="AD7" s="121" t="n"/>
      <c r="AE7" s="117" t="n">
        <v>14376.9038188227</v>
      </c>
      <c r="AF7" s="122" t="n">
        <v>0.249566947460724</v>
      </c>
      <c r="AG7" s="67" t="n">
        <v>1</v>
      </c>
      <c r="AH7" s="67" t="n">
        <v>1</v>
      </c>
      <c r="AI7" s="67" t="n">
        <v>1</v>
      </c>
      <c r="AJ7" s="117" t="n">
        <v>0</v>
      </c>
      <c r="AK7" s="117" t="n">
        <v>104.933972619887</v>
      </c>
      <c r="AL7" s="117" t="n">
        <v>367.404336910741</v>
      </c>
      <c r="AM7" s="117" t="n">
        <v>0</v>
      </c>
      <c r="AN7" s="67" t="n">
        <v>88.14153080575809</v>
      </c>
      <c r="AO7" s="67" t="n">
        <v>0</v>
      </c>
      <c r="AP7" s="67" t="n">
        <v>0</v>
      </c>
      <c r="AQ7" s="67" t="n">
        <v>0</v>
      </c>
      <c r="AR7" s="67" t="n">
        <v>0</v>
      </c>
      <c r="AS7" s="67" t="n">
        <v>0</v>
      </c>
      <c r="AT7" s="67" t="n">
        <v>0</v>
      </c>
      <c r="AU7" s="67" t="n">
        <v>0</v>
      </c>
      <c r="AV7" s="117" t="n">
        <v>0</v>
      </c>
      <c r="AW7" s="117" t="n">
        <v>0</v>
      </c>
      <c r="AX7" s="121" t="n">
        <v>0</v>
      </c>
      <c r="AY7" s="117" t="n"/>
      <c r="AZ7" s="121" t="n"/>
      <c r="BA7" s="121" t="n"/>
      <c r="BB7" s="121" t="n"/>
      <c r="BC7" s="121" t="n"/>
      <c r="BD7" s="121" t="n"/>
      <c r="BE7" s="121" t="n"/>
      <c r="BF7" s="121" t="n"/>
      <c r="BG7" s="121" t="n"/>
      <c r="BH7" s="67" t="n"/>
      <c r="BI7" s="67" t="n">
        <v>0</v>
      </c>
      <c r="BJ7" s="67" t="n">
        <v>0</v>
      </c>
      <c r="BK7" s="117" t="n">
        <v>0</v>
      </c>
      <c r="BL7" s="117" t="n">
        <v>0</v>
      </c>
      <c r="BM7" s="117" t="n">
        <v>0</v>
      </c>
      <c r="BN7" s="117" t="n">
        <v>0</v>
      </c>
      <c r="BO7" s="117" t="n">
        <v>0</v>
      </c>
      <c r="BP7" s="117" t="n">
        <v>0</v>
      </c>
      <c r="BQ7" s="117" t="n">
        <v>0</v>
      </c>
      <c r="BR7" s="121" t="n">
        <v>3588</v>
      </c>
      <c r="BS7" s="117" t="n">
        <v>1</v>
      </c>
      <c r="BT7" s="117" t="n">
        <v>560.479840336386</v>
      </c>
      <c r="BU7" s="117" t="n">
        <v>0</v>
      </c>
      <c r="BV7" s="117" t="n">
        <v>0</v>
      </c>
      <c r="BW7" s="117" t="n">
        <v>13816.4239784863</v>
      </c>
      <c r="BX7" s="117" t="n">
        <v>13640</v>
      </c>
      <c r="BY7" s="122" t="n">
        <v>13640</v>
      </c>
      <c r="BZ7" s="122" t="n"/>
      <c r="CA7" s="122" t="n">
        <v>176.423978486307</v>
      </c>
      <c r="CB7" s="122" t="n">
        <v>14376.9038188227</v>
      </c>
      <c r="CC7" s="122" t="n">
        <v>0.249566947460724</v>
      </c>
      <c r="CD7" s="122" t="n">
        <v>14376.9038188227</v>
      </c>
      <c r="CE7" s="39" t="n">
        <v>0.249566947460724</v>
      </c>
    </row>
    <row r="8" ht="30" customFormat="1" customHeight="1" s="40">
      <c r="A8" s="40" t="inlineStr">
        <is>
          <t>叶翠翠-汇总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>
        <f>SUM(O3:O7)</f>
        <v/>
      </c>
      <c r="P8" s="57">
        <f>SUM(P3:P7)</f>
        <v/>
      </c>
      <c r="Q8" s="57">
        <f>SUM(Q3:Q7)</f>
        <v/>
      </c>
      <c r="R8" s="57">
        <f>SUM(R3:R7)</f>
        <v/>
      </c>
      <c r="S8" s="107">
        <f>SUM(S3:S7)</f>
        <v/>
      </c>
      <c r="T8" s="107">
        <f>SUM(T3:T7)</f>
        <v/>
      </c>
      <c r="U8" s="57" t="n"/>
      <c r="V8" s="107">
        <f>T8/R8</f>
        <v/>
      </c>
      <c r="W8" s="61">
        <f>L8/K8</f>
        <v/>
      </c>
      <c r="X8" s="61">
        <f>N8/L8</f>
        <v/>
      </c>
      <c r="Y8" s="61">
        <f>N8/K8</f>
        <v/>
      </c>
      <c r="Z8" s="61">
        <f>O8/N8</f>
        <v/>
      </c>
      <c r="AA8" s="61">
        <f>AVERAGE(AA3:AA7)</f>
        <v/>
      </c>
      <c r="AB8" s="61">
        <f>Q8/O8</f>
        <v/>
      </c>
      <c r="AC8" s="61">
        <f>Q8/K8</f>
        <v/>
      </c>
      <c r="AD8" s="61">
        <f>R8/K8</f>
        <v/>
      </c>
      <c r="AE8" s="107">
        <f>SUM(AE3:AE7)</f>
        <v/>
      </c>
      <c r="AF8" s="109">
        <f>T8/AE8</f>
        <v/>
      </c>
      <c r="AG8" s="57">
        <f>SUM(AG3:AG7)</f>
        <v/>
      </c>
      <c r="AH8" s="57">
        <f>SUM(AH3:AH7)</f>
        <v/>
      </c>
      <c r="AI8" s="57">
        <f>SUM(AI3:AI7)</f>
        <v/>
      </c>
      <c r="AJ8" s="107">
        <f>SUM(AJ3:AJ7)</f>
        <v/>
      </c>
      <c r="AK8" s="107">
        <f>SUM(AK3:AK7)</f>
        <v/>
      </c>
      <c r="AL8" s="107">
        <f>SUM(AL3:AL7)</f>
        <v/>
      </c>
      <c r="AM8" s="107">
        <f>SUM(AM3:AM7)</f>
        <v/>
      </c>
      <c r="AN8" s="107">
        <f>SUM(AN3:AN7)</f>
        <v/>
      </c>
      <c r="AO8" s="57">
        <f>SUM(AO3:AO7)</f>
        <v/>
      </c>
      <c r="AP8" s="57">
        <f>SUM(AP3:AP7)</f>
        <v/>
      </c>
      <c r="AQ8" s="57" t="n"/>
      <c r="AR8" s="57">
        <f>SUM(AR3:AR7)</f>
        <v/>
      </c>
      <c r="AS8" s="57">
        <f>SUM(AS3:AS7)</f>
        <v/>
      </c>
      <c r="AT8" s="57">
        <f>SUM(AT3:AT7)</f>
        <v/>
      </c>
      <c r="AU8" s="57">
        <f>SUM(AU3:AU7)</f>
        <v/>
      </c>
      <c r="AV8" s="57">
        <f>SUM(AV3:AV7)</f>
        <v/>
      </c>
      <c r="AW8" s="107">
        <f>SUM(AW3:AW7)</f>
        <v/>
      </c>
      <c r="AX8" s="107">
        <f>SUM(AX3:AX7)</f>
        <v/>
      </c>
      <c r="AY8" s="107" t="n"/>
      <c r="AZ8" s="107">
        <f>AX8/AV8</f>
        <v/>
      </c>
      <c r="BA8" s="62">
        <f>AP8/AO8</f>
        <v/>
      </c>
      <c r="BB8" s="62">
        <f>AR8/AP8</f>
        <v/>
      </c>
      <c r="BC8" s="62">
        <f>AR8/AO8</f>
        <v/>
      </c>
      <c r="BD8" s="62">
        <f>AS8/AR8</f>
        <v/>
      </c>
      <c r="BE8" s="62">
        <f>AVERAGE(BE3:BE7)</f>
        <v/>
      </c>
      <c r="BF8" s="62">
        <f>AU8/AS8</f>
        <v/>
      </c>
      <c r="BG8" s="62">
        <f>AU8/AO8</f>
        <v/>
      </c>
      <c r="BH8" s="62">
        <f>AV8/AO8</f>
        <v/>
      </c>
      <c r="BI8" s="57">
        <f>SUM(BI3:BI7)</f>
        <v/>
      </c>
      <c r="BJ8" s="57">
        <f>SUM(BJ3:BJ7)</f>
        <v/>
      </c>
      <c r="BK8" s="57">
        <f>SUM(BK3:BK7)</f>
        <v/>
      </c>
      <c r="BL8" s="107">
        <f>SUM(BL3:BL7)</f>
        <v/>
      </c>
      <c r="BM8" s="107">
        <f>SUM(BM3:BM7)</f>
        <v/>
      </c>
      <c r="BN8" s="107">
        <f>SUM(BN3:BN7)</f>
        <v/>
      </c>
      <c r="BO8" s="57">
        <f>SUM(BO3:BO7)</f>
        <v/>
      </c>
      <c r="BP8" s="57">
        <f>SUM(BP3:BP7)</f>
        <v/>
      </c>
      <c r="BQ8" s="107">
        <f>SUM(BQ3:BQ7)</f>
        <v/>
      </c>
      <c r="BR8" s="107">
        <f>SUM(BR3:BR7)</f>
        <v/>
      </c>
      <c r="BS8" s="107" t="n"/>
      <c r="BT8" s="107">
        <f>SUM(BT3:BT7)</f>
        <v/>
      </c>
      <c r="BU8" s="107">
        <f>SUM(BU3:BU7)</f>
        <v/>
      </c>
      <c r="BV8" s="107">
        <f>SUM(BV3:BV7)</f>
        <v/>
      </c>
      <c r="BW8" s="107">
        <f>SUM(BW3:BW7)</f>
        <v/>
      </c>
      <c r="BX8" s="107">
        <f>SUM(BX3:BX7)</f>
        <v/>
      </c>
      <c r="BY8" s="107">
        <f>SUM(BY3:BY7)</f>
        <v/>
      </c>
      <c r="BZ8" s="109">
        <f>BQ8/BY8</f>
        <v/>
      </c>
      <c r="CA8" s="107">
        <f>SUM(CA3:CA7)</f>
        <v/>
      </c>
      <c r="CB8" s="107">
        <f>SUM(CB3:CB7)</f>
        <v/>
      </c>
      <c r="CC8" s="109">
        <f>BR8/CB8</f>
        <v/>
      </c>
      <c r="CD8" s="107">
        <f>SUM(CD3:CD7)</f>
        <v/>
      </c>
      <c r="CE8" s="109">
        <f>BR8/CD8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10"/>
  <sheetViews>
    <sheetView zoomScale="70" zoomScaleNormal="70" workbookViewId="0">
      <selection activeCell="A20" sqref="A20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22" customFormat="1" customHeight="1" s="39">
      <c r="A3" s="63" t="n">
        <v>45780</v>
      </c>
      <c r="B3" s="67" t="n"/>
      <c r="C3" s="67" t="n"/>
      <c r="D3" s="67" t="n"/>
      <c r="E3" s="67" t="n"/>
      <c r="F3" s="67" t="n"/>
      <c r="G3" s="67" t="n"/>
      <c r="H3" s="67">
        <f>I3</f>
        <v/>
      </c>
      <c r="I3" s="117" t="n">
        <v>139975.768753311</v>
      </c>
      <c r="J3" s="117" t="n">
        <v>466.58589584437</v>
      </c>
      <c r="K3" s="67" t="n">
        <v>300</v>
      </c>
      <c r="L3" s="67" t="n">
        <v>133</v>
      </c>
      <c r="M3" s="67" t="n">
        <v>133</v>
      </c>
      <c r="N3" s="67" t="n">
        <v>135</v>
      </c>
      <c r="O3" s="67" t="n">
        <v>94</v>
      </c>
      <c r="P3" s="67" t="n">
        <v>94</v>
      </c>
      <c r="Q3" s="67" t="n">
        <v>34</v>
      </c>
      <c r="R3" s="67" t="n">
        <v>34</v>
      </c>
      <c r="S3" s="117" t="n">
        <v>172292</v>
      </c>
      <c r="T3" s="117" t="n">
        <v>172292</v>
      </c>
      <c r="U3" s="121" t="n">
        <v>1</v>
      </c>
      <c r="V3" s="117" t="n">
        <v>5067.41176470588</v>
      </c>
      <c r="W3" s="121" t="n">
        <v>0.443333333333333</v>
      </c>
      <c r="X3" s="121" t="n">
        <v>1.01503759398496</v>
      </c>
      <c r="Y3" s="121" t="n">
        <v>0.45</v>
      </c>
      <c r="Z3" s="121" t="n">
        <v>0.696296296296296</v>
      </c>
      <c r="AA3" s="121" t="n">
        <v>0.903846153846154</v>
      </c>
      <c r="AB3" s="121" t="n">
        <v>0.361702127659574</v>
      </c>
      <c r="AC3" s="121" t="n">
        <v>0.113333333333333</v>
      </c>
      <c r="AD3" s="121" t="n">
        <v>0.113333333333333</v>
      </c>
      <c r="AE3" s="117" t="n">
        <v>201653.37164959</v>
      </c>
      <c r="AF3" s="122" t="n">
        <v>0.854396822580231</v>
      </c>
      <c r="AG3" s="67" t="n">
        <v>104</v>
      </c>
      <c r="AH3" s="67" t="n">
        <v>94</v>
      </c>
      <c r="AI3" s="67" t="n">
        <v>104</v>
      </c>
      <c r="AJ3" s="117" t="n">
        <v>17008.9783994092</v>
      </c>
      <c r="AK3" s="117" t="n">
        <v>16322.0813748665</v>
      </c>
      <c r="AL3" s="117" t="n">
        <v>16523.2366635115</v>
      </c>
      <c r="AM3" s="117" t="n">
        <v>2789.7585390998</v>
      </c>
      <c r="AN3" s="67" t="n">
        <v>9033.547919391851</v>
      </c>
      <c r="AO3" s="67" t="n">
        <v>0</v>
      </c>
      <c r="AP3" s="67" t="n">
        <v>0</v>
      </c>
      <c r="AQ3" s="67" t="n">
        <v>0</v>
      </c>
      <c r="AR3" s="67" t="n">
        <v>0</v>
      </c>
      <c r="AS3" s="67" t="n">
        <v>0</v>
      </c>
      <c r="AT3" s="67" t="n">
        <v>0</v>
      </c>
      <c r="AU3" s="67" t="n">
        <v>0</v>
      </c>
      <c r="AV3" s="117" t="n">
        <v>0</v>
      </c>
      <c r="AW3" s="117" t="n">
        <v>0</v>
      </c>
      <c r="AX3" s="121" t="n">
        <v>0</v>
      </c>
      <c r="AY3" s="117" t="n"/>
      <c r="AZ3" s="121" t="n"/>
      <c r="BA3" s="121" t="n"/>
      <c r="BB3" s="121" t="n"/>
      <c r="BC3" s="121" t="n"/>
      <c r="BD3" s="121" t="n"/>
      <c r="BE3" s="121" t="n"/>
      <c r="BF3" s="121" t="n"/>
      <c r="BG3" s="121" t="n"/>
      <c r="BH3" s="67" t="n"/>
      <c r="BI3" s="67" t="n">
        <v>0</v>
      </c>
      <c r="BJ3" s="67" t="n">
        <v>0</v>
      </c>
      <c r="BK3" s="117" t="n">
        <v>0</v>
      </c>
      <c r="BL3" s="117" t="n">
        <v>0</v>
      </c>
      <c r="BM3" s="117" t="n">
        <v>0</v>
      </c>
      <c r="BN3" s="117" t="n">
        <v>0</v>
      </c>
      <c r="BO3" s="117" t="n">
        <v>0</v>
      </c>
      <c r="BP3" s="117" t="n">
        <v>0</v>
      </c>
      <c r="BQ3" s="117" t="n">
        <v>172292</v>
      </c>
      <c r="BR3" s="121" t="n">
        <v>172292</v>
      </c>
      <c r="BS3" s="117" t="n">
        <v>1</v>
      </c>
      <c r="BT3" s="117" t="n">
        <v>44668.6244968697</v>
      </c>
      <c r="BU3" s="117" t="n">
        <v>44668.6244968697</v>
      </c>
      <c r="BV3" s="117" t="n">
        <v>17008.9783994092</v>
      </c>
      <c r="BW3" s="117" t="n">
        <v>139975.768753311</v>
      </c>
      <c r="BX3" s="117" t="n">
        <v>139975.768753311</v>
      </c>
      <c r="BY3" s="122" t="n">
        <v>201653.37164959</v>
      </c>
      <c r="BZ3" s="122" t="n">
        <v>0.854396822580231</v>
      </c>
      <c r="CA3" s="122" t="n"/>
      <c r="CB3" s="122" t="n">
        <v>201653.37164959</v>
      </c>
      <c r="CC3" s="122" t="n">
        <v>0.854396822580231</v>
      </c>
      <c r="CD3" s="122" t="n">
        <v>207144.393250181</v>
      </c>
      <c r="CE3" s="39" t="n">
        <v>0.831748314770522</v>
      </c>
    </row>
    <row r="4" ht="21" customFormat="1" customHeight="1" s="39">
      <c r="A4" s="63" t="n">
        <v>45811</v>
      </c>
      <c r="B4" s="67" t="n"/>
      <c r="C4" s="67" t="n"/>
      <c r="D4" s="67" t="n"/>
      <c r="E4" s="67" t="n"/>
      <c r="F4" s="67" t="n"/>
      <c r="G4" s="67" t="n"/>
      <c r="H4" s="67" t="n">
        <v>109227.742461277</v>
      </c>
      <c r="I4" s="117" t="n">
        <v>104223.477459168</v>
      </c>
      <c r="J4" s="117" t="n">
        <v>1147.67913143712</v>
      </c>
      <c r="K4" s="67" t="n">
        <v>95</v>
      </c>
      <c r="L4" s="67" t="n">
        <v>47</v>
      </c>
      <c r="M4" s="67" t="n">
        <v>53</v>
      </c>
      <c r="N4" s="67" t="n">
        <v>47</v>
      </c>
      <c r="O4" s="67" t="n">
        <v>33</v>
      </c>
      <c r="P4" s="67" t="n">
        <v>63</v>
      </c>
      <c r="Q4" s="67" t="n">
        <v>13</v>
      </c>
      <c r="R4" s="67" t="n">
        <v>27</v>
      </c>
      <c r="S4" s="117" t="n">
        <v>55144</v>
      </c>
      <c r="T4" s="117" t="n">
        <v>122076</v>
      </c>
      <c r="U4" s="121" t="n">
        <v>1</v>
      </c>
      <c r="V4" s="117" t="n">
        <v>4521.33333333333</v>
      </c>
      <c r="W4" s="121" t="n">
        <v>0.494736842105263</v>
      </c>
      <c r="X4" s="121" t="n">
        <v>1</v>
      </c>
      <c r="Y4" s="121" t="n">
        <v>0.494736842105263</v>
      </c>
      <c r="Z4" s="121" t="n">
        <v>0.702127659574468</v>
      </c>
      <c r="AA4" s="121" t="n">
        <v>0.875</v>
      </c>
      <c r="AB4" s="121" t="n">
        <v>0.393939393939394</v>
      </c>
      <c r="AC4" s="121" t="n">
        <v>0.136842105263158</v>
      </c>
      <c r="AD4" s="121" t="n">
        <v>0.284210526315789</v>
      </c>
      <c r="AE4" s="117" t="n">
        <v>139767.037615223</v>
      </c>
      <c r="AF4" s="122" t="n">
        <v>0.873424822353847</v>
      </c>
      <c r="AG4" s="67" t="n">
        <v>72</v>
      </c>
      <c r="AH4" s="67" t="n">
        <v>63</v>
      </c>
      <c r="AI4" s="67" t="n">
        <v>73</v>
      </c>
      <c r="AJ4" s="117" t="n">
        <v>5925.5812534238</v>
      </c>
      <c r="AK4" s="117" t="n">
        <v>5956.42866143948</v>
      </c>
      <c r="AL4" s="117" t="n">
        <v>11784.3974987216</v>
      </c>
      <c r="AM4" s="117" t="n">
        <v>767.212816223405</v>
      </c>
      <c r="AN4" s="67" t="n">
        <v>6303.89989888892</v>
      </c>
      <c r="AO4" s="67" t="n">
        <v>37</v>
      </c>
      <c r="AP4" s="67" t="n">
        <v>18</v>
      </c>
      <c r="AQ4" s="67" t="n">
        <v>18</v>
      </c>
      <c r="AR4" s="67" t="n">
        <v>19</v>
      </c>
      <c r="AS4" s="67" t="n">
        <v>10</v>
      </c>
      <c r="AT4" s="67" t="n">
        <v>10</v>
      </c>
      <c r="AU4" s="67" t="n">
        <v>2</v>
      </c>
      <c r="AV4" s="117" t="n">
        <v>2</v>
      </c>
      <c r="AW4" s="117" t="n">
        <v>6817.2</v>
      </c>
      <c r="AX4" s="121" t="n">
        <v>6817.2</v>
      </c>
      <c r="AY4" s="117" t="n">
        <v>1</v>
      </c>
      <c r="AZ4" s="121" t="n">
        <v>3408.6</v>
      </c>
      <c r="BA4" s="121" t="n">
        <v>0.486486486486487</v>
      </c>
      <c r="BB4" s="121" t="n">
        <v>1.05555555555556</v>
      </c>
      <c r="BC4" s="121" t="n">
        <v>0.513513513513513</v>
      </c>
      <c r="BD4" s="121" t="n">
        <v>0.526315789473684</v>
      </c>
      <c r="BE4" s="121" t="n">
        <v>0.526315789473684</v>
      </c>
      <c r="BF4" s="121" t="n">
        <v>0.2</v>
      </c>
      <c r="BG4" s="121" t="n">
        <v>0.0540540540540541</v>
      </c>
      <c r="BH4" s="67" t="n">
        <v>0.0540540540540541</v>
      </c>
      <c r="BI4" s="67" t="n">
        <v>19</v>
      </c>
      <c r="BJ4" s="67" t="n">
        <v>10</v>
      </c>
      <c r="BK4" s="117" t="n">
        <v>10</v>
      </c>
      <c r="BL4" s="117" t="n">
        <v>2071.20437154767</v>
      </c>
      <c r="BM4" s="117" t="n">
        <v>1619.22461870572</v>
      </c>
      <c r="BN4" s="117" t="n">
        <v>708.507751757899</v>
      </c>
      <c r="BO4" s="117" t="n">
        <v>298.809202108063</v>
      </c>
      <c r="BP4" s="117" t="n">
        <v>789.467386138543</v>
      </c>
      <c r="BQ4" s="117" t="n">
        <v>61961.2</v>
      </c>
      <c r="BR4" s="121" t="n">
        <v>128893.2</v>
      </c>
      <c r="BS4" s="117" t="n">
        <v>1</v>
      </c>
      <c r="BT4" s="117" t="n">
        <v>28227.9478339836</v>
      </c>
      <c r="BU4" s="117" t="n">
        <v>18070.0514548271</v>
      </c>
      <c r="BV4" s="117" t="n">
        <v>7996.78562497147</v>
      </c>
      <c r="BW4" s="117" t="n">
        <v>109227.742461277</v>
      </c>
      <c r="BX4" s="117" t="n">
        <v>106735.72170635</v>
      </c>
      <c r="BY4" s="122" t="n">
        <v>132802.558786149</v>
      </c>
      <c r="BZ4" s="122" t="n">
        <v>0.466566311420067</v>
      </c>
      <c r="CA4" s="122" t="n">
        <v>5004.26500210872</v>
      </c>
      <c r="CB4" s="122" t="n">
        <v>145452.475920232</v>
      </c>
      <c r="CC4" s="122" t="n">
        <v>0.886153358232876</v>
      </c>
      <c r="CD4" s="122" t="n">
        <v>147355.69029526</v>
      </c>
      <c r="CE4" s="39" t="n">
        <v>0.874707992217562</v>
      </c>
    </row>
    <row r="5" ht="24" customHeight="1">
      <c r="A5" s="63" t="n">
        <v>45842</v>
      </c>
      <c r="H5" s="73" t="n">
        <v>84508.5069891142</v>
      </c>
      <c r="I5" s="73" t="n">
        <v>81685.7233333333</v>
      </c>
      <c r="J5" s="73" t="n">
        <v>994.2177292836971</v>
      </c>
      <c r="K5" s="73" t="n">
        <v>85</v>
      </c>
      <c r="L5" s="73" t="n">
        <v>47</v>
      </c>
      <c r="M5" s="73" t="n">
        <v>49</v>
      </c>
      <c r="N5" s="73" t="n">
        <v>47</v>
      </c>
      <c r="O5" s="73" t="n">
        <v>34</v>
      </c>
      <c r="P5" s="73" t="n">
        <v>44</v>
      </c>
      <c r="Q5" s="73" t="n">
        <v>8</v>
      </c>
      <c r="R5" s="73" t="n">
        <v>16</v>
      </c>
      <c r="S5" s="73" t="n">
        <v>31304</v>
      </c>
      <c r="T5" s="73" t="n">
        <v>74108</v>
      </c>
      <c r="U5" s="73" t="n">
        <v>1</v>
      </c>
      <c r="V5" s="73" t="n">
        <v>4631.75</v>
      </c>
      <c r="W5" s="73" t="n">
        <v>0.552941176470588</v>
      </c>
      <c r="X5" s="73" t="n">
        <v>1</v>
      </c>
      <c r="Y5" s="73" t="n">
        <v>0.552941176470588</v>
      </c>
      <c r="Z5" s="73" t="n">
        <v>0.723404255319149</v>
      </c>
      <c r="AA5" s="73" t="n">
        <v>1</v>
      </c>
      <c r="AB5" s="73" t="n">
        <v>0.235294117647059</v>
      </c>
      <c r="AC5" s="73" t="n">
        <v>0.0941176470588235</v>
      </c>
      <c r="AD5" s="73" t="n">
        <v>0.188235294117647</v>
      </c>
      <c r="AE5" s="73" t="n">
        <v>106173.071033673</v>
      </c>
      <c r="AF5" s="73" t="n">
        <v>0.697992431400017</v>
      </c>
      <c r="AG5" s="73" t="n">
        <v>44</v>
      </c>
      <c r="AH5" s="73" t="n">
        <v>44</v>
      </c>
      <c r="AI5" s="73" t="n">
        <v>49</v>
      </c>
      <c r="AJ5" s="73" t="n">
        <v>3740.37403740374</v>
      </c>
      <c r="AK5" s="73" t="n">
        <v>5141.76465837448</v>
      </c>
      <c r="AL5" s="73" t="n">
        <v>7588.51744698472</v>
      </c>
      <c r="AM5" s="73" t="n">
        <v>874.972892313451</v>
      </c>
      <c r="AN5" s="73" t="n">
        <v>4318.93500948215</v>
      </c>
      <c r="AO5" s="73" t="n">
        <v>0</v>
      </c>
      <c r="AP5" s="73" t="n">
        <v>0</v>
      </c>
      <c r="AQ5" s="73" t="n">
        <v>0</v>
      </c>
      <c r="AR5" s="73" t="n">
        <v>0</v>
      </c>
      <c r="AS5" s="73" t="n">
        <v>0</v>
      </c>
      <c r="AT5" s="73" t="n">
        <v>0</v>
      </c>
      <c r="AU5" s="73" t="n">
        <v>0</v>
      </c>
      <c r="AV5" s="73" t="n">
        <v>0</v>
      </c>
      <c r="AW5" s="73" t="n">
        <v>0</v>
      </c>
      <c r="AX5" s="73" t="n">
        <v>0</v>
      </c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>
        <v>0</v>
      </c>
      <c r="BJ5" s="73" t="n">
        <v>0</v>
      </c>
      <c r="BK5" s="73" t="n">
        <v>0</v>
      </c>
      <c r="BL5" s="73" t="n">
        <v>0</v>
      </c>
      <c r="BM5" s="73" t="n">
        <v>0</v>
      </c>
      <c r="BN5" s="73" t="n">
        <v>0</v>
      </c>
      <c r="BO5" s="73" t="n">
        <v>0</v>
      </c>
      <c r="BP5" s="73" t="n">
        <v>0</v>
      </c>
      <c r="BQ5" s="73" t="n">
        <v>31304</v>
      </c>
      <c r="BR5" s="73" t="n">
        <v>74108</v>
      </c>
      <c r="BS5" s="73" t="n">
        <v>1</v>
      </c>
      <c r="BT5" s="73" t="n">
        <v>17924.1900071548</v>
      </c>
      <c r="BU5" s="73" t="n">
        <v>12273.575967294</v>
      </c>
      <c r="BV5" s="73" t="n">
        <v>3740.37403740374</v>
      </c>
      <c r="BW5" s="73" t="n">
        <v>84508.5069891142</v>
      </c>
      <c r="BX5" s="73" t="n">
        <v>83097.1151612238</v>
      </c>
      <c r="BY5" s="73" t="n">
        <v>99111.06516592159</v>
      </c>
      <c r="BZ5" s="123" t="n">
        <v>0.315847680050598</v>
      </c>
      <c r="CA5" s="123" t="n">
        <v>2822.78365578092</v>
      </c>
      <c r="CB5" s="73" t="n">
        <v>106173.071033673</v>
      </c>
      <c r="CC5" s="123" t="n">
        <v>0.697992431400017</v>
      </c>
      <c r="CD5" s="73" t="n">
        <v>108807.696996269</v>
      </c>
      <c r="CE5" s="73" t="n">
        <v>0.6810915224365161</v>
      </c>
    </row>
    <row r="6" ht="21" customFormat="1" customHeight="1" s="39">
      <c r="A6" s="63" t="n">
        <v>45873</v>
      </c>
      <c r="B6" s="85" t="n"/>
      <c r="C6" s="85" t="n"/>
      <c r="D6" s="85" t="n"/>
      <c r="E6" s="85" t="n"/>
      <c r="F6" s="85" t="n"/>
      <c r="G6" s="85" t="n"/>
      <c r="H6" s="85" t="n">
        <v>48555.1521102368</v>
      </c>
      <c r="I6" s="124" t="n">
        <v>46963.766148062</v>
      </c>
      <c r="J6" s="124" t="n">
        <v>851.844773863804</v>
      </c>
      <c r="K6" s="85" t="n">
        <v>57</v>
      </c>
      <c r="L6" s="85" t="n">
        <v>23</v>
      </c>
      <c r="M6" s="85" t="n">
        <v>27</v>
      </c>
      <c r="N6" s="85" t="n">
        <v>24</v>
      </c>
      <c r="O6" s="85" t="n">
        <v>18</v>
      </c>
      <c r="P6" s="85" t="n">
        <v>26</v>
      </c>
      <c r="Q6" s="85" t="n">
        <v>8</v>
      </c>
      <c r="R6" s="85" t="n">
        <v>9</v>
      </c>
      <c r="S6" s="124" t="n">
        <v>49804</v>
      </c>
      <c r="T6" s="124" t="n">
        <v>53392</v>
      </c>
      <c r="U6" s="125" t="n">
        <v>1</v>
      </c>
      <c r="V6" s="124" t="n">
        <v>5932.44444444444</v>
      </c>
      <c r="W6" s="125" t="n">
        <v>0.403508771929825</v>
      </c>
      <c r="X6" s="125" t="n">
        <v>1.04347826086957</v>
      </c>
      <c r="Y6" s="125" t="n">
        <v>0.421052631578947</v>
      </c>
      <c r="Z6" s="125" t="n">
        <v>0.75</v>
      </c>
      <c r="AA6" s="125" t="n">
        <v>1</v>
      </c>
      <c r="AB6" s="125" t="n">
        <v>0.444444444444444</v>
      </c>
      <c r="AC6" s="125" t="n">
        <v>0.140350877192982</v>
      </c>
      <c r="AD6" s="125" t="n">
        <v>0.157894736842105</v>
      </c>
      <c r="AE6" s="124" t="n">
        <v>67584.6932726575</v>
      </c>
      <c r="AF6" s="126" t="n">
        <v>0.790001365909884</v>
      </c>
      <c r="AG6" s="85" t="n">
        <v>26</v>
      </c>
      <c r="AH6" s="85" t="n">
        <v>26</v>
      </c>
      <c r="AI6" s="85" t="n">
        <v>31</v>
      </c>
      <c r="AJ6" s="124" t="n">
        <v>5954.43091152522</v>
      </c>
      <c r="AK6" s="124" t="n">
        <v>4183.89272337917</v>
      </c>
      <c r="AL6" s="124" t="n">
        <v>5714.21580441627</v>
      </c>
      <c r="AM6" s="124" t="n">
        <v>570</v>
      </c>
      <c r="AN6" s="85" t="n">
        <v>2607.0017231</v>
      </c>
      <c r="AO6" s="85" t="n">
        <v>0</v>
      </c>
      <c r="AP6" s="85" t="n">
        <v>0</v>
      </c>
      <c r="AQ6" s="85" t="n">
        <v>0</v>
      </c>
      <c r="AR6" s="85" t="n">
        <v>0</v>
      </c>
      <c r="AS6" s="85" t="n">
        <v>0</v>
      </c>
      <c r="AT6" s="85" t="n">
        <v>0</v>
      </c>
      <c r="AU6" s="85" t="n">
        <v>0</v>
      </c>
      <c r="AV6" s="124" t="n">
        <v>0</v>
      </c>
      <c r="AW6" s="124" t="n">
        <v>0</v>
      </c>
      <c r="AX6" s="125" t="n">
        <v>0</v>
      </c>
      <c r="AY6" s="124" t="n"/>
      <c r="AZ6" s="125" t="n"/>
      <c r="BA6" s="125" t="n"/>
      <c r="BB6" s="125" t="n"/>
      <c r="BC6" s="125" t="n"/>
      <c r="BD6" s="125" t="n"/>
      <c r="BE6" s="125" t="n"/>
      <c r="BF6" s="125" t="n"/>
      <c r="BG6" s="125" t="n"/>
      <c r="BH6" s="85" t="n"/>
      <c r="BI6" s="85" t="n">
        <v>0</v>
      </c>
      <c r="BJ6" s="85" t="n">
        <v>0</v>
      </c>
      <c r="BK6" s="124" t="n">
        <v>0</v>
      </c>
      <c r="BL6" s="124" t="n">
        <v>0</v>
      </c>
      <c r="BM6" s="124" t="n">
        <v>0</v>
      </c>
      <c r="BN6" s="124" t="n">
        <v>0</v>
      </c>
      <c r="BO6" s="124" t="n">
        <v>0</v>
      </c>
      <c r="BP6" s="124" t="n">
        <v>0</v>
      </c>
      <c r="BQ6" s="124" t="n">
        <v>49804</v>
      </c>
      <c r="BR6" s="125" t="n">
        <v>53392</v>
      </c>
      <c r="BS6" s="124" t="n">
        <v>1</v>
      </c>
      <c r="BT6" s="124" t="n">
        <v>13075.1102508954</v>
      </c>
      <c r="BU6" s="124" t="n">
        <v>11146.2076976959</v>
      </c>
      <c r="BV6" s="124" t="n">
        <v>5954.43091152522</v>
      </c>
      <c r="BW6" s="124" t="n">
        <v>48555.1521102368</v>
      </c>
      <c r="BX6" s="124" t="n">
        <v>48378.331447773</v>
      </c>
      <c r="BY6" s="126" t="n">
        <v>65478.9700569941</v>
      </c>
      <c r="BZ6" s="126" t="n">
        <v>0.760610619816556</v>
      </c>
      <c r="CA6" s="126" t="n">
        <v>1591.38596217484</v>
      </c>
      <c r="CB6" s="126" t="n">
        <v>67584.6932726575</v>
      </c>
      <c r="CC6" s="126" t="n">
        <v>0.790001365909884</v>
      </c>
      <c r="CD6" s="126" t="n">
        <v>65905.26236113231</v>
      </c>
      <c r="CE6" s="39" t="n">
        <v>0.810132576476746</v>
      </c>
    </row>
    <row r="7" ht="21" customFormat="1" customHeight="1" s="39">
      <c r="A7" s="63" t="n">
        <v>45904</v>
      </c>
      <c r="B7" s="85" t="n"/>
      <c r="C7" s="85" t="n"/>
      <c r="D7" s="85" t="n"/>
      <c r="E7" s="85" t="n"/>
      <c r="F7" s="85" t="n"/>
      <c r="G7" s="85" t="n"/>
      <c r="H7" s="107" t="n">
        <v>22183.3866216607</v>
      </c>
      <c r="I7" s="118">
        <f>H7-CA7</f>
        <v/>
      </c>
      <c r="J7" s="107" t="n">
        <v>693.230831926898</v>
      </c>
      <c r="K7" s="57" t="n">
        <v>32</v>
      </c>
      <c r="L7" s="57" t="n">
        <v>9</v>
      </c>
      <c r="M7" s="57" t="n">
        <v>9</v>
      </c>
      <c r="N7" s="57" t="n">
        <v>9</v>
      </c>
      <c r="O7" s="57" t="n">
        <v>5</v>
      </c>
      <c r="P7" s="57" t="n">
        <v>10</v>
      </c>
      <c r="Q7" s="57" t="n">
        <v>1</v>
      </c>
      <c r="R7" s="57" t="n">
        <v>2</v>
      </c>
      <c r="S7" s="107" t="n">
        <v>3588</v>
      </c>
      <c r="T7" s="107" t="n">
        <v>7176</v>
      </c>
      <c r="U7" s="108" t="n">
        <v>1</v>
      </c>
      <c r="V7" s="107" t="n">
        <v>3588</v>
      </c>
      <c r="W7" s="108" t="n">
        <v>0.28125</v>
      </c>
      <c r="X7" s="108" t="n">
        <v>1</v>
      </c>
      <c r="Y7" s="108" t="n">
        <v>0.28125</v>
      </c>
      <c r="Z7" s="108" t="n">
        <v>0.555555555555556</v>
      </c>
      <c r="AA7" s="108" t="n">
        <v>1</v>
      </c>
      <c r="AB7" s="108" t="n">
        <v>0.2</v>
      </c>
      <c r="AC7" s="108" t="n">
        <v>0.03125</v>
      </c>
      <c r="AD7" s="108" t="n">
        <v>0.0625</v>
      </c>
      <c r="AE7" s="107" t="n">
        <v>28054.1516173182</v>
      </c>
      <c r="AF7" s="109" t="n">
        <v>0.255791017952942</v>
      </c>
      <c r="AG7" s="57" t="n">
        <v>10</v>
      </c>
      <c r="AH7" s="57" t="n">
        <v>10</v>
      </c>
      <c r="AI7" s="57" t="n">
        <v>12</v>
      </c>
      <c r="AJ7" s="107" t="n">
        <v>2424.6027931934</v>
      </c>
      <c r="AK7" s="107" t="n">
        <v>1301.3028906574</v>
      </c>
      <c r="AL7" s="107" t="n">
        <v>805.70369061739</v>
      </c>
      <c r="AM7" s="107" t="n">
        <v>320</v>
      </c>
      <c r="AN7" s="107" t="n">
        <v>1019.15562118925</v>
      </c>
      <c r="AO7" s="57" t="n">
        <v>0</v>
      </c>
      <c r="AP7" s="57" t="n">
        <v>0</v>
      </c>
      <c r="AQ7" s="57" t="n">
        <v>0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107" t="n">
        <v>0</v>
      </c>
      <c r="AX7" s="107" t="n">
        <v>0</v>
      </c>
      <c r="AY7" s="108" t="n"/>
      <c r="AZ7" s="107" t="n"/>
      <c r="BA7" s="108" t="n"/>
      <c r="BB7" s="108" t="n"/>
      <c r="BC7" s="108" t="n"/>
      <c r="BD7" s="108" t="n"/>
      <c r="BE7" s="108" t="n"/>
      <c r="BF7" s="108" t="n"/>
      <c r="BG7" s="108" t="n"/>
      <c r="BH7" s="108" t="n"/>
      <c r="BI7" s="57" t="n">
        <v>0</v>
      </c>
      <c r="BJ7" s="57" t="n">
        <v>0</v>
      </c>
      <c r="BK7" s="57" t="n">
        <v>0</v>
      </c>
      <c r="BL7" s="107" t="n">
        <v>0</v>
      </c>
      <c r="BM7" s="107" t="n">
        <v>0</v>
      </c>
      <c r="BN7" s="107" t="n">
        <v>0</v>
      </c>
      <c r="BO7" s="107" t="n">
        <v>0</v>
      </c>
      <c r="BP7" s="107" t="n">
        <v>0</v>
      </c>
      <c r="BQ7" s="107" t="n">
        <v>3588</v>
      </c>
      <c r="BR7" s="107" t="n">
        <v>7176</v>
      </c>
      <c r="BS7" s="108" t="n">
        <v>1</v>
      </c>
      <c r="BT7" s="107" t="n">
        <v>3446.16220246404</v>
      </c>
      <c r="BU7" s="107" t="n">
        <v>2533.73254656072</v>
      </c>
      <c r="BV7" s="107" t="n">
        <v>2424.6027931934</v>
      </c>
      <c r="BW7" s="107" t="n">
        <v>22183.3866216607</v>
      </c>
      <c r="BX7" s="107" t="n">
        <v>22004.7474845938</v>
      </c>
      <c r="BY7" s="107" t="n">
        <v>26963.0828243479</v>
      </c>
      <c r="BZ7" s="109" t="n">
        <v>0.133070837017197</v>
      </c>
      <c r="CA7" s="118" t="n">
        <v>357.278274133822</v>
      </c>
      <c r="CB7" s="107" t="n">
        <v>28054.1516173182</v>
      </c>
      <c r="CC7" s="109" t="n">
        <v>0.255791017952942</v>
      </c>
      <c r="CD7" s="107" t="n">
        <v>28029.5488241248</v>
      </c>
      <c r="CE7" s="109" t="n">
        <v>0.256015537211348</v>
      </c>
    </row>
    <row r="8" ht="21" customFormat="1" customHeight="1" s="39">
      <c r="A8" s="63" t="n">
        <v>45931</v>
      </c>
      <c r="B8" s="85" t="n"/>
      <c r="C8" s="85" t="n"/>
      <c r="D8" s="85" t="n"/>
      <c r="E8" s="85" t="n"/>
      <c r="F8" s="85" t="n"/>
      <c r="G8" s="85" t="n"/>
      <c r="H8" s="107" t="n">
        <v>14376.3359175547</v>
      </c>
      <c r="I8" s="118">
        <f>H8-CA8</f>
        <v/>
      </c>
      <c r="J8" s="107" t="n">
        <v>898.52099484717</v>
      </c>
      <c r="K8" s="57" t="n">
        <v>16</v>
      </c>
      <c r="L8" s="57" t="n">
        <v>1</v>
      </c>
      <c r="M8" s="57" t="n">
        <v>1</v>
      </c>
      <c r="N8" s="57" t="n">
        <v>1</v>
      </c>
      <c r="O8" s="57" t="n">
        <v>1</v>
      </c>
      <c r="P8" s="57" t="n">
        <v>2</v>
      </c>
      <c r="Q8" s="57" t="n">
        <v>0</v>
      </c>
      <c r="R8" s="57" t="n">
        <v>1</v>
      </c>
      <c r="S8" s="107" t="n">
        <v>0</v>
      </c>
      <c r="T8" s="107" t="n">
        <v>5888</v>
      </c>
      <c r="U8" s="108" t="n">
        <v>1</v>
      </c>
      <c r="V8" s="107" t="n">
        <v>5888</v>
      </c>
      <c r="W8" s="108" t="n">
        <v>0.0625</v>
      </c>
      <c r="X8" s="108" t="n">
        <v>1</v>
      </c>
      <c r="Y8" s="108" t="n">
        <v>0.0625</v>
      </c>
      <c r="Z8" s="108" t="n">
        <v>1</v>
      </c>
      <c r="AA8" s="108" t="n">
        <v>1</v>
      </c>
      <c r="AB8" s="108" t="n">
        <v>0</v>
      </c>
      <c r="AC8" s="108" t="n">
        <v>0</v>
      </c>
      <c r="AD8" s="108" t="n">
        <v>0.0625</v>
      </c>
      <c r="AE8" s="107" t="n">
        <v>16495.5600809421</v>
      </c>
      <c r="AF8" s="109" t="n">
        <v>0.356944533626512</v>
      </c>
      <c r="AG8" s="57" t="n">
        <v>2</v>
      </c>
      <c r="AH8" s="57" t="n">
        <v>2</v>
      </c>
      <c r="AI8" s="57" t="n">
        <v>2</v>
      </c>
      <c r="AJ8" s="107" t="n">
        <v>999.755045370035</v>
      </c>
      <c r="AK8" s="107" t="n">
        <v>142.247361262938</v>
      </c>
      <c r="AL8" s="107" t="n">
        <v>647.68994851691</v>
      </c>
      <c r="AM8" s="107" t="n">
        <v>160</v>
      </c>
      <c r="AN8" s="107" t="n">
        <v>169.531808237538</v>
      </c>
      <c r="AO8" s="57" t="n">
        <v>0</v>
      </c>
      <c r="AP8" s="57" t="n">
        <v>0</v>
      </c>
      <c r="AQ8" s="57" t="n">
        <v>0</v>
      </c>
      <c r="AR8" s="57" t="n">
        <v>0</v>
      </c>
      <c r="AS8" s="57" t="n">
        <v>0</v>
      </c>
      <c r="AT8" s="57" t="n">
        <v>0</v>
      </c>
      <c r="AU8" s="57" t="n">
        <v>0</v>
      </c>
      <c r="AV8" s="57" t="n">
        <v>0</v>
      </c>
      <c r="AW8" s="107" t="n">
        <v>0</v>
      </c>
      <c r="AX8" s="107" t="n">
        <v>0</v>
      </c>
      <c r="AY8" s="108" t="n"/>
      <c r="AZ8" s="107" t="n"/>
      <c r="BA8" s="108" t="n"/>
      <c r="BB8" s="108" t="n"/>
      <c r="BC8" s="108" t="n"/>
      <c r="BD8" s="108" t="n"/>
      <c r="BE8" s="108" t="n"/>
      <c r="BF8" s="108" t="n"/>
      <c r="BG8" s="108" t="n"/>
      <c r="BH8" s="108" t="n"/>
      <c r="BI8" s="57" t="n">
        <v>0</v>
      </c>
      <c r="BJ8" s="57" t="n">
        <v>0</v>
      </c>
      <c r="BK8" s="57" t="n">
        <v>0</v>
      </c>
      <c r="BL8" s="107" t="n">
        <v>0</v>
      </c>
      <c r="BM8" s="107" t="n">
        <v>0</v>
      </c>
      <c r="BN8" s="107" t="n">
        <v>0</v>
      </c>
      <c r="BO8" s="107" t="n">
        <v>0</v>
      </c>
      <c r="BP8" s="107" t="n">
        <v>0</v>
      </c>
      <c r="BQ8" s="107" t="n">
        <v>0</v>
      </c>
      <c r="BR8" s="107" t="n">
        <v>5888</v>
      </c>
      <c r="BS8" s="108" t="n">
        <v>1</v>
      </c>
      <c r="BT8" s="107" t="n">
        <v>1119.46911801739</v>
      </c>
      <c r="BU8" s="107" t="n">
        <v>387.013265381707</v>
      </c>
      <c r="BV8" s="107" t="n">
        <v>999.755045370035</v>
      </c>
      <c r="BW8" s="107" t="n">
        <v>14376.3359175547</v>
      </c>
      <c r="BX8" s="107" t="n">
        <v>14197.6967804878</v>
      </c>
      <c r="BY8" s="107" t="n">
        <v>15584.4650912395</v>
      </c>
      <c r="BZ8" s="109" t="n">
        <v>0</v>
      </c>
      <c r="CA8" s="118" t="n">
        <v>178.639137066911</v>
      </c>
      <c r="CB8" s="107" t="n">
        <v>16495.5600809421</v>
      </c>
      <c r="CC8" s="109" t="n">
        <v>0.356944533626512</v>
      </c>
      <c r="CD8" s="107" t="n">
        <v>16695.8050355721</v>
      </c>
      <c r="CE8" s="109" t="n">
        <v>0.352663437759067</v>
      </c>
    </row>
    <row r="9" hidden="1" ht="21" customFormat="1" customHeight="1" s="39">
      <c r="A9" s="63" t="n">
        <v>45962</v>
      </c>
      <c r="B9" s="85" t="n"/>
      <c r="C9" s="85" t="n"/>
      <c r="D9" s="85" t="n"/>
      <c r="E9" s="85" t="n"/>
      <c r="F9" s="85" t="n"/>
      <c r="G9" s="85" t="n"/>
      <c r="H9" s="107" t="n"/>
      <c r="I9" s="118" t="n"/>
      <c r="J9" s="107" t="n"/>
      <c r="K9" s="57" t="n"/>
      <c r="L9" s="57" t="n"/>
      <c r="M9" s="57" t="n"/>
      <c r="N9" s="57" t="n"/>
      <c r="O9" s="57" t="n"/>
      <c r="P9" s="57" t="n"/>
      <c r="Q9" s="57" t="n"/>
      <c r="R9" s="57" t="n"/>
      <c r="S9" s="107" t="n"/>
      <c r="T9" s="107" t="n"/>
      <c r="U9" s="108" t="n"/>
      <c r="V9" s="107" t="n"/>
      <c r="W9" s="108" t="n"/>
      <c r="X9" s="108" t="n"/>
      <c r="Y9" s="108" t="n"/>
      <c r="Z9" s="108" t="n"/>
      <c r="AA9" s="108" t="n"/>
      <c r="AB9" s="108" t="n"/>
      <c r="AC9" s="108" t="n"/>
      <c r="AD9" s="108" t="n"/>
      <c r="AE9" s="107" t="n"/>
      <c r="AF9" s="109" t="n"/>
      <c r="AG9" s="57" t="n"/>
      <c r="AH9" s="57" t="n"/>
      <c r="AI9" s="57" t="n"/>
      <c r="AJ9" s="107" t="n"/>
      <c r="AK9" s="107" t="n"/>
      <c r="AL9" s="107" t="n"/>
      <c r="AM9" s="107" t="n"/>
      <c r="AN9" s="107" t="n"/>
      <c r="AO9" s="57" t="n"/>
      <c r="AP9" s="57" t="n"/>
      <c r="AQ9" s="57" t="n"/>
      <c r="AR9" s="57" t="n"/>
      <c r="AS9" s="57" t="n"/>
      <c r="AT9" s="57" t="n"/>
      <c r="AU9" s="57" t="n"/>
      <c r="AV9" s="57" t="n"/>
      <c r="AW9" s="107" t="n"/>
      <c r="AX9" s="107" t="n"/>
      <c r="AY9" s="108" t="n"/>
      <c r="AZ9" s="107" t="n"/>
      <c r="BA9" s="108" t="n"/>
      <c r="BB9" s="108" t="n"/>
      <c r="BC9" s="108" t="n"/>
      <c r="BD9" s="108" t="n"/>
      <c r="BE9" s="108" t="n"/>
      <c r="BF9" s="108" t="n"/>
      <c r="BG9" s="108" t="n"/>
      <c r="BH9" s="108" t="n"/>
      <c r="BI9" s="57" t="n"/>
      <c r="BJ9" s="57" t="n"/>
      <c r="BK9" s="57" t="n"/>
      <c r="BL9" s="107" t="n"/>
      <c r="BM9" s="107" t="n"/>
      <c r="BN9" s="107" t="n"/>
      <c r="BO9" s="107" t="n"/>
      <c r="BP9" s="107" t="n"/>
      <c r="BQ9" s="107" t="n"/>
      <c r="BR9" s="107" t="n"/>
      <c r="BS9" s="108" t="n"/>
      <c r="BT9" s="107" t="n"/>
      <c r="BU9" s="107" t="n"/>
      <c r="BV9" s="107" t="n"/>
      <c r="BW9" s="107" t="n"/>
      <c r="BX9" s="107" t="n"/>
      <c r="BY9" s="107" t="n"/>
      <c r="BZ9" s="109" t="n"/>
      <c r="CA9" s="118" t="n"/>
      <c r="CB9" s="107" t="n"/>
      <c r="CC9" s="109" t="n"/>
      <c r="CD9" s="107" t="n"/>
      <c r="CE9" s="109" t="n"/>
    </row>
    <row r="10" ht="30" customFormat="1" customHeight="1" s="40">
      <c r="A10" s="40" t="inlineStr">
        <is>
          <t>陈山聪-汇总</t>
        </is>
      </c>
      <c r="B10" s="57" t="n"/>
      <c r="C10" s="57" t="n"/>
      <c r="D10" s="57" t="n"/>
      <c r="E10" s="57" t="n"/>
      <c r="F10" s="57" t="n"/>
      <c r="G10" s="57" t="n"/>
      <c r="H10" s="107">
        <f>SUM(H3:H9)</f>
        <v/>
      </c>
      <c r="I10" s="107">
        <f>SUM(I3:I9)</f>
        <v/>
      </c>
      <c r="J10" s="107">
        <f>I10/K10</f>
        <v/>
      </c>
      <c r="K10" s="57">
        <f>SUM(K3:K9)</f>
        <v/>
      </c>
      <c r="L10" s="57">
        <f>SUM(L3:L9)</f>
        <v/>
      </c>
      <c r="M10" s="57">
        <f>SUM(M3:M9)</f>
        <v/>
      </c>
      <c r="N10" s="57">
        <f>SUM(N3:N9)</f>
        <v/>
      </c>
      <c r="O10" s="57">
        <f>SUM(O3:O9)</f>
        <v/>
      </c>
      <c r="P10" s="57">
        <f>SUM(P3:P9)</f>
        <v/>
      </c>
      <c r="Q10" s="57">
        <f>SUM(Q3:Q9)</f>
        <v/>
      </c>
      <c r="R10" s="57">
        <f>SUM(R3:R9)</f>
        <v/>
      </c>
      <c r="S10" s="107">
        <f>SUM(S3:S9)</f>
        <v/>
      </c>
      <c r="T10" s="107">
        <f>SUM(T3:T9)</f>
        <v/>
      </c>
      <c r="U10" s="57" t="n"/>
      <c r="V10" s="107">
        <f>T10/R10</f>
        <v/>
      </c>
      <c r="W10" s="61">
        <f>L10/K10</f>
        <v/>
      </c>
      <c r="X10" s="61">
        <f>N10/L10</f>
        <v/>
      </c>
      <c r="Y10" s="61">
        <f>N10/K10</f>
        <v/>
      </c>
      <c r="Z10" s="61">
        <f>O10/N10</f>
        <v/>
      </c>
      <c r="AA10" s="61">
        <f>AVERAGE(AA3:AA9)</f>
        <v/>
      </c>
      <c r="AB10" s="61">
        <f>Q10/O10</f>
        <v/>
      </c>
      <c r="AC10" s="61">
        <f>Q10/K10</f>
        <v/>
      </c>
      <c r="AD10" s="61">
        <f>R10/K10</f>
        <v/>
      </c>
      <c r="AE10" s="107">
        <f>SUM(AE3:AE9)</f>
        <v/>
      </c>
      <c r="AF10" s="109">
        <f>T10/AE10</f>
        <v/>
      </c>
      <c r="AG10" s="57">
        <f>SUM(AG3:AG9)</f>
        <v/>
      </c>
      <c r="AH10" s="57">
        <f>SUM(AH3:AH9)</f>
        <v/>
      </c>
      <c r="AI10" s="57">
        <f>SUM(AI3:AI9)</f>
        <v/>
      </c>
      <c r="AJ10" s="107">
        <f>SUM(AJ3:AJ9)</f>
        <v/>
      </c>
      <c r="AK10" s="107">
        <f>SUM(AK3:AK9)</f>
        <v/>
      </c>
      <c r="AL10" s="107">
        <f>SUM(AL3:AL9)</f>
        <v/>
      </c>
      <c r="AM10" s="107">
        <f>SUM(AM3:AM9)</f>
        <v/>
      </c>
      <c r="AN10" s="107">
        <f>SUM(AN3:AN9)</f>
        <v/>
      </c>
      <c r="AO10" s="57">
        <f>SUM(AO3:AO9)</f>
        <v/>
      </c>
      <c r="AP10" s="57">
        <f>SUM(AP3:AP9)</f>
        <v/>
      </c>
      <c r="AQ10" s="57" t="n"/>
      <c r="AR10" s="57">
        <f>SUM(AR3:AR9)</f>
        <v/>
      </c>
      <c r="AS10" s="57">
        <f>SUM(AS3:AS9)</f>
        <v/>
      </c>
      <c r="AT10" s="57">
        <f>SUM(AT3:AT9)</f>
        <v/>
      </c>
      <c r="AU10" s="57">
        <f>SUM(AU3:AU9)</f>
        <v/>
      </c>
      <c r="AV10" s="57">
        <f>SUM(AV3:AV9)</f>
        <v/>
      </c>
      <c r="AW10" s="107">
        <f>SUM(AW3:AW9)</f>
        <v/>
      </c>
      <c r="AX10" s="107">
        <f>SUM(AX3:AX9)</f>
        <v/>
      </c>
      <c r="AY10" s="107" t="n"/>
      <c r="AZ10" s="107">
        <f>AX10/AV10</f>
        <v/>
      </c>
      <c r="BA10" s="62">
        <f>AP10/AO10</f>
        <v/>
      </c>
      <c r="BB10" s="62">
        <f>AR10/AP10</f>
        <v/>
      </c>
      <c r="BC10" s="62">
        <f>AR10/AO10</f>
        <v/>
      </c>
      <c r="BD10" s="62">
        <f>AS10/AR10</f>
        <v/>
      </c>
      <c r="BE10" s="62">
        <f>AVERAGE(BE3:BE9)</f>
        <v/>
      </c>
      <c r="BF10" s="62">
        <f>AU10/AS10</f>
        <v/>
      </c>
      <c r="BG10" s="62">
        <f>AU10/AO10</f>
        <v/>
      </c>
      <c r="BH10" s="62">
        <f>AV10/AO10</f>
        <v/>
      </c>
      <c r="BI10" s="57">
        <f>SUM(BI3:BI9)</f>
        <v/>
      </c>
      <c r="BJ10" s="57">
        <f>SUM(BJ3:BJ9)</f>
        <v/>
      </c>
      <c r="BK10" s="57">
        <f>SUM(BK3:BK9)</f>
        <v/>
      </c>
      <c r="BL10" s="107">
        <f>SUM(BL3:BL9)</f>
        <v/>
      </c>
      <c r="BM10" s="107">
        <f>SUM(BM3:BM9)</f>
        <v/>
      </c>
      <c r="BN10" s="107">
        <f>SUM(BN3:BN9)</f>
        <v/>
      </c>
      <c r="BO10" s="57">
        <f>SUM(BO3:BO9)</f>
        <v/>
      </c>
      <c r="BP10" s="57">
        <f>SUM(BP3:BP9)</f>
        <v/>
      </c>
      <c r="BQ10" s="107">
        <f>SUM(BQ3:BQ9)</f>
        <v/>
      </c>
      <c r="BR10" s="107">
        <f>SUM(BR3:BR9)</f>
        <v/>
      </c>
      <c r="BS10" s="107" t="n"/>
      <c r="BT10" s="107">
        <f>SUM(BT3:BT9)</f>
        <v/>
      </c>
      <c r="BU10" s="107">
        <f>SUM(BU3:BU9)</f>
        <v/>
      </c>
      <c r="BV10" s="107">
        <f>SUM(BV3:BV9)</f>
        <v/>
      </c>
      <c r="BW10" s="107">
        <f>SUM(BW3:BW9)</f>
        <v/>
      </c>
      <c r="BX10" s="107">
        <f>SUM(BX3:BX9)</f>
        <v/>
      </c>
      <c r="BY10" s="107">
        <f>SUM(BY3:BY9)</f>
        <v/>
      </c>
      <c r="BZ10" s="109">
        <f>BQ10/BY10</f>
        <v/>
      </c>
      <c r="CA10" s="107">
        <f>SUM(CA3:CA9)</f>
        <v/>
      </c>
      <c r="CB10" s="107">
        <f>SUM(CB3:CB9)</f>
        <v/>
      </c>
      <c r="CC10" s="109">
        <f>BR10/CB10</f>
        <v/>
      </c>
      <c r="CD10" s="107">
        <f>SUM(CD3:CD9)</f>
        <v/>
      </c>
      <c r="CE10" s="109">
        <f>BR10/CD10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FD9"/>
  <sheetViews>
    <sheetView zoomScale="80" zoomScaleNormal="80" workbookViewId="0">
      <selection activeCell="A24" sqref="A24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45811</v>
      </c>
      <c r="B3" s="67" t="n"/>
      <c r="C3" s="67" t="n"/>
      <c r="D3" s="67" t="n"/>
      <c r="E3" s="67" t="n"/>
      <c r="F3" s="67" t="n"/>
      <c r="G3" s="67" t="n"/>
      <c r="H3" s="67" t="n">
        <v>175980.485374133</v>
      </c>
      <c r="I3" s="117" t="n">
        <v>168939.315069462</v>
      </c>
      <c r="J3" s="117" t="n">
        <v>687.036612838896</v>
      </c>
      <c r="K3" s="67" t="n">
        <v>256</v>
      </c>
      <c r="L3" s="67" t="n">
        <v>137</v>
      </c>
      <c r="M3" s="67" t="n">
        <v>137</v>
      </c>
      <c r="N3" s="67" t="n">
        <v>141</v>
      </c>
      <c r="O3" s="67" t="n">
        <v>103</v>
      </c>
      <c r="P3" s="67" t="n">
        <v>103</v>
      </c>
      <c r="Q3" s="67" t="n">
        <v>39</v>
      </c>
      <c r="R3" s="67" t="n">
        <v>39</v>
      </c>
      <c r="S3" s="117" t="n">
        <v>190732</v>
      </c>
      <c r="T3" s="117" t="n">
        <v>190732</v>
      </c>
      <c r="U3" s="121" t="n">
        <v>1</v>
      </c>
      <c r="V3" s="117" t="n">
        <v>4890.5641025641</v>
      </c>
      <c r="W3" s="121" t="n">
        <v>0.53515625</v>
      </c>
      <c r="X3" s="121" t="n">
        <v>1.02919708029197</v>
      </c>
      <c r="Y3" s="121" t="n">
        <v>0.55078125</v>
      </c>
      <c r="Z3" s="121" t="n">
        <v>0.7304964539007091</v>
      </c>
      <c r="AA3" s="121" t="n">
        <v>0.962616822429907</v>
      </c>
      <c r="AB3" s="121" t="n">
        <v>0.378640776699029</v>
      </c>
      <c r="AC3" s="121" t="n">
        <v>0.15234375</v>
      </c>
      <c r="AD3" s="121" t="n">
        <v>0.15234375</v>
      </c>
      <c r="AE3" s="117" t="n">
        <v>237742.640634797</v>
      </c>
      <c r="AF3" s="122" t="n">
        <v>0.802262477991859</v>
      </c>
      <c r="AG3" s="67" t="n">
        <v>107</v>
      </c>
      <c r="AH3" s="67" t="n">
        <v>103</v>
      </c>
      <c r="AI3" s="67" t="n">
        <v>116</v>
      </c>
      <c r="AJ3" s="117" t="n">
        <v>15967.8821144894</v>
      </c>
      <c r="AK3" s="117" t="n">
        <v>15396.8061625889</v>
      </c>
      <c r="AL3" s="117" t="n">
        <v>18411.9868256346</v>
      </c>
      <c r="AM3" s="117" t="n">
        <v>2067.43664161254</v>
      </c>
      <c r="AN3" s="67" t="n">
        <v>10017.1560037139</v>
      </c>
      <c r="AO3" s="67" t="n">
        <v>135</v>
      </c>
      <c r="AP3" s="67" t="n">
        <v>46</v>
      </c>
      <c r="AQ3" s="67" t="n">
        <v>46</v>
      </c>
      <c r="AR3" s="67" t="n">
        <v>46</v>
      </c>
      <c r="AS3" s="67" t="n">
        <v>24</v>
      </c>
      <c r="AT3" s="67" t="n">
        <v>24</v>
      </c>
      <c r="AU3" s="67" t="n">
        <v>1</v>
      </c>
      <c r="AV3" s="117" t="n">
        <v>1</v>
      </c>
      <c r="AW3" s="117" t="n">
        <v>3588</v>
      </c>
      <c r="AX3" s="121" t="n">
        <v>3588</v>
      </c>
      <c r="AY3" s="117" t="n">
        <v>1</v>
      </c>
      <c r="AZ3" s="121" t="n">
        <v>3588</v>
      </c>
      <c r="BA3" s="121" t="n">
        <v>0.340740740740741</v>
      </c>
      <c r="BB3" s="121" t="n">
        <v>1</v>
      </c>
      <c r="BC3" s="121" t="n">
        <v>0.340740740740741</v>
      </c>
      <c r="BD3" s="121" t="n">
        <v>0.521739130434783</v>
      </c>
      <c r="BE3" s="121" t="n">
        <v>0.521739130434783</v>
      </c>
      <c r="BF3" s="121" t="n">
        <v>0.0416666666666667</v>
      </c>
      <c r="BG3" s="121" t="n">
        <v>0.00740740740740741</v>
      </c>
      <c r="BH3" s="67" t="n">
        <v>0.00740740740740741</v>
      </c>
      <c r="BI3" s="67" t="n">
        <v>46</v>
      </c>
      <c r="BJ3" s="67" t="n">
        <v>24</v>
      </c>
      <c r="BK3" s="117" t="n">
        <v>24</v>
      </c>
      <c r="BL3" s="117" t="n">
        <v>7557.09703132258</v>
      </c>
      <c r="BM3" s="117" t="n">
        <v>4138.01847002573</v>
      </c>
      <c r="BN3" s="117" t="n">
        <v>372.898816714684</v>
      </c>
      <c r="BO3" s="117" t="n">
        <v>1090.24979147536</v>
      </c>
      <c r="BP3" s="117" t="n">
        <v>1894.7217267325</v>
      </c>
      <c r="BQ3" s="117" t="n">
        <v>194320</v>
      </c>
      <c r="BR3" s="121" t="n">
        <v>194320</v>
      </c>
      <c r="BS3" s="117" t="n">
        <v>1</v>
      </c>
      <c r="BT3" s="117" t="n">
        <v>53389.2744384981</v>
      </c>
      <c r="BU3" s="117" t="n">
        <v>53389.2744384981</v>
      </c>
      <c r="BV3" s="117" t="n">
        <v>23524.979145812</v>
      </c>
      <c r="BW3" s="117" t="n">
        <v>175980.485374133</v>
      </c>
      <c r="BX3" s="117" t="n">
        <v>175980.485374133</v>
      </c>
      <c r="BY3" s="122" t="n">
        <v>252894.738958443</v>
      </c>
      <c r="BZ3" s="122" t="n">
        <v>0.768382928013113</v>
      </c>
      <c r="CA3" s="122" t="n">
        <v>7041.17030467051</v>
      </c>
      <c r="CB3" s="122" t="n">
        <v>252894.738958443</v>
      </c>
      <c r="CC3" s="122" t="n">
        <v>0.768382928013113</v>
      </c>
      <c r="CD3" s="122" t="n">
        <v>258694.759812631</v>
      </c>
      <c r="CE3" s="39" t="n">
        <v>0.751155532260273</v>
      </c>
    </row>
    <row r="4" ht="16.5" customFormat="1" customHeight="1" s="39">
      <c r="A4" s="63" t="n">
        <v>45842</v>
      </c>
      <c r="B4" s="67" t="n"/>
      <c r="C4" s="67" t="n"/>
      <c r="D4" s="67" t="n"/>
      <c r="E4" s="67" t="n"/>
      <c r="F4" s="67" t="n"/>
      <c r="G4" s="67" t="n"/>
      <c r="H4" s="67" t="n">
        <v>160446.995274816</v>
      </c>
      <c r="I4" s="117" t="n">
        <v>153115.1</v>
      </c>
      <c r="J4" s="117" t="n">
        <v>921.543006424934</v>
      </c>
      <c r="K4" s="67" t="n">
        <v>174</v>
      </c>
      <c r="L4" s="67" t="n">
        <v>105</v>
      </c>
      <c r="M4" s="67" t="n">
        <v>109</v>
      </c>
      <c r="N4" s="67" t="n">
        <v>113</v>
      </c>
      <c r="O4" s="67" t="n">
        <v>89</v>
      </c>
      <c r="P4" s="67" t="n">
        <v>105</v>
      </c>
      <c r="Q4" s="67" t="n">
        <v>33</v>
      </c>
      <c r="R4" s="67" t="n">
        <v>41</v>
      </c>
      <c r="S4" s="117" t="n">
        <v>148304</v>
      </c>
      <c r="T4" s="117" t="n">
        <v>185408</v>
      </c>
      <c r="U4" s="121" t="n">
        <v>1</v>
      </c>
      <c r="V4" s="117" t="n">
        <v>4522.14634146341</v>
      </c>
      <c r="W4" s="121" t="n">
        <v>0.603448275862069</v>
      </c>
      <c r="X4" s="121" t="n">
        <v>1.07619047619048</v>
      </c>
      <c r="Y4" s="121" t="n">
        <v>0.649425287356322</v>
      </c>
      <c r="Z4" s="121" t="n">
        <v>0.787610619469027</v>
      </c>
      <c r="AA4" s="121" t="n">
        <v>0.9375</v>
      </c>
      <c r="AB4" s="121" t="n">
        <v>0.370786516853933</v>
      </c>
      <c r="AC4" s="121" t="n">
        <v>0.189655172413793</v>
      </c>
      <c r="AD4" s="121" t="n">
        <v>0.235632183908046</v>
      </c>
      <c r="AE4" s="117" t="n">
        <v>210267.731854987</v>
      </c>
      <c r="AF4" s="122" t="n">
        <v>0.881771056187873</v>
      </c>
      <c r="AG4" s="67" t="n">
        <v>112</v>
      </c>
      <c r="AH4" s="67" t="n">
        <v>105</v>
      </c>
      <c r="AI4" s="67" t="n">
        <v>114</v>
      </c>
      <c r="AJ4" s="117" t="n">
        <v>7656.76567656766</v>
      </c>
      <c r="AK4" s="117" t="n">
        <v>11437.8030155677</v>
      </c>
      <c r="AL4" s="117" t="n">
        <v>18985.4245534968</v>
      </c>
      <c r="AM4" s="117" t="n">
        <v>1791.1209795593</v>
      </c>
      <c r="AN4" s="67" t="n">
        <v>10048.1345118564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1</v>
      </c>
      <c r="AW4" s="117" t="n">
        <v>0</v>
      </c>
      <c r="AX4" s="121" t="n">
        <v>1880</v>
      </c>
      <c r="AY4" s="117" t="n">
        <v>1</v>
      </c>
      <c r="AZ4" s="121" t="n">
        <v>1880</v>
      </c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197.373919695283</v>
      </c>
      <c r="BO4" s="117" t="n">
        <v>0</v>
      </c>
      <c r="BP4" s="117" t="n">
        <v>0</v>
      </c>
      <c r="BQ4" s="117" t="n">
        <v>148304</v>
      </c>
      <c r="BR4" s="121" t="n">
        <v>187288</v>
      </c>
      <c r="BS4" s="117" t="n">
        <v>1</v>
      </c>
      <c r="BT4" s="117" t="n">
        <v>42459.8569801756</v>
      </c>
      <c r="BU4" s="117" t="n">
        <v>36721.2455800615</v>
      </c>
      <c r="BV4" s="117" t="n">
        <v>7656.76567656766</v>
      </c>
      <c r="BW4" s="117" t="n">
        <v>160446.995274816</v>
      </c>
      <c r="BX4" s="117" t="n">
        <v>158937.091290048</v>
      </c>
      <c r="BY4" s="122" t="n">
        <v>203315.102546677</v>
      </c>
      <c r="BZ4" s="122" t="n">
        <v>0.729429334773359</v>
      </c>
      <c r="CA4" s="122" t="n">
        <v>7331.89527481594</v>
      </c>
      <c r="CB4" s="122" t="n">
        <v>210563.617931559</v>
      </c>
      <c r="CC4" s="122" t="n">
        <v>0.889460400803312</v>
      </c>
      <c r="CD4" s="122" t="n">
        <v>215956.852254992</v>
      </c>
      <c r="CE4" s="39" t="n">
        <v>0.86724731373126</v>
      </c>
    </row>
    <row r="5" ht="16.5" customFormat="1" customHeight="1" s="39">
      <c r="A5" s="63" t="n">
        <v>45873</v>
      </c>
      <c r="B5" s="67" t="n"/>
      <c r="C5" s="67" t="n"/>
      <c r="D5" s="67" t="n"/>
      <c r="E5" s="67" t="n"/>
      <c r="F5" s="67" t="n"/>
      <c r="G5" s="67" t="n"/>
      <c r="H5" s="67" t="n">
        <v>107875.611678485</v>
      </c>
      <c r="I5" s="117" t="n">
        <v>103455.095116889</v>
      </c>
      <c r="J5" s="117" t="n">
        <v>627.183788828403</v>
      </c>
      <c r="K5" s="67" t="n">
        <v>172</v>
      </c>
      <c r="L5" s="67" t="n">
        <v>46</v>
      </c>
      <c r="M5" s="67" t="n">
        <v>48</v>
      </c>
      <c r="N5" s="67" t="n">
        <v>49</v>
      </c>
      <c r="O5" s="67" t="n">
        <v>37</v>
      </c>
      <c r="P5" s="67" t="n">
        <v>54</v>
      </c>
      <c r="Q5" s="67" t="n">
        <v>17</v>
      </c>
      <c r="R5" s="67" t="n">
        <v>25</v>
      </c>
      <c r="S5" s="117" t="n">
        <v>81896</v>
      </c>
      <c r="T5" s="117" t="n">
        <v>110600</v>
      </c>
      <c r="U5" s="121" t="n">
        <v>1</v>
      </c>
      <c r="V5" s="117" t="n">
        <v>4424</v>
      </c>
      <c r="W5" s="121" t="n">
        <v>0.267441860465116</v>
      </c>
      <c r="X5" s="121" t="n">
        <v>1.06521739130435</v>
      </c>
      <c r="Y5" s="121" t="n">
        <v>0.284883720930233</v>
      </c>
      <c r="Z5" s="121" t="n">
        <v>0.755102040816326</v>
      </c>
      <c r="AA5" s="121" t="n">
        <v>1</v>
      </c>
      <c r="AB5" s="121" t="n">
        <v>0.459459459459459</v>
      </c>
      <c r="AC5" s="121" t="n">
        <v>0.0988372093023256</v>
      </c>
      <c r="AD5" s="121" t="n">
        <v>0.145348837209302</v>
      </c>
      <c r="AE5" s="117" t="n">
        <v>147578.154636435</v>
      </c>
      <c r="AF5" s="122" t="n">
        <v>0.74943341223142</v>
      </c>
      <c r="AG5" s="67" t="n">
        <v>54</v>
      </c>
      <c r="AH5" s="67" t="n">
        <v>54</v>
      </c>
      <c r="AI5" s="67" t="n">
        <v>59</v>
      </c>
      <c r="AJ5" s="117" t="n">
        <v>15528.0794904184</v>
      </c>
      <c r="AK5" s="117" t="n">
        <v>5928.8847045271</v>
      </c>
      <c r="AL5" s="117" t="n">
        <v>11325.2284454649</v>
      </c>
      <c r="AM5" s="117" t="n">
        <v>1720</v>
      </c>
      <c r="AN5" s="67" t="n">
        <v>5200.35031753973</v>
      </c>
      <c r="AO5" s="67" t="n">
        <v>0</v>
      </c>
      <c r="AP5" s="67" t="n">
        <v>0</v>
      </c>
      <c r="AQ5" s="67" t="n">
        <v>0</v>
      </c>
      <c r="AR5" s="67" t="n">
        <v>0</v>
      </c>
      <c r="AS5" s="67" t="n">
        <v>0</v>
      </c>
      <c r="AT5" s="67" t="n">
        <v>0</v>
      </c>
      <c r="AU5" s="67" t="n">
        <v>0</v>
      </c>
      <c r="AV5" s="117" t="n">
        <v>0</v>
      </c>
      <c r="AW5" s="117" t="n">
        <v>0</v>
      </c>
      <c r="AX5" s="121" t="n">
        <v>0</v>
      </c>
      <c r="AY5" s="117" t="n"/>
      <c r="AZ5" s="121" t="n"/>
      <c r="BA5" s="121" t="n"/>
      <c r="BB5" s="121" t="n"/>
      <c r="BC5" s="121" t="n"/>
      <c r="BD5" s="121" t="n"/>
      <c r="BE5" s="121" t="n"/>
      <c r="BF5" s="121" t="n"/>
      <c r="BG5" s="121" t="n"/>
      <c r="BH5" s="67" t="n"/>
      <c r="BI5" s="67" t="n">
        <v>0</v>
      </c>
      <c r="BJ5" s="67" t="n">
        <v>0</v>
      </c>
      <c r="BK5" s="117" t="n">
        <v>0</v>
      </c>
      <c r="BL5" s="117" t="n">
        <v>0</v>
      </c>
      <c r="BM5" s="117" t="n">
        <v>0</v>
      </c>
      <c r="BN5" s="117" t="n">
        <v>0</v>
      </c>
      <c r="BO5" s="117" t="n">
        <v>0</v>
      </c>
      <c r="BP5" s="117" t="n">
        <v>0</v>
      </c>
      <c r="BQ5" s="117" t="n">
        <v>81896</v>
      </c>
      <c r="BR5" s="121" t="n">
        <v>110600</v>
      </c>
      <c r="BS5" s="117" t="n">
        <v>1</v>
      </c>
      <c r="BT5" s="117" t="n">
        <v>24174.4634675317</v>
      </c>
      <c r="BU5" s="117" t="n">
        <v>19313.5028242477</v>
      </c>
      <c r="BV5" s="117" t="n">
        <v>15528.0794904184</v>
      </c>
      <c r="BW5" s="117" t="n">
        <v>107875.611678485</v>
      </c>
      <c r="BX5" s="117" t="n">
        <v>106461.046378774</v>
      </c>
      <c r="BY5" s="122" t="n">
        <v>141302.62869344</v>
      </c>
      <c r="BZ5" s="122" t="n">
        <v>0.579578743560924</v>
      </c>
      <c r="CA5" s="122" t="n">
        <v>4420.51656159678</v>
      </c>
      <c r="CB5" s="122" t="n">
        <v>147578.154636435</v>
      </c>
      <c r="CC5" s="122" t="n">
        <v>0.74943341223142</v>
      </c>
      <c r="CD5" s="122" t="n">
        <v>144950.075146017</v>
      </c>
      <c r="CE5" s="39" t="n">
        <v>0.763021336060612</v>
      </c>
    </row>
    <row r="6" ht="16.5" customFormat="1" customHeight="1" s="39">
      <c r="A6" s="63" t="n">
        <v>45904</v>
      </c>
      <c r="B6" s="67" t="n"/>
      <c r="C6" s="67" t="n"/>
      <c r="D6" s="67" t="n"/>
      <c r="E6" s="67" t="n"/>
      <c r="F6" s="67" t="n"/>
      <c r="G6" s="67" t="n"/>
      <c r="H6" s="107" t="n">
        <v>150853.925260114</v>
      </c>
      <c r="I6" s="118">
        <f>H6-CA6</f>
        <v/>
      </c>
      <c r="J6" s="107" t="n">
        <v>434.737536772664</v>
      </c>
      <c r="K6" s="57" t="n">
        <v>347</v>
      </c>
      <c r="L6" s="57" t="n">
        <v>77</v>
      </c>
      <c r="M6" s="57" t="n">
        <v>77</v>
      </c>
      <c r="N6" s="57" t="n">
        <v>80</v>
      </c>
      <c r="O6" s="57" t="n">
        <v>63</v>
      </c>
      <c r="P6" s="57" t="n">
        <v>66</v>
      </c>
      <c r="Q6" s="57" t="n">
        <v>25</v>
      </c>
      <c r="R6" s="57" t="n">
        <v>29</v>
      </c>
      <c r="S6" s="107" t="n">
        <v>132300</v>
      </c>
      <c r="T6" s="107" t="n">
        <v>149952</v>
      </c>
      <c r="U6" s="108" t="n">
        <v>1</v>
      </c>
      <c r="V6" s="107" t="n">
        <v>5170.75862068965</v>
      </c>
      <c r="W6" s="108" t="n">
        <v>0.221902017291066</v>
      </c>
      <c r="X6" s="108" t="n">
        <v>1.03896103896104</v>
      </c>
      <c r="Y6" s="108" t="n">
        <v>0.230547550432277</v>
      </c>
      <c r="Z6" s="108" t="n">
        <v>0.7875</v>
      </c>
      <c r="AA6" s="108" t="n">
        <v>0.970588235294118</v>
      </c>
      <c r="AB6" s="108" t="n">
        <v>0.396825396825397</v>
      </c>
      <c r="AC6" s="108" t="n">
        <v>0.0720461095100865</v>
      </c>
      <c r="AD6" s="108" t="n">
        <v>0.0835734870317003</v>
      </c>
      <c r="AE6" s="107" t="n">
        <v>214955.046613476</v>
      </c>
      <c r="AF6" s="109" t="n">
        <v>0.6975970202255261</v>
      </c>
      <c r="AG6" s="57" t="n">
        <v>68</v>
      </c>
      <c r="AH6" s="57" t="n">
        <v>66</v>
      </c>
      <c r="AI6" s="57" t="n">
        <v>75</v>
      </c>
      <c r="AJ6" s="107" t="n">
        <v>26291.7865386909</v>
      </c>
      <c r="AK6" s="107" t="n">
        <v>11133.3691756244</v>
      </c>
      <c r="AL6" s="107" t="n">
        <v>16836.2430066135</v>
      </c>
      <c r="AM6" s="107" t="n">
        <v>3470</v>
      </c>
      <c r="AN6" s="107" t="n">
        <v>6369.72263243282</v>
      </c>
      <c r="AO6" s="57" t="n">
        <v>0</v>
      </c>
      <c r="AP6" s="57" t="n">
        <v>0</v>
      </c>
      <c r="AQ6" s="57" t="n">
        <v>0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107" t="n">
        <v>0</v>
      </c>
      <c r="AX6" s="107" t="n">
        <v>0</v>
      </c>
      <c r="AY6" s="108" t="n"/>
      <c r="AZ6" s="107" t="n"/>
      <c r="BA6" s="108" t="n"/>
      <c r="BB6" s="108" t="n"/>
      <c r="BC6" s="108" t="n"/>
      <c r="BD6" s="108" t="n"/>
      <c r="BE6" s="108" t="n"/>
      <c r="BF6" s="108" t="n"/>
      <c r="BG6" s="108" t="n"/>
      <c r="BH6" s="108" t="n"/>
      <c r="BI6" s="57" t="n">
        <v>0</v>
      </c>
      <c r="BJ6" s="57" t="n">
        <v>0</v>
      </c>
      <c r="BK6" s="57" t="n">
        <v>0</v>
      </c>
      <c r="BL6" s="107" t="n">
        <v>0</v>
      </c>
      <c r="BM6" s="107" t="n">
        <v>0</v>
      </c>
      <c r="BN6" s="107" t="n">
        <v>0</v>
      </c>
      <c r="BO6" s="107" t="n">
        <v>0</v>
      </c>
      <c r="BP6" s="107" t="n">
        <v>0</v>
      </c>
      <c r="BQ6" s="107" t="n">
        <v>132300</v>
      </c>
      <c r="BR6" s="107" t="n">
        <v>149952</v>
      </c>
      <c r="BS6" s="108" t="n">
        <v>1</v>
      </c>
      <c r="BT6" s="107" t="n">
        <v>37809.3348146708</v>
      </c>
      <c r="BU6" s="107" t="n">
        <v>35572.6226169016</v>
      </c>
      <c r="BV6" s="107" t="n">
        <v>26291.7865386909</v>
      </c>
      <c r="BW6" s="107" t="n">
        <v>150853.925260114</v>
      </c>
      <c r="BX6" s="107" t="n">
        <v>150139.368711847</v>
      </c>
      <c r="BY6" s="107" t="n">
        <v>212003.777867439</v>
      </c>
      <c r="BZ6" s="109" t="n">
        <v>0.624045483202304</v>
      </c>
      <c r="CA6" s="118" t="n">
        <v>5180.53497494042</v>
      </c>
      <c r="CB6" s="107" t="n">
        <v>214955.046613476</v>
      </c>
      <c r="CC6" s="109" t="n">
        <v>0.6975970202255261</v>
      </c>
      <c r="CD6" s="107" t="n">
        <v>214688.260074785</v>
      </c>
      <c r="CE6" s="109" t="n">
        <v>0.698463902719996</v>
      </c>
      <c r="XCS6" s="39" t="n"/>
      <c r="XCT6" s="39" t="n"/>
      <c r="XCU6" s="39" t="n"/>
      <c r="XCV6" s="39" t="n"/>
      <c r="XCW6" s="39" t="n"/>
      <c r="XCX6" s="39" t="n"/>
      <c r="XCY6" s="39" t="n"/>
      <c r="XCZ6" s="39" t="n"/>
      <c r="XDA6" s="39" t="n"/>
      <c r="XDB6" s="39" t="n"/>
      <c r="XDC6" s="39" t="n"/>
      <c r="XDD6" s="39" t="n"/>
      <c r="XDE6" s="39" t="n"/>
      <c r="XDF6" s="39" t="n"/>
      <c r="XDG6" s="39" t="n"/>
      <c r="XDH6" s="39" t="n"/>
      <c r="XDI6" s="39" t="n"/>
      <c r="XDJ6" s="39" t="n"/>
      <c r="XDK6" s="39" t="n"/>
      <c r="XDL6" s="39" t="n"/>
      <c r="XDM6" s="39" t="n"/>
      <c r="XDN6" s="39" t="n"/>
      <c r="XDO6" s="39" t="n"/>
      <c r="XDP6" s="39" t="n"/>
      <c r="XDQ6" s="39" t="n"/>
      <c r="XDR6" s="39" t="n"/>
      <c r="XDS6" s="39" t="n"/>
      <c r="XDT6" s="39" t="n"/>
      <c r="XDU6" s="39" t="n"/>
      <c r="XDV6" s="39" t="n"/>
      <c r="XDW6" s="39" t="n"/>
      <c r="XDX6" s="39" t="n"/>
      <c r="XDY6" s="39" t="n"/>
      <c r="XDZ6" s="39" t="n"/>
      <c r="XEA6" s="39" t="n"/>
      <c r="XEB6" s="39" t="n"/>
      <c r="XEC6" s="39" t="n"/>
      <c r="XED6" s="39" t="n"/>
      <c r="XEE6" s="39" t="n"/>
      <c r="XEF6" s="39" t="n"/>
      <c r="XEG6" s="39" t="n"/>
      <c r="XEH6" s="39" t="n"/>
      <c r="XEI6" s="39" t="n"/>
      <c r="XEJ6" s="39" t="n"/>
      <c r="XEK6" s="39" t="n"/>
      <c r="XEL6" s="39" t="n"/>
      <c r="XEM6" s="39" t="n"/>
      <c r="XEN6" s="39" t="n"/>
      <c r="XEO6" s="39" t="n"/>
      <c r="XEP6" s="39" t="n"/>
      <c r="XEQ6" s="39" t="n"/>
      <c r="XER6" s="39" t="n"/>
      <c r="XES6" s="39" t="n"/>
      <c r="XET6" s="39" t="n"/>
      <c r="XEU6" s="39" t="n"/>
      <c r="XEV6" s="39" t="n"/>
      <c r="XEW6" s="39" t="n"/>
      <c r="XEX6" s="39" t="n"/>
      <c r="XEY6" s="39" t="n"/>
      <c r="XEZ6" s="39" t="n"/>
      <c r="XFA6" s="39" t="n"/>
      <c r="XFB6" s="39" t="n"/>
      <c r="XFC6" s="39" t="n"/>
      <c r="XFD6" s="39" t="n"/>
    </row>
    <row r="7" ht="16.5" customFormat="1" customHeight="1" s="39">
      <c r="A7" s="63" t="n">
        <v>45931</v>
      </c>
      <c r="B7" s="67" t="n"/>
      <c r="C7" s="67" t="n"/>
      <c r="D7" s="67" t="n"/>
      <c r="E7" s="67" t="n"/>
      <c r="F7" s="67" t="n"/>
      <c r="G7" s="67" t="n"/>
      <c r="H7" s="107" t="n">
        <v>32841.8656296178</v>
      </c>
      <c r="I7" s="118">
        <f>H7-CA7</f>
        <v/>
      </c>
      <c r="J7" s="107" t="n">
        <v>586.4618862431749</v>
      </c>
      <c r="K7" s="57" t="n">
        <v>56</v>
      </c>
      <c r="L7" s="57" t="n">
        <v>19</v>
      </c>
      <c r="M7" s="57" t="n">
        <v>20</v>
      </c>
      <c r="N7" s="57" t="n">
        <v>22</v>
      </c>
      <c r="O7" s="57" t="n">
        <v>18</v>
      </c>
      <c r="P7" s="57" t="n">
        <v>23</v>
      </c>
      <c r="Q7" s="57" t="n">
        <v>9</v>
      </c>
      <c r="R7" s="57" t="n">
        <v>11</v>
      </c>
      <c r="S7" s="107" t="n">
        <v>52203</v>
      </c>
      <c r="T7" s="107" t="n">
        <v>63979</v>
      </c>
      <c r="U7" s="108" t="n">
        <v>1</v>
      </c>
      <c r="V7" s="107" t="n">
        <v>5816.27272727273</v>
      </c>
      <c r="W7" s="108" t="n">
        <v>0.339285714285714</v>
      </c>
      <c r="X7" s="108" t="n">
        <v>1.15789473684211</v>
      </c>
      <c r="Y7" s="108" t="n">
        <v>0.392857142857143</v>
      </c>
      <c r="Z7" s="108" t="n">
        <v>0.818181818181818</v>
      </c>
      <c r="AA7" s="108" t="n">
        <v>0.958333333333333</v>
      </c>
      <c r="AB7" s="108" t="n">
        <v>0.5</v>
      </c>
      <c r="AC7" s="108" t="n">
        <v>0.160714285714286</v>
      </c>
      <c r="AD7" s="108" t="n">
        <v>0.196428571428571</v>
      </c>
      <c r="AE7" s="107" t="n">
        <v>48818.1353130934</v>
      </c>
      <c r="AF7" s="109" t="n">
        <v>1.31055804548193</v>
      </c>
      <c r="AG7" s="57" t="n">
        <v>24</v>
      </c>
      <c r="AH7" s="57" t="n">
        <v>23</v>
      </c>
      <c r="AI7" s="57" t="n">
        <v>24</v>
      </c>
      <c r="AJ7" s="107" t="n">
        <v>3499.14265879512</v>
      </c>
      <c r="AK7" s="107" t="n">
        <v>2844.94722525876</v>
      </c>
      <c r="AL7" s="107" t="n">
        <v>7037.79810057123</v>
      </c>
      <c r="AM7" s="107" t="n">
        <v>560</v>
      </c>
      <c r="AN7" s="107" t="n">
        <v>2034.38169885046</v>
      </c>
      <c r="AO7" s="57" t="n">
        <v>0</v>
      </c>
      <c r="AP7" s="57" t="n">
        <v>0</v>
      </c>
      <c r="AQ7" s="57" t="n">
        <v>0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107" t="n">
        <v>0</v>
      </c>
      <c r="AX7" s="107" t="n">
        <v>0</v>
      </c>
      <c r="AY7" s="108" t="n"/>
      <c r="AZ7" s="107" t="n"/>
      <c r="BA7" s="108" t="n"/>
      <c r="BB7" s="108" t="n"/>
      <c r="BC7" s="108" t="n"/>
      <c r="BD7" s="108" t="n"/>
      <c r="BE7" s="108" t="n"/>
      <c r="BF7" s="108" t="n"/>
      <c r="BG7" s="108" t="n"/>
      <c r="BH7" s="108" t="n"/>
      <c r="BI7" s="57" t="n">
        <v>0</v>
      </c>
      <c r="BJ7" s="57" t="n">
        <v>0</v>
      </c>
      <c r="BK7" s="57" t="n">
        <v>0</v>
      </c>
      <c r="BL7" s="107" t="n">
        <v>0</v>
      </c>
      <c r="BM7" s="107" t="n">
        <v>0</v>
      </c>
      <c r="BN7" s="107" t="n">
        <v>0</v>
      </c>
      <c r="BO7" s="107" t="n">
        <v>0</v>
      </c>
      <c r="BP7" s="107" t="n">
        <v>0</v>
      </c>
      <c r="BQ7" s="107" t="n">
        <v>52203</v>
      </c>
      <c r="BR7" s="107" t="n">
        <v>63979</v>
      </c>
      <c r="BS7" s="108" t="n">
        <v>1</v>
      </c>
      <c r="BT7" s="107" t="n">
        <v>12477.1270246804</v>
      </c>
      <c r="BU7" s="107" t="n">
        <v>10615.6702457898</v>
      </c>
      <c r="BV7" s="107" t="n">
        <v>3499.14265879512</v>
      </c>
      <c r="BW7" s="107" t="n">
        <v>32841.8656296178</v>
      </c>
      <c r="BX7" s="107" t="n">
        <v>32484.587355484</v>
      </c>
      <c r="BY7" s="107" t="n">
        <v>46599.400260069</v>
      </c>
      <c r="BZ7" s="109" t="n">
        <v>1.12025046907595</v>
      </c>
      <c r="CA7" s="118" t="n">
        <v>1965.03050773602</v>
      </c>
      <c r="CB7" s="107" t="n">
        <v>48818.1353130934</v>
      </c>
      <c r="CC7" s="109" t="n">
        <v>1.31055804548193</v>
      </c>
      <c r="CD7" s="107" t="n">
        <v>49518.9926542983</v>
      </c>
      <c r="CE7" s="109" t="n">
        <v>1.29200931946758</v>
      </c>
      <c r="XCS7" s="39" t="n"/>
      <c r="XCT7" s="39" t="n"/>
      <c r="XCU7" s="39" t="n"/>
      <c r="XCV7" s="39" t="n"/>
      <c r="XCW7" s="39" t="n"/>
      <c r="XCX7" s="39" t="n"/>
      <c r="XCY7" s="39" t="n"/>
      <c r="XCZ7" s="39" t="n"/>
      <c r="XDA7" s="39" t="n"/>
      <c r="XDB7" s="39" t="n"/>
      <c r="XDC7" s="39" t="n"/>
      <c r="XDD7" s="39" t="n"/>
      <c r="XDE7" s="39" t="n"/>
      <c r="XDF7" s="39" t="n"/>
      <c r="XDG7" s="39" t="n"/>
      <c r="XDH7" s="39" t="n"/>
      <c r="XDI7" s="39" t="n"/>
      <c r="XDJ7" s="39" t="n"/>
      <c r="XDK7" s="39" t="n"/>
      <c r="XDL7" s="39" t="n"/>
      <c r="XDM7" s="39" t="n"/>
      <c r="XDN7" s="39" t="n"/>
      <c r="XDO7" s="39" t="n"/>
      <c r="XDP7" s="39" t="n"/>
      <c r="XDQ7" s="39" t="n"/>
      <c r="XDR7" s="39" t="n"/>
      <c r="XDS7" s="39" t="n"/>
      <c r="XDT7" s="39" t="n"/>
      <c r="XDU7" s="39" t="n"/>
      <c r="XDV7" s="39" t="n"/>
      <c r="XDW7" s="39" t="n"/>
      <c r="XDX7" s="39" t="n"/>
      <c r="XDY7" s="39" t="n"/>
      <c r="XDZ7" s="39" t="n"/>
      <c r="XEA7" s="39" t="n"/>
      <c r="XEB7" s="39" t="n"/>
      <c r="XEC7" s="39" t="n"/>
      <c r="XED7" s="39" t="n"/>
      <c r="XEE7" s="39" t="n"/>
      <c r="XEF7" s="39" t="n"/>
      <c r="XEG7" s="39" t="n"/>
      <c r="XEH7" s="39" t="n"/>
      <c r="XEI7" s="39" t="n"/>
      <c r="XEJ7" s="39" t="n"/>
      <c r="XEK7" s="39" t="n"/>
      <c r="XEL7" s="39" t="n"/>
      <c r="XEM7" s="39" t="n"/>
      <c r="XEN7" s="39" t="n"/>
      <c r="XEO7" s="39" t="n"/>
      <c r="XEP7" s="39" t="n"/>
      <c r="XEQ7" s="39" t="n"/>
      <c r="XER7" s="39" t="n"/>
      <c r="XES7" s="39" t="n"/>
      <c r="XET7" s="39" t="n"/>
      <c r="XEU7" s="39" t="n"/>
      <c r="XEV7" s="39" t="n"/>
      <c r="XEW7" s="39" t="n"/>
      <c r="XEX7" s="39" t="n"/>
      <c r="XEY7" s="39" t="n"/>
      <c r="XEZ7" s="39" t="n"/>
      <c r="XFA7" s="39" t="n"/>
      <c r="XFB7" s="39" t="n"/>
      <c r="XFC7" s="39" t="n"/>
      <c r="XFD7" s="39" t="n"/>
    </row>
    <row r="8" hidden="1" ht="16.5" customFormat="1" customHeight="1" s="39">
      <c r="A8" s="63" t="n">
        <v>45962</v>
      </c>
      <c r="B8" s="67" t="n"/>
      <c r="C8" s="67" t="n"/>
      <c r="D8" s="67" t="n"/>
      <c r="E8" s="67" t="n"/>
      <c r="F8" s="67" t="n"/>
      <c r="G8" s="67" t="n"/>
      <c r="H8" s="107" t="n"/>
      <c r="I8" s="118" t="n"/>
      <c r="J8" s="107" t="n"/>
      <c r="K8" s="57" t="n"/>
      <c r="L8" s="57" t="n"/>
      <c r="M8" s="57" t="n"/>
      <c r="N8" s="57" t="n"/>
      <c r="O8" s="57" t="n"/>
      <c r="P8" s="57" t="n"/>
      <c r="Q8" s="57" t="n"/>
      <c r="R8" s="57" t="n"/>
      <c r="S8" s="107" t="n"/>
      <c r="T8" s="107" t="n"/>
      <c r="U8" s="108" t="n"/>
      <c r="V8" s="107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7" t="n"/>
      <c r="AF8" s="109" t="n"/>
      <c r="AG8" s="57" t="n"/>
      <c r="AH8" s="57" t="n"/>
      <c r="AI8" s="57" t="n"/>
      <c r="AJ8" s="107" t="n"/>
      <c r="AK8" s="107" t="n"/>
      <c r="AL8" s="107" t="n"/>
      <c r="AM8" s="107" t="n"/>
      <c r="AN8" s="10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107" t="n"/>
      <c r="AX8" s="107" t="n"/>
      <c r="AY8" s="108" t="n"/>
      <c r="AZ8" s="107" t="n"/>
      <c r="BA8" s="108" t="n"/>
      <c r="BB8" s="108" t="n"/>
      <c r="BC8" s="108" t="n"/>
      <c r="BD8" s="108" t="n"/>
      <c r="BE8" s="108" t="n"/>
      <c r="BF8" s="108" t="n"/>
      <c r="BG8" s="108" t="n"/>
      <c r="BH8" s="108" t="n"/>
      <c r="BI8" s="57" t="n"/>
      <c r="BJ8" s="57" t="n"/>
      <c r="BK8" s="57" t="n"/>
      <c r="BL8" s="107" t="n"/>
      <c r="BM8" s="107" t="n"/>
      <c r="BN8" s="107" t="n"/>
      <c r="BO8" s="107" t="n"/>
      <c r="BP8" s="107" t="n"/>
      <c r="BQ8" s="107" t="n"/>
      <c r="BR8" s="107" t="n"/>
      <c r="BS8" s="108" t="n"/>
      <c r="BT8" s="107" t="n"/>
      <c r="BU8" s="107" t="n"/>
      <c r="BV8" s="107" t="n"/>
      <c r="BW8" s="107" t="n"/>
      <c r="BX8" s="107" t="n"/>
      <c r="BY8" s="107" t="n"/>
      <c r="BZ8" s="109" t="n"/>
      <c r="CA8" s="118" t="n"/>
      <c r="CB8" s="107" t="n"/>
      <c r="CC8" s="109" t="n"/>
      <c r="CD8" s="107" t="n"/>
      <c r="CE8" s="109" t="n"/>
      <c r="XCS8" s="39" t="n"/>
      <c r="XCT8" s="39" t="n"/>
      <c r="XCU8" s="39" t="n"/>
      <c r="XCV8" s="39" t="n"/>
      <c r="XCW8" s="39" t="n"/>
      <c r="XCX8" s="39" t="n"/>
      <c r="XCY8" s="39" t="n"/>
      <c r="XCZ8" s="39" t="n"/>
      <c r="XDA8" s="39" t="n"/>
      <c r="XDB8" s="39" t="n"/>
      <c r="XDC8" s="39" t="n"/>
      <c r="XDD8" s="39" t="n"/>
      <c r="XDE8" s="39" t="n"/>
      <c r="XDF8" s="39" t="n"/>
      <c r="XDG8" s="39" t="n"/>
      <c r="XDH8" s="39" t="n"/>
      <c r="XDI8" s="39" t="n"/>
      <c r="XDJ8" s="39" t="n"/>
      <c r="XDK8" s="39" t="n"/>
      <c r="XDL8" s="39" t="n"/>
      <c r="XDM8" s="39" t="n"/>
      <c r="XDN8" s="39" t="n"/>
      <c r="XDO8" s="39" t="n"/>
      <c r="XDP8" s="39" t="n"/>
      <c r="XDQ8" s="39" t="n"/>
      <c r="XDR8" s="39" t="n"/>
      <c r="XDS8" s="39" t="n"/>
      <c r="XDT8" s="39" t="n"/>
      <c r="XDU8" s="39" t="n"/>
      <c r="XDV8" s="39" t="n"/>
      <c r="XDW8" s="39" t="n"/>
      <c r="XDX8" s="39" t="n"/>
      <c r="XDY8" s="39" t="n"/>
      <c r="XDZ8" s="39" t="n"/>
      <c r="XEA8" s="39" t="n"/>
      <c r="XEB8" s="39" t="n"/>
      <c r="XEC8" s="39" t="n"/>
      <c r="XED8" s="39" t="n"/>
      <c r="XEE8" s="39" t="n"/>
      <c r="XEF8" s="39" t="n"/>
      <c r="XEG8" s="39" t="n"/>
      <c r="XEH8" s="39" t="n"/>
      <c r="XEI8" s="39" t="n"/>
      <c r="XEJ8" s="39" t="n"/>
      <c r="XEK8" s="39" t="n"/>
      <c r="XEL8" s="39" t="n"/>
      <c r="XEM8" s="39" t="n"/>
      <c r="XEN8" s="39" t="n"/>
      <c r="XEO8" s="39" t="n"/>
      <c r="XEP8" s="39" t="n"/>
      <c r="XEQ8" s="39" t="n"/>
      <c r="XER8" s="39" t="n"/>
      <c r="XES8" s="39" t="n"/>
      <c r="XET8" s="39" t="n"/>
      <c r="XEU8" s="39" t="n"/>
      <c r="XEV8" s="39" t="n"/>
      <c r="XEW8" s="39" t="n"/>
      <c r="XEX8" s="39" t="n"/>
      <c r="XEY8" s="39" t="n"/>
      <c r="XEZ8" s="39" t="n"/>
      <c r="XFA8" s="39" t="n"/>
      <c r="XFB8" s="39" t="n"/>
      <c r="XFC8" s="39" t="n"/>
      <c r="XFD8" s="39" t="n"/>
    </row>
    <row r="9" ht="30" customFormat="1" customHeight="1" s="40">
      <c r="A9" s="40" t="inlineStr">
        <is>
          <t>陈敏之-汇总</t>
        </is>
      </c>
      <c r="B9" s="57" t="n"/>
      <c r="C9" s="57" t="n"/>
      <c r="D9" s="57" t="n"/>
      <c r="E9" s="57" t="n"/>
      <c r="F9" s="57" t="n"/>
      <c r="G9" s="57" t="n"/>
      <c r="H9" s="107">
        <f>SUM(H3:H8)</f>
        <v/>
      </c>
      <c r="I9" s="107">
        <f>SUM(I3:I8)</f>
        <v/>
      </c>
      <c r="J9" s="107">
        <f>I9/K9</f>
        <v/>
      </c>
      <c r="K9" s="57">
        <f>SUM(K3:K8)</f>
        <v/>
      </c>
      <c r="L9" s="57">
        <f>SUM(L3:L8)</f>
        <v/>
      </c>
      <c r="M9" s="57">
        <f>SUM(M3:M8)</f>
        <v/>
      </c>
      <c r="N9" s="57">
        <f>SUM(N3:N8)</f>
        <v/>
      </c>
      <c r="O9" s="57">
        <f>SUM(O3:O8)</f>
        <v/>
      </c>
      <c r="P9" s="57">
        <f>SUM(P3:P8)</f>
        <v/>
      </c>
      <c r="Q9" s="57">
        <f>SUM(Q3:Q8)</f>
        <v/>
      </c>
      <c r="R9" s="57">
        <f>SUM(R3:R8)</f>
        <v/>
      </c>
      <c r="S9" s="107">
        <f>SUM(S3:S8)</f>
        <v/>
      </c>
      <c r="T9" s="107">
        <f>SUM(T3:T8)</f>
        <v/>
      </c>
      <c r="U9" s="57" t="n"/>
      <c r="V9" s="107">
        <f>T9/R9</f>
        <v/>
      </c>
      <c r="W9" s="61">
        <f>L9/K9</f>
        <v/>
      </c>
      <c r="X9" s="61">
        <f>N9/L9</f>
        <v/>
      </c>
      <c r="Y9" s="61">
        <f>N9/K9</f>
        <v/>
      </c>
      <c r="Z9" s="61">
        <f>O9/N9</f>
        <v/>
      </c>
      <c r="AA9" s="61">
        <f>AVERAGE(AA3:AA8)</f>
        <v/>
      </c>
      <c r="AB9" s="61">
        <f>Q9/O9</f>
        <v/>
      </c>
      <c r="AC9" s="61">
        <f>Q9/K9</f>
        <v/>
      </c>
      <c r="AD9" s="61">
        <f>R9/K9</f>
        <v/>
      </c>
      <c r="AE9" s="107">
        <f>SUM(AE3:AE8)</f>
        <v/>
      </c>
      <c r="AF9" s="109">
        <f>T9/AE9</f>
        <v/>
      </c>
      <c r="AG9" s="57">
        <f>SUM(AG3:AG8)</f>
        <v/>
      </c>
      <c r="AH9" s="57">
        <f>SUM(AH3:AH8)</f>
        <v/>
      </c>
      <c r="AI9" s="57">
        <f>SUM(AI3:AI8)</f>
        <v/>
      </c>
      <c r="AJ9" s="107">
        <f>SUM(AJ3:AJ8)</f>
        <v/>
      </c>
      <c r="AK9" s="107">
        <f>SUM(AK3:AK8)</f>
        <v/>
      </c>
      <c r="AL9" s="107">
        <f>SUM(AL3:AL8)</f>
        <v/>
      </c>
      <c r="AM9" s="107">
        <f>SUM(AM3:AM8)</f>
        <v/>
      </c>
      <c r="AN9" s="107">
        <f>SUM(AN3:AN8)</f>
        <v/>
      </c>
      <c r="AO9" s="57">
        <f>SUM(AO3:AO8)</f>
        <v/>
      </c>
      <c r="AP9" s="57">
        <f>SUM(AP3:AP8)</f>
        <v/>
      </c>
      <c r="AQ9" s="57" t="n"/>
      <c r="AR9" s="57">
        <f>SUM(AR3:AR8)</f>
        <v/>
      </c>
      <c r="AS9" s="57">
        <f>SUM(AS3:AS8)</f>
        <v/>
      </c>
      <c r="AT9" s="57">
        <f>SUM(AT3:AT8)</f>
        <v/>
      </c>
      <c r="AU9" s="57">
        <f>SUM(AU3:AU8)</f>
        <v/>
      </c>
      <c r="AV9" s="57">
        <f>SUM(AV3:AV8)</f>
        <v/>
      </c>
      <c r="AW9" s="107">
        <f>SUM(AW3:AW8)</f>
        <v/>
      </c>
      <c r="AX9" s="107">
        <f>SUM(AX3:AX8)</f>
        <v/>
      </c>
      <c r="AY9" s="107" t="n"/>
      <c r="AZ9" s="107">
        <f>AX9/AV9</f>
        <v/>
      </c>
      <c r="BA9" s="62">
        <f>AP9/AO9</f>
        <v/>
      </c>
      <c r="BB9" s="62">
        <f>AR9/AP9</f>
        <v/>
      </c>
      <c r="BC9" s="62">
        <f>AR9/AO9</f>
        <v/>
      </c>
      <c r="BD9" s="62">
        <f>AS9/AR9</f>
        <v/>
      </c>
      <c r="BE9" s="62">
        <f>AVERAGE(BE3:BE8)</f>
        <v/>
      </c>
      <c r="BF9" s="62">
        <f>AU9/AS9</f>
        <v/>
      </c>
      <c r="BG9" s="62">
        <f>AU9/AO9</f>
        <v/>
      </c>
      <c r="BH9" s="62">
        <f>AV9/AO9</f>
        <v/>
      </c>
      <c r="BI9" s="57">
        <f>SUM(BI3:BI8)</f>
        <v/>
      </c>
      <c r="BJ9" s="57">
        <f>SUM(BJ3:BJ8)</f>
        <v/>
      </c>
      <c r="BK9" s="57">
        <f>SUM(BK3:BK8)</f>
        <v/>
      </c>
      <c r="BL9" s="107">
        <f>SUM(BL3:BL8)</f>
        <v/>
      </c>
      <c r="BM9" s="107">
        <f>SUM(BM3:BM8)</f>
        <v/>
      </c>
      <c r="BN9" s="107">
        <f>SUM(BN3:BN8)</f>
        <v/>
      </c>
      <c r="BO9" s="57">
        <f>SUM(BO3:BO8)</f>
        <v/>
      </c>
      <c r="BP9" s="57">
        <f>SUM(BP3:BP8)</f>
        <v/>
      </c>
      <c r="BQ9" s="107">
        <f>SUM(BQ3:BQ8)</f>
        <v/>
      </c>
      <c r="BR9" s="107">
        <f>SUM(BR3:BR8)</f>
        <v/>
      </c>
      <c r="BS9" s="107" t="n"/>
      <c r="BT9" s="107">
        <f>SUM(BT3:BT8)</f>
        <v/>
      </c>
      <c r="BU9" s="107">
        <f>SUM(BU3:BU8)</f>
        <v/>
      </c>
      <c r="BV9" s="107">
        <f>SUM(BV3:BV8)</f>
        <v/>
      </c>
      <c r="BW9" s="107">
        <f>SUM(BW3:BW8)</f>
        <v/>
      </c>
      <c r="BX9" s="107">
        <f>SUM(BX3:BX8)</f>
        <v/>
      </c>
      <c r="BY9" s="107">
        <f>SUM(BY3:BY8)</f>
        <v/>
      </c>
      <c r="BZ9" s="109">
        <f>BQ9/BY9</f>
        <v/>
      </c>
      <c r="CA9" s="107">
        <f>SUM(CA3:CA8)</f>
        <v/>
      </c>
      <c r="CB9" s="107">
        <f>SUM(CB3:CB8)</f>
        <v/>
      </c>
      <c r="CC9" s="109">
        <f>BR9/CB9</f>
        <v/>
      </c>
      <c r="CD9" s="107">
        <f>SUM(CD3:CD8)</f>
        <v/>
      </c>
      <c r="CE9" s="109">
        <f>BR9/CD9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F9"/>
  <sheetViews>
    <sheetView zoomScale="70" zoomScaleNormal="70" workbookViewId="0">
      <selection activeCell="A24" sqref="A24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45811</v>
      </c>
      <c r="B3" s="67" t="n"/>
      <c r="C3" s="67" t="n"/>
      <c r="D3" s="67" t="n"/>
      <c r="E3" s="67" t="n"/>
      <c r="F3" s="67" t="n"/>
      <c r="G3" s="67" t="n"/>
      <c r="H3" s="67" t="n">
        <v>113220.074019876</v>
      </c>
      <c r="I3" s="117" t="n">
        <v>108215.809017767</v>
      </c>
      <c r="J3" s="117" t="n">
        <v>533.121929458138</v>
      </c>
      <c r="K3" s="67" t="n">
        <v>212</v>
      </c>
      <c r="L3" s="67" t="n">
        <v>97</v>
      </c>
      <c r="M3" s="67" t="n">
        <v>97</v>
      </c>
      <c r="N3" s="67" t="n">
        <v>99</v>
      </c>
      <c r="O3" s="67" t="n">
        <v>75</v>
      </c>
      <c r="P3" s="67" t="n">
        <v>75</v>
      </c>
      <c r="Q3" s="67" t="n">
        <v>27</v>
      </c>
      <c r="R3" s="67" t="n">
        <v>27</v>
      </c>
      <c r="S3" s="117" t="n">
        <v>118357.2</v>
      </c>
      <c r="T3" s="117" t="n">
        <v>118357.2</v>
      </c>
      <c r="U3" s="121" t="n">
        <v>1</v>
      </c>
      <c r="V3" s="117" t="n">
        <v>4383.6</v>
      </c>
      <c r="W3" s="121" t="n">
        <v>0.457547169811321</v>
      </c>
      <c r="X3" s="121" t="n">
        <v>1.02061855670103</v>
      </c>
      <c r="Y3" s="121" t="n">
        <v>0.466981132075472</v>
      </c>
      <c r="Z3" s="121" t="n">
        <v>0.757575757575758</v>
      </c>
      <c r="AA3" s="121" t="n">
        <v>0.961538461538462</v>
      </c>
      <c r="AB3" s="121" t="n">
        <v>0.36</v>
      </c>
      <c r="AC3" s="121" t="n">
        <v>0.127358490566038</v>
      </c>
      <c r="AD3" s="121" t="n">
        <v>0.127358490566038</v>
      </c>
      <c r="AE3" s="117" t="n">
        <v>157365.238244429</v>
      </c>
      <c r="AF3" s="122" t="n">
        <v>0.752117820430971</v>
      </c>
      <c r="AG3" s="67" t="n">
        <v>78</v>
      </c>
      <c r="AH3" s="67" t="n">
        <v>75</v>
      </c>
      <c r="AI3" s="67" t="n">
        <v>82</v>
      </c>
      <c r="AJ3" s="117" t="n">
        <v>13223.4023760615</v>
      </c>
      <c r="AK3" s="117" t="n">
        <v>10901.3883048987</v>
      </c>
      <c r="AL3" s="117" t="n">
        <v>11425.4095123996</v>
      </c>
      <c r="AM3" s="117" t="n">
        <v>1712.09596883539</v>
      </c>
      <c r="AN3" s="67" t="n">
        <v>7081.0930371081</v>
      </c>
      <c r="AO3" s="67" t="n">
        <v>29</v>
      </c>
      <c r="AP3" s="67" t="n">
        <v>29</v>
      </c>
      <c r="AQ3" s="67" t="n">
        <v>29</v>
      </c>
      <c r="AR3" s="67" t="n">
        <v>29</v>
      </c>
      <c r="AS3" s="67" t="n">
        <v>15</v>
      </c>
      <c r="AT3" s="67" t="n">
        <v>15</v>
      </c>
      <c r="AU3" s="67" t="n">
        <v>2</v>
      </c>
      <c r="AV3" s="117" t="n">
        <v>2</v>
      </c>
      <c r="AW3" s="117" t="n">
        <v>7176</v>
      </c>
      <c r="AX3" s="121" t="n">
        <v>7176</v>
      </c>
      <c r="AY3" s="117" t="n">
        <v>1</v>
      </c>
      <c r="AZ3" s="121" t="n">
        <v>3588</v>
      </c>
      <c r="BA3" s="121" t="n">
        <v>1</v>
      </c>
      <c r="BB3" s="121" t="n">
        <v>1</v>
      </c>
      <c r="BC3" s="121" t="n">
        <v>1</v>
      </c>
      <c r="BD3" s="121" t="n">
        <v>0.517241379310345</v>
      </c>
      <c r="BE3" s="121" t="n">
        <v>0.517241379310345</v>
      </c>
      <c r="BF3" s="121" t="n">
        <v>0.133333333333333</v>
      </c>
      <c r="BG3" s="121" t="n">
        <v>0.0689655172413793</v>
      </c>
      <c r="BH3" s="67" t="n">
        <v>0.0689655172413793</v>
      </c>
      <c r="BI3" s="67" t="n">
        <v>29</v>
      </c>
      <c r="BJ3" s="67" t="n">
        <v>15</v>
      </c>
      <c r="BK3" s="117" t="n">
        <v>15</v>
      </c>
      <c r="BL3" s="117" t="n">
        <v>1623.37639932115</v>
      </c>
      <c r="BM3" s="117" t="n">
        <v>2608.75077458144</v>
      </c>
      <c r="BN3" s="117" t="n">
        <v>745.797633429368</v>
      </c>
      <c r="BO3" s="117" t="n">
        <v>234.201807057671</v>
      </c>
      <c r="BP3" s="117" t="n">
        <v>1184.20107920781</v>
      </c>
      <c r="BQ3" s="117" t="n">
        <v>125533.2</v>
      </c>
      <c r="BR3" s="121" t="n">
        <v>125533.2</v>
      </c>
      <c r="BS3" s="117" t="n">
        <v>1</v>
      </c>
      <c r="BT3" s="117" t="n">
        <v>35892.938117518</v>
      </c>
      <c r="BU3" s="117" t="n">
        <v>35892.938117518</v>
      </c>
      <c r="BV3" s="117" t="n">
        <v>14846.7787753827</v>
      </c>
      <c r="BW3" s="117" t="n">
        <v>113220.074019876</v>
      </c>
      <c r="BX3" s="117" t="n">
        <v>113220.074019876</v>
      </c>
      <c r="BY3" s="122" t="n">
        <v>163959.790912776</v>
      </c>
      <c r="BZ3" s="122" t="n">
        <v>0.76563405760124</v>
      </c>
      <c r="CA3" s="122" t="n">
        <v>5004.26500210872</v>
      </c>
      <c r="CB3" s="122" t="n">
        <v>163959.790912776</v>
      </c>
      <c r="CC3" s="122" t="n">
        <v>0.76563405760124</v>
      </c>
      <c r="CD3" s="122" t="n">
        <v>167188.012137394</v>
      </c>
      <c r="CE3" s="39" t="n">
        <v>0.750850485002704</v>
      </c>
    </row>
    <row r="4" ht="16.5" customFormat="1" customHeight="1" s="39">
      <c r="A4" s="63" t="n">
        <v>45842</v>
      </c>
      <c r="B4" s="67" t="n"/>
      <c r="C4" s="67" t="n"/>
      <c r="D4" s="67" t="n"/>
      <c r="E4" s="67" t="n"/>
      <c r="F4" s="67" t="n"/>
      <c r="G4" s="67" t="n"/>
      <c r="H4" s="67" t="n">
        <v>79184.2358063768</v>
      </c>
      <c r="I4" s="117" t="n">
        <v>77596.42</v>
      </c>
      <c r="J4" s="117" t="n">
        <v>1147.59762038227</v>
      </c>
      <c r="K4" s="67" t="n">
        <v>69</v>
      </c>
      <c r="L4" s="67" t="n">
        <v>32</v>
      </c>
      <c r="M4" s="67" t="n">
        <v>37</v>
      </c>
      <c r="N4" s="67" t="n">
        <v>32</v>
      </c>
      <c r="O4" s="67" t="n">
        <v>25</v>
      </c>
      <c r="P4" s="67" t="n">
        <v>35</v>
      </c>
      <c r="Q4" s="67" t="n">
        <v>4</v>
      </c>
      <c r="R4" s="67" t="n">
        <v>9</v>
      </c>
      <c r="S4" s="117" t="n">
        <v>24352</v>
      </c>
      <c r="T4" s="117" t="n">
        <v>47892</v>
      </c>
      <c r="U4" s="121" t="n">
        <v>1</v>
      </c>
      <c r="V4" s="117" t="n">
        <v>5321.33333333333</v>
      </c>
      <c r="W4" s="121" t="n">
        <v>0.463768115942029</v>
      </c>
      <c r="X4" s="121" t="n">
        <v>1</v>
      </c>
      <c r="Y4" s="121" t="n">
        <v>0.463768115942029</v>
      </c>
      <c r="Z4" s="121" t="n">
        <v>0.78125</v>
      </c>
      <c r="AA4" s="121" t="n">
        <v>0.9459459459459461</v>
      </c>
      <c r="AB4" s="121" t="n">
        <v>0.16</v>
      </c>
      <c r="AC4" s="121" t="n">
        <v>0.0579710144927536</v>
      </c>
      <c r="AD4" s="121" t="n">
        <v>0.130434782608696</v>
      </c>
      <c r="AE4" s="117" t="n">
        <v>95154.9374303622</v>
      </c>
      <c r="AF4" s="122" t="n">
        <v>0.50330546468016</v>
      </c>
      <c r="AG4" s="67" t="n">
        <v>37</v>
      </c>
      <c r="AH4" s="67" t="n">
        <v>35</v>
      </c>
      <c r="AI4" s="67" t="n">
        <v>39</v>
      </c>
      <c r="AJ4" s="117" t="n">
        <v>3036.30363036304</v>
      </c>
      <c r="AK4" s="117" t="n">
        <v>3882.55698693583</v>
      </c>
      <c r="AL4" s="117" t="n">
        <v>4904.04919267815</v>
      </c>
      <c r="AM4" s="117" t="n">
        <v>710.272112583861</v>
      </c>
      <c r="AN4" s="67" t="n">
        <v>3437.51970142457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24352</v>
      </c>
      <c r="BR4" s="121" t="n">
        <v>47892</v>
      </c>
      <c r="BS4" s="117" t="n">
        <v>1</v>
      </c>
      <c r="BT4" s="117" t="n">
        <v>12934.3979936224</v>
      </c>
      <c r="BU4" s="117" t="n">
        <v>8941.578787922201</v>
      </c>
      <c r="BV4" s="117" t="n">
        <v>3036.30363036304</v>
      </c>
      <c r="BW4" s="117" t="n">
        <v>79184.2358063768</v>
      </c>
      <c r="BX4" s="117" t="n">
        <v>78302.11591394521</v>
      </c>
      <c r="BY4" s="122" t="n">
        <v>90279.99833223051</v>
      </c>
      <c r="BZ4" s="122" t="n">
        <v>0.269738596033029</v>
      </c>
      <c r="CA4" s="122" t="n">
        <v>1587.81580637676</v>
      </c>
      <c r="CB4" s="122" t="n">
        <v>95154.9374303622</v>
      </c>
      <c r="CC4" s="122" t="n">
        <v>0.50330546468016</v>
      </c>
      <c r="CD4" s="122" t="n">
        <v>97293.6337999992</v>
      </c>
      <c r="CE4" s="39" t="n">
        <v>0.492241867524948</v>
      </c>
    </row>
    <row r="5" ht="16.5" customFormat="1" customHeight="1" s="39">
      <c r="A5" s="63" t="n">
        <v>45873</v>
      </c>
      <c r="B5" s="67" t="n"/>
      <c r="C5" s="67" t="n"/>
      <c r="D5" s="67" t="n"/>
      <c r="E5" s="67" t="n"/>
      <c r="F5" s="67" t="n"/>
      <c r="G5" s="67" t="n"/>
      <c r="H5" s="67" t="n">
        <v>44758.5479075609</v>
      </c>
      <c r="I5" s="117" t="n">
        <v>43520.8032703138</v>
      </c>
      <c r="J5" s="117" t="n">
        <v>1491.9515969187</v>
      </c>
      <c r="K5" s="67" t="n">
        <v>30</v>
      </c>
      <c r="L5" s="67" t="n">
        <v>17</v>
      </c>
      <c r="M5" s="67" t="n">
        <v>21</v>
      </c>
      <c r="N5" s="67" t="n">
        <v>17</v>
      </c>
      <c r="O5" s="67" t="n">
        <v>15</v>
      </c>
      <c r="P5" s="67" t="n">
        <v>19</v>
      </c>
      <c r="Q5" s="67" t="n">
        <v>5</v>
      </c>
      <c r="R5" s="67" t="n">
        <v>7</v>
      </c>
      <c r="S5" s="117" t="n">
        <v>27940</v>
      </c>
      <c r="T5" s="117" t="n">
        <v>35116</v>
      </c>
      <c r="U5" s="121" t="n">
        <v>1</v>
      </c>
      <c r="V5" s="117" t="n">
        <v>5016.57142857143</v>
      </c>
      <c r="W5" s="121" t="n">
        <v>0.566666666666667</v>
      </c>
      <c r="X5" s="121" t="n">
        <v>1</v>
      </c>
      <c r="Y5" s="121" t="n">
        <v>0.566666666666667</v>
      </c>
      <c r="Z5" s="121" t="n">
        <v>0.882352941176471</v>
      </c>
      <c r="AA5" s="121" t="n">
        <v>1</v>
      </c>
      <c r="AB5" s="121" t="n">
        <v>0.333333333333333</v>
      </c>
      <c r="AC5" s="121" t="n">
        <v>0.166666666666667</v>
      </c>
      <c r="AD5" s="121" t="n">
        <v>0.233333333333333</v>
      </c>
      <c r="AE5" s="117" t="n">
        <v>55719.4627700165</v>
      </c>
      <c r="AF5" s="122" t="n">
        <v>0.6302286176904141</v>
      </c>
      <c r="AG5" s="67" t="n">
        <v>19</v>
      </c>
      <c r="AH5" s="67" t="n">
        <v>19</v>
      </c>
      <c r="AI5" s="67" t="n">
        <v>20</v>
      </c>
      <c r="AJ5" s="117" t="n">
        <v>2708.38595763111</v>
      </c>
      <c r="AK5" s="117" t="n">
        <v>2593.88705823061</v>
      </c>
      <c r="AL5" s="117" t="n">
        <v>3595.8112304787</v>
      </c>
      <c r="AM5" s="117" t="n">
        <v>300</v>
      </c>
      <c r="AN5" s="67" t="n">
        <v>1762.83061611516</v>
      </c>
      <c r="AO5" s="67" t="n">
        <v>0</v>
      </c>
      <c r="AP5" s="67" t="n">
        <v>0</v>
      </c>
      <c r="AQ5" s="67" t="n">
        <v>0</v>
      </c>
      <c r="AR5" s="67" t="n">
        <v>0</v>
      </c>
      <c r="AS5" s="67" t="n">
        <v>0</v>
      </c>
      <c r="AT5" s="67" t="n">
        <v>0</v>
      </c>
      <c r="AU5" s="67" t="n">
        <v>0</v>
      </c>
      <c r="AV5" s="117" t="n">
        <v>0</v>
      </c>
      <c r="AW5" s="117" t="n">
        <v>0</v>
      </c>
      <c r="AX5" s="121" t="n">
        <v>0</v>
      </c>
      <c r="AY5" s="117" t="n"/>
      <c r="AZ5" s="121" t="n"/>
      <c r="BA5" s="121" t="n"/>
      <c r="BB5" s="121" t="n"/>
      <c r="BC5" s="121" t="n"/>
      <c r="BD5" s="121" t="n"/>
      <c r="BE5" s="121" t="n"/>
      <c r="BF5" s="121" t="n"/>
      <c r="BG5" s="121" t="n"/>
      <c r="BH5" s="67" t="n"/>
      <c r="BI5" s="67" t="n">
        <v>0</v>
      </c>
      <c r="BJ5" s="67" t="n">
        <v>0</v>
      </c>
      <c r="BK5" s="117" t="n">
        <v>0</v>
      </c>
      <c r="BL5" s="117" t="n">
        <v>0</v>
      </c>
      <c r="BM5" s="117" t="n">
        <v>0</v>
      </c>
      <c r="BN5" s="117" t="n">
        <v>0</v>
      </c>
      <c r="BO5" s="117" t="n">
        <v>0</v>
      </c>
      <c r="BP5" s="117" t="n">
        <v>0</v>
      </c>
      <c r="BQ5" s="117" t="n">
        <v>27940</v>
      </c>
      <c r="BR5" s="121" t="n">
        <v>35116</v>
      </c>
      <c r="BS5" s="117" t="n">
        <v>1</v>
      </c>
      <c r="BT5" s="117" t="n">
        <v>8252.52890482447</v>
      </c>
      <c r="BU5" s="117" t="n">
        <v>6671.0803824027</v>
      </c>
      <c r="BV5" s="117" t="n">
        <v>2708.38595763111</v>
      </c>
      <c r="BW5" s="117" t="n">
        <v>44758.5479075609</v>
      </c>
      <c r="BX5" s="117" t="n">
        <v>44404.9065826332</v>
      </c>
      <c r="BY5" s="122" t="n">
        <v>53784.372922667</v>
      </c>
      <c r="BZ5" s="122" t="n">
        <v>0.519481746866754</v>
      </c>
      <c r="CA5" s="122" t="n">
        <v>1237.7446372471</v>
      </c>
      <c r="CB5" s="122" t="n">
        <v>55719.4627700165</v>
      </c>
      <c r="CC5" s="122" t="n">
        <v>0.6302286176904141</v>
      </c>
      <c r="CD5" s="122" t="n">
        <v>55261.0768123854</v>
      </c>
      <c r="CE5" s="39" t="n">
        <v>0.635456310763196</v>
      </c>
    </row>
    <row r="6" ht="16.5" customFormat="1" customHeight="1" s="39">
      <c r="A6" s="63" t="n">
        <v>45904</v>
      </c>
      <c r="B6" s="67" t="n"/>
      <c r="C6" s="67" t="n"/>
      <c r="D6" s="67" t="n"/>
      <c r="E6" s="67" t="n"/>
      <c r="F6" s="67" t="n"/>
      <c r="G6" s="67" t="n"/>
      <c r="H6" s="107" t="n">
        <v>11879.6866521064</v>
      </c>
      <c r="I6" s="118">
        <f>H6-CA6</f>
        <v/>
      </c>
      <c r="J6" s="107" t="n">
        <v>625.2466659003391</v>
      </c>
      <c r="K6" s="57" t="n">
        <v>19</v>
      </c>
      <c r="L6" s="57" t="n">
        <v>9</v>
      </c>
      <c r="M6" s="57" t="n">
        <v>9</v>
      </c>
      <c r="N6" s="57" t="n">
        <v>9</v>
      </c>
      <c r="O6" s="57" t="n">
        <v>6</v>
      </c>
      <c r="P6" s="57" t="n">
        <v>9</v>
      </c>
      <c r="Q6" s="57" t="n">
        <v>2</v>
      </c>
      <c r="R6" s="57" t="n">
        <v>3</v>
      </c>
      <c r="S6" s="107" t="n">
        <v>14676</v>
      </c>
      <c r="T6" s="107" t="n">
        <v>23264</v>
      </c>
      <c r="U6" s="108" t="n">
        <v>1</v>
      </c>
      <c r="V6" s="107" t="n">
        <v>7754.66666666667</v>
      </c>
      <c r="W6" s="108" t="n">
        <v>0.473684210526316</v>
      </c>
      <c r="X6" s="108" t="n">
        <v>1</v>
      </c>
      <c r="Y6" s="108" t="n">
        <v>0.473684210526316</v>
      </c>
      <c r="Z6" s="108" t="n">
        <v>0.666666666666667</v>
      </c>
      <c r="AA6" s="108" t="n">
        <v>1</v>
      </c>
      <c r="AB6" s="108" t="n">
        <v>0.333333333333333</v>
      </c>
      <c r="AC6" s="108" t="n">
        <v>0.105263157894737</v>
      </c>
      <c r="AD6" s="108" t="n">
        <v>0.157894736842105</v>
      </c>
      <c r="AE6" s="107" t="n">
        <v>18271.9186988861</v>
      </c>
      <c r="AF6" s="109" t="n">
        <v>1.27321056881772</v>
      </c>
      <c r="AG6" s="57" t="n">
        <v>9</v>
      </c>
      <c r="AH6" s="57" t="n">
        <v>9</v>
      </c>
      <c r="AI6" s="57" t="n">
        <v>10</v>
      </c>
      <c r="AJ6" s="107" t="n">
        <v>1439.60790845858</v>
      </c>
      <c r="AK6" s="107" t="n">
        <v>1301.3028906574</v>
      </c>
      <c r="AL6" s="107" t="n">
        <v>2612.02489667265</v>
      </c>
      <c r="AM6" s="107" t="n">
        <v>190</v>
      </c>
      <c r="AN6" s="107" t="n">
        <v>849.296350991043</v>
      </c>
      <c r="AO6" s="57" t="n">
        <v>0</v>
      </c>
      <c r="AP6" s="57" t="n">
        <v>0</v>
      </c>
      <c r="AQ6" s="57" t="n">
        <v>0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107" t="n">
        <v>0</v>
      </c>
      <c r="AX6" s="107" t="n">
        <v>0</v>
      </c>
      <c r="AY6" s="108" t="n"/>
      <c r="AZ6" s="107" t="n"/>
      <c r="BA6" s="108" t="n"/>
      <c r="BB6" s="108" t="n"/>
      <c r="BC6" s="108" t="n"/>
      <c r="BD6" s="108" t="n"/>
      <c r="BE6" s="108" t="n"/>
      <c r="BF6" s="108" t="n"/>
      <c r="BG6" s="108" t="n"/>
      <c r="BH6" s="108" t="n"/>
      <c r="BI6" s="57" t="n">
        <v>0</v>
      </c>
      <c r="BJ6" s="57" t="n">
        <v>0</v>
      </c>
      <c r="BK6" s="57" t="n">
        <v>0</v>
      </c>
      <c r="BL6" s="107" t="n">
        <v>0</v>
      </c>
      <c r="BM6" s="107" t="n">
        <v>0</v>
      </c>
      <c r="BN6" s="107" t="n">
        <v>0</v>
      </c>
      <c r="BO6" s="107" t="n">
        <v>0</v>
      </c>
      <c r="BP6" s="107" t="n">
        <v>0</v>
      </c>
      <c r="BQ6" s="107" t="n">
        <v>14676</v>
      </c>
      <c r="BR6" s="107" t="n">
        <v>23264</v>
      </c>
      <c r="BS6" s="108" t="n">
        <v>1</v>
      </c>
      <c r="BT6" s="107" t="n">
        <v>4952.62413832109</v>
      </c>
      <c r="BU6" s="107" t="n">
        <v>3648.66600831735</v>
      </c>
      <c r="BV6" s="107" t="n">
        <v>1439.60790845858</v>
      </c>
      <c r="BW6" s="107" t="n">
        <v>11879.6866521064</v>
      </c>
      <c r="BX6" s="107" t="n">
        <v>11701.0475150395</v>
      </c>
      <c r="BY6" s="107" t="n">
        <v>16789.3214318155</v>
      </c>
      <c r="BZ6" s="109" t="n">
        <v>0.874127049124764</v>
      </c>
      <c r="CA6" s="118" t="n">
        <v>535.917411200734</v>
      </c>
      <c r="CB6" s="107" t="n">
        <v>18271.9186988861</v>
      </c>
      <c r="CC6" s="109" t="n">
        <v>1.27321056881772</v>
      </c>
      <c r="CD6" s="107" t="n">
        <v>18257.3107904275</v>
      </c>
      <c r="CE6" s="109" t="n">
        <v>1.27422928091894</v>
      </c>
    </row>
    <row r="7" ht="16.5" customFormat="1" customHeight="1" s="39">
      <c r="A7" s="63" t="n">
        <v>45931</v>
      </c>
      <c r="B7" s="67" t="n"/>
      <c r="C7" s="67" t="n"/>
      <c r="D7" s="67" t="n"/>
      <c r="E7" s="67" t="n"/>
      <c r="F7" s="67" t="n"/>
      <c r="G7" s="67" t="n"/>
      <c r="H7" s="107" t="n">
        <v>9344.663249674109</v>
      </c>
      <c r="I7" s="118">
        <f>H7-CA7</f>
        <v/>
      </c>
      <c r="J7" s="107" t="n">
        <v>227.91861584571</v>
      </c>
      <c r="K7" s="57" t="n">
        <v>41</v>
      </c>
      <c r="L7" s="57" t="n">
        <v>4</v>
      </c>
      <c r="M7" s="57" t="n">
        <v>4</v>
      </c>
      <c r="N7" s="57" t="n">
        <v>4</v>
      </c>
      <c r="O7" s="57" t="n">
        <v>2</v>
      </c>
      <c r="P7" s="57" t="n">
        <v>3</v>
      </c>
      <c r="Q7" s="57" t="n">
        <v>2</v>
      </c>
      <c r="R7" s="57" t="n">
        <v>2</v>
      </c>
      <c r="S7" s="107" t="n">
        <v>17376</v>
      </c>
      <c r="T7" s="107" t="n">
        <v>17376</v>
      </c>
      <c r="U7" s="108" t="n">
        <v>1</v>
      </c>
      <c r="V7" s="107" t="n">
        <v>8688</v>
      </c>
      <c r="W7" s="108" t="n">
        <v>0.0975609756097561</v>
      </c>
      <c r="X7" s="108" t="n">
        <v>1</v>
      </c>
      <c r="Y7" s="108" t="n">
        <v>0.0975609756097561</v>
      </c>
      <c r="Z7" s="108" t="n">
        <v>0.5</v>
      </c>
      <c r="AA7" s="108" t="n">
        <v>1</v>
      </c>
      <c r="AB7" s="108" t="n">
        <v>1</v>
      </c>
      <c r="AC7" s="108" t="n">
        <v>0.0487804878048781</v>
      </c>
      <c r="AD7" s="108" t="n">
        <v>0.0487804878048781</v>
      </c>
      <c r="AE7" s="107" t="n">
        <v>15051.2120697814</v>
      </c>
      <c r="AF7" s="109" t="n">
        <v>1.1544585193166</v>
      </c>
      <c r="AG7" s="57" t="n">
        <v>3</v>
      </c>
      <c r="AH7" s="57" t="n">
        <v>3</v>
      </c>
      <c r="AI7" s="57" t="n">
        <v>3</v>
      </c>
      <c r="AJ7" s="107" t="n">
        <v>2561.87230376072</v>
      </c>
      <c r="AK7" s="107" t="n">
        <v>568.989445051752</v>
      </c>
      <c r="AL7" s="107" t="n">
        <v>1911.38935893849</v>
      </c>
      <c r="AM7" s="107" t="n">
        <v>410</v>
      </c>
      <c r="AN7" s="107" t="n">
        <v>254.297712356307</v>
      </c>
      <c r="AO7" s="57" t="n">
        <v>0</v>
      </c>
      <c r="AP7" s="57" t="n">
        <v>0</v>
      </c>
      <c r="AQ7" s="57" t="n">
        <v>0</v>
      </c>
      <c r="AR7" s="57" t="n">
        <v>0</v>
      </c>
      <c r="AS7" s="57" t="n">
        <v>0</v>
      </c>
      <c r="AT7" s="57" t="n">
        <v>1</v>
      </c>
      <c r="AU7" s="57" t="n">
        <v>0</v>
      </c>
      <c r="AV7" s="57" t="n">
        <v>0</v>
      </c>
      <c r="AW7" s="107" t="n">
        <v>0</v>
      </c>
      <c r="AX7" s="107" t="n">
        <v>0</v>
      </c>
      <c r="AY7" s="108" t="n"/>
      <c r="AZ7" s="107" t="n"/>
      <c r="BA7" s="108" t="n"/>
      <c r="BB7" s="108" t="n"/>
      <c r="BC7" s="108" t="n"/>
      <c r="BD7" s="108" t="n"/>
      <c r="BE7" s="108" t="n">
        <v>1</v>
      </c>
      <c r="BF7" s="108" t="n"/>
      <c r="BG7" s="108" t="n"/>
      <c r="BH7" s="108" t="n"/>
      <c r="BI7" s="57" t="n">
        <v>1</v>
      </c>
      <c r="BJ7" s="57" t="n">
        <v>1</v>
      </c>
      <c r="BK7" s="57" t="n">
        <v>2</v>
      </c>
      <c r="BL7" s="107" t="n">
        <v>0</v>
      </c>
      <c r="BM7" s="107" t="n">
        <v>0</v>
      </c>
      <c r="BN7" s="107" t="n">
        <v>0</v>
      </c>
      <c r="BO7" s="107" t="n">
        <v>0</v>
      </c>
      <c r="BP7" s="107" t="n">
        <v>160</v>
      </c>
      <c r="BQ7" s="107" t="n">
        <v>17376</v>
      </c>
      <c r="BR7" s="107" t="n">
        <v>17376</v>
      </c>
      <c r="BS7" s="108" t="n">
        <v>1</v>
      </c>
      <c r="BT7" s="107" t="n">
        <v>3304.67651634655</v>
      </c>
      <c r="BU7" s="107" t="n">
        <v>3059.91061222778</v>
      </c>
      <c r="BV7" s="107" t="n">
        <v>2561.87230376072</v>
      </c>
      <c r="BW7" s="107" t="n">
        <v>9344.663249674109</v>
      </c>
      <c r="BX7" s="107" t="n">
        <v>9344.663249674109</v>
      </c>
      <c r="BY7" s="107" t="n">
        <v>14966.4461656626</v>
      </c>
      <c r="BZ7" s="109" t="n">
        <v>1.16099706020161</v>
      </c>
      <c r="CA7" s="118" t="n">
        <v>357.278274133822</v>
      </c>
      <c r="CB7" s="107" t="n">
        <v>15211.2120697814</v>
      </c>
      <c r="CC7" s="109" t="n">
        <v>1.14231528166774</v>
      </c>
      <c r="CD7" s="107" t="n">
        <v>15724.3397660207</v>
      </c>
      <c r="CE7" s="109" t="n">
        <v>1.10503844730883</v>
      </c>
    </row>
    <row r="8" ht="16.5" customFormat="1" customHeight="1" s="39">
      <c r="A8" s="63" t="n">
        <v>45962</v>
      </c>
      <c r="B8" s="67" t="n"/>
      <c r="C8" s="67" t="n"/>
      <c r="D8" s="67" t="n"/>
      <c r="E8" s="67" t="n"/>
      <c r="F8" s="67" t="n"/>
      <c r="G8" s="67" t="n"/>
      <c r="H8" s="107" t="n"/>
      <c r="I8" s="118" t="n"/>
      <c r="J8" s="107" t="n"/>
      <c r="K8" s="57" t="n"/>
      <c r="L8" s="57" t="n"/>
      <c r="M8" s="57" t="n"/>
      <c r="N8" s="57" t="n"/>
      <c r="O8" s="57" t="n"/>
      <c r="P8" s="57" t="n"/>
      <c r="Q8" s="57" t="n"/>
      <c r="R8" s="57" t="n"/>
      <c r="S8" s="107" t="n"/>
      <c r="T8" s="107" t="n"/>
      <c r="U8" s="108" t="n"/>
      <c r="V8" s="107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7" t="n"/>
      <c r="AF8" s="109" t="n"/>
      <c r="AG8" s="57" t="n"/>
      <c r="AH8" s="57" t="n"/>
      <c r="AI8" s="57" t="n"/>
      <c r="AJ8" s="107" t="n"/>
      <c r="AK8" s="107" t="n"/>
      <c r="AL8" s="107" t="n"/>
      <c r="AM8" s="107" t="n"/>
      <c r="AN8" s="10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107" t="n"/>
      <c r="AX8" s="107" t="n"/>
      <c r="AY8" s="108" t="n"/>
      <c r="AZ8" s="107" t="n"/>
      <c r="BA8" s="108" t="n"/>
      <c r="BB8" s="108" t="n"/>
      <c r="BC8" s="108" t="n"/>
      <c r="BD8" s="108" t="n"/>
      <c r="BE8" s="108" t="n"/>
      <c r="BF8" s="108" t="n"/>
      <c r="BG8" s="108" t="n"/>
      <c r="BH8" s="108" t="n"/>
      <c r="BI8" s="57" t="n"/>
      <c r="BJ8" s="57" t="n"/>
      <c r="BK8" s="57" t="n"/>
      <c r="BL8" s="107" t="n"/>
      <c r="BM8" s="107" t="n"/>
      <c r="BN8" s="107" t="n"/>
      <c r="BO8" s="107" t="n"/>
      <c r="BP8" s="107" t="n"/>
      <c r="BQ8" s="107" t="n"/>
      <c r="BR8" s="107" t="n"/>
      <c r="BS8" s="108" t="n"/>
      <c r="BT8" s="107" t="n"/>
      <c r="BU8" s="107" t="n"/>
      <c r="BV8" s="107" t="n"/>
      <c r="BW8" s="107" t="n"/>
      <c r="BX8" s="107" t="n"/>
      <c r="BY8" s="107" t="n"/>
      <c r="BZ8" s="109" t="n"/>
      <c r="CA8" s="118" t="n"/>
      <c r="CB8" s="107" t="n"/>
      <c r="CC8" s="109" t="n"/>
      <c r="CD8" s="107" t="n"/>
      <c r="CE8" s="109" t="n"/>
    </row>
    <row r="9" ht="30" customFormat="1" customHeight="1" s="40">
      <c r="A9" s="40" t="inlineStr">
        <is>
          <t>林子善-汇总</t>
        </is>
      </c>
      <c r="B9" s="57" t="n"/>
      <c r="C9" s="57" t="n"/>
      <c r="D9" s="57" t="n"/>
      <c r="E9" s="57" t="n"/>
      <c r="F9" s="57" t="n"/>
      <c r="G9" s="57" t="n"/>
      <c r="H9" s="107">
        <f>SUM(H3:H8)</f>
        <v/>
      </c>
      <c r="I9" s="107">
        <f>SUM(I3:I8)</f>
        <v/>
      </c>
      <c r="J9" s="107">
        <f>I9/K9</f>
        <v/>
      </c>
      <c r="K9" s="57">
        <f>SUM(K3:K8)</f>
        <v/>
      </c>
      <c r="L9" s="57">
        <f>SUM(L3:L8)</f>
        <v/>
      </c>
      <c r="M9" s="57">
        <f>SUM(M3:M8)</f>
        <v/>
      </c>
      <c r="N9" s="57">
        <f>SUM(N3:N8)</f>
        <v/>
      </c>
      <c r="O9" s="57">
        <f>SUM(O3:O8)</f>
        <v/>
      </c>
      <c r="P9" s="57">
        <f>SUM(P3:P8)</f>
        <v/>
      </c>
      <c r="Q9" s="57">
        <f>SUM(Q3:Q8)</f>
        <v/>
      </c>
      <c r="R9" s="57">
        <f>SUM(R3:R8)</f>
        <v/>
      </c>
      <c r="S9" s="107">
        <f>SUM(S3:S8)</f>
        <v/>
      </c>
      <c r="T9" s="107">
        <f>SUM(T3:T8)</f>
        <v/>
      </c>
      <c r="U9" s="57" t="n"/>
      <c r="V9" s="107">
        <f>T9/R9</f>
        <v/>
      </c>
      <c r="W9" s="61">
        <f>L9/K9</f>
        <v/>
      </c>
      <c r="X9" s="61">
        <f>N9/L9</f>
        <v/>
      </c>
      <c r="Y9" s="61">
        <f>N9/K9</f>
        <v/>
      </c>
      <c r="Z9" s="61">
        <f>O9/N9</f>
        <v/>
      </c>
      <c r="AA9" s="61">
        <f>AVERAGE(AA3:AA8)</f>
        <v/>
      </c>
      <c r="AB9" s="61">
        <f>Q9/O9</f>
        <v/>
      </c>
      <c r="AC9" s="61">
        <f>Q9/K9</f>
        <v/>
      </c>
      <c r="AD9" s="61">
        <f>R9/K9</f>
        <v/>
      </c>
      <c r="AE9" s="107">
        <f>SUM(AE3:AE8)</f>
        <v/>
      </c>
      <c r="AF9" s="109">
        <f>T9/AE9</f>
        <v/>
      </c>
      <c r="AG9" s="57">
        <f>SUM(AG3:AG8)</f>
        <v/>
      </c>
      <c r="AH9" s="57">
        <f>SUM(AH3:AH8)</f>
        <v/>
      </c>
      <c r="AI9" s="57">
        <f>SUM(AI3:AI8)</f>
        <v/>
      </c>
      <c r="AJ9" s="107">
        <f>SUM(AJ3:AJ8)</f>
        <v/>
      </c>
      <c r="AK9" s="107">
        <f>SUM(AK3:AK8)</f>
        <v/>
      </c>
      <c r="AL9" s="107">
        <f>SUM(AL3:AL8)</f>
        <v/>
      </c>
      <c r="AM9" s="107">
        <f>SUM(AM3:AM8)</f>
        <v/>
      </c>
      <c r="AN9" s="107">
        <f>SUM(AN3:AN8)</f>
        <v/>
      </c>
      <c r="AO9" s="57">
        <f>SUM(AO3:AO8)</f>
        <v/>
      </c>
      <c r="AP9" s="57">
        <f>SUM(AP3:AP8)</f>
        <v/>
      </c>
      <c r="AQ9" s="57" t="n"/>
      <c r="AR9" s="57">
        <f>SUM(AR3:AR8)</f>
        <v/>
      </c>
      <c r="AS9" s="57">
        <f>SUM(AS3:AS8)</f>
        <v/>
      </c>
      <c r="AT9" s="57">
        <f>SUM(AT3:AT8)</f>
        <v/>
      </c>
      <c r="AU9" s="57">
        <f>SUM(AU3:AU8)</f>
        <v/>
      </c>
      <c r="AV9" s="57">
        <f>SUM(AV3:AV8)</f>
        <v/>
      </c>
      <c r="AW9" s="107">
        <f>SUM(AW3:AW8)</f>
        <v/>
      </c>
      <c r="AX9" s="107">
        <f>SUM(AX3:AX8)</f>
        <v/>
      </c>
      <c r="AY9" s="107" t="n"/>
      <c r="AZ9" s="107">
        <f>AX9/AV9</f>
        <v/>
      </c>
      <c r="BA9" s="62">
        <f>AP9/AO9</f>
        <v/>
      </c>
      <c r="BB9" s="62">
        <f>AR9/AP9</f>
        <v/>
      </c>
      <c r="BC9" s="62">
        <f>AR9/AO9</f>
        <v/>
      </c>
      <c r="BD9" s="62">
        <f>AS9/AR9</f>
        <v/>
      </c>
      <c r="BE9" s="62">
        <f>AVERAGE(BE3:BE8)</f>
        <v/>
      </c>
      <c r="BF9" s="62">
        <f>AU9/AS9</f>
        <v/>
      </c>
      <c r="BG9" s="62">
        <f>AU9/AO9</f>
        <v/>
      </c>
      <c r="BH9" s="62">
        <f>AV9/AO9</f>
        <v/>
      </c>
      <c r="BI9" s="57">
        <f>SUM(BI3:BI8)</f>
        <v/>
      </c>
      <c r="BJ9" s="57">
        <f>SUM(BJ3:BJ8)</f>
        <v/>
      </c>
      <c r="BK9" s="57">
        <f>SUM(BK3:BK8)</f>
        <v/>
      </c>
      <c r="BL9" s="107">
        <f>SUM(BL3:BL8)</f>
        <v/>
      </c>
      <c r="BM9" s="107">
        <f>SUM(BM3:BM8)</f>
        <v/>
      </c>
      <c r="BN9" s="107">
        <f>SUM(BN3:BN8)</f>
        <v/>
      </c>
      <c r="BO9" s="57">
        <f>SUM(BO3:BO8)</f>
        <v/>
      </c>
      <c r="BP9" s="57">
        <f>SUM(BP3:BP8)</f>
        <v/>
      </c>
      <c r="BQ9" s="107">
        <f>SUM(BQ3:BQ8)</f>
        <v/>
      </c>
      <c r="BR9" s="107">
        <f>SUM(BR3:BR8)</f>
        <v/>
      </c>
      <c r="BS9" s="107" t="n"/>
      <c r="BT9" s="107">
        <f>SUM(BT3:BT8)</f>
        <v/>
      </c>
      <c r="BU9" s="107">
        <f>SUM(BU3:BU8)</f>
        <v/>
      </c>
      <c r="BV9" s="107">
        <f>SUM(BV3:BV8)</f>
        <v/>
      </c>
      <c r="BW9" s="107">
        <f>SUM(BW3:BW8)</f>
        <v/>
      </c>
      <c r="BX9" s="107">
        <f>SUM(BX3:BX8)</f>
        <v/>
      </c>
      <c r="BY9" s="107">
        <f>SUM(BY3:BY8)</f>
        <v/>
      </c>
      <c r="BZ9" s="109">
        <f>BQ9/BY9</f>
        <v/>
      </c>
      <c r="CA9" s="107">
        <f>SUM(CA3:CA8)</f>
        <v/>
      </c>
      <c r="CB9" s="107">
        <f>SUM(CB3:CB8)</f>
        <v/>
      </c>
      <c r="CC9" s="109">
        <f>BR9/CB9</f>
        <v/>
      </c>
      <c r="CD9" s="107">
        <f>SUM(CD3:CD8)</f>
        <v/>
      </c>
      <c r="CE9" s="109">
        <f>BR9/CD9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F9"/>
  <sheetViews>
    <sheetView zoomScale="70" zoomScaleNormal="70" workbookViewId="0">
      <selection activeCell="J29" sqref="J29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45811</v>
      </c>
      <c r="B3" s="67" t="n"/>
      <c r="C3" s="67" t="n"/>
      <c r="D3" s="67" t="n"/>
      <c r="E3" s="67" t="n"/>
      <c r="F3" s="67" t="n"/>
      <c r="G3" s="67" t="n"/>
      <c r="H3" s="67" t="n">
        <v>39072.8525394145</v>
      </c>
      <c r="I3" s="117" t="n">
        <v>37826.8421619512</v>
      </c>
      <c r="J3" s="117" t="n">
        <v>952.996403400353</v>
      </c>
      <c r="K3" s="67" t="n">
        <v>41</v>
      </c>
      <c r="L3" s="67" t="n">
        <v>25</v>
      </c>
      <c r="M3" s="67" t="n">
        <v>25</v>
      </c>
      <c r="N3" s="67" t="n">
        <v>24</v>
      </c>
      <c r="O3" s="67" t="n">
        <v>21</v>
      </c>
      <c r="P3" s="67" t="n">
        <v>21</v>
      </c>
      <c r="Q3" s="67" t="n">
        <v>7</v>
      </c>
      <c r="R3" s="67" t="n">
        <v>7</v>
      </c>
      <c r="S3" s="117" t="n">
        <v>35916</v>
      </c>
      <c r="T3" s="117" t="n">
        <v>35916</v>
      </c>
      <c r="U3" s="121" t="n">
        <v>1</v>
      </c>
      <c r="V3" s="117" t="n">
        <v>5130.85714285714</v>
      </c>
      <c r="W3" s="121" t="n">
        <v>0.609756097560976</v>
      </c>
      <c r="X3" s="121" t="n">
        <v>0.96</v>
      </c>
      <c r="Y3" s="121" t="n">
        <v>0.585365853658537</v>
      </c>
      <c r="Z3" s="121" t="n">
        <v>0.875</v>
      </c>
      <c r="AA3" s="121" t="n">
        <v>0.91304347826087</v>
      </c>
      <c r="AB3" s="121" t="n">
        <v>0.333333333333333</v>
      </c>
      <c r="AC3" s="121" t="n">
        <v>0.170731707317073</v>
      </c>
      <c r="AD3" s="121" t="n">
        <v>0.170731707317073</v>
      </c>
      <c r="AE3" s="117" t="n">
        <v>49110.5634198355</v>
      </c>
      <c r="AF3" s="122" t="n">
        <v>0.7313294228160639</v>
      </c>
      <c r="AG3" s="67" t="n">
        <v>23</v>
      </c>
      <c r="AH3" s="67" t="n">
        <v>21</v>
      </c>
      <c r="AI3" s="67" t="n">
        <v>21</v>
      </c>
      <c r="AJ3" s="117" t="n">
        <v>1616.42164126069</v>
      </c>
      <c r="AK3" s="117" t="n">
        <v>2809.63616105636</v>
      </c>
      <c r="AL3" s="117" t="n">
        <v>3467.08952262594</v>
      </c>
      <c r="AM3" s="117" t="n">
        <v>331.112899633259</v>
      </c>
      <c r="AN3" s="67" t="n">
        <v>1813.45065584476</v>
      </c>
      <c r="AO3" s="67" t="n">
        <v>23</v>
      </c>
      <c r="AP3" s="67" t="n">
        <v>7</v>
      </c>
      <c r="AQ3" s="67" t="n">
        <v>7</v>
      </c>
      <c r="AR3" s="67" t="n">
        <v>7</v>
      </c>
      <c r="AS3" s="67" t="n">
        <v>1</v>
      </c>
      <c r="AT3" s="67" t="n">
        <v>1</v>
      </c>
      <c r="AU3" s="67" t="n">
        <v>0</v>
      </c>
      <c r="AV3" s="117" t="n">
        <v>0</v>
      </c>
      <c r="AW3" s="117" t="n">
        <v>0</v>
      </c>
      <c r="AX3" s="121" t="n">
        <v>0</v>
      </c>
      <c r="AY3" s="117" t="n"/>
      <c r="AZ3" s="121" t="n"/>
      <c r="BA3" s="121" t="n">
        <v>0.304347826086957</v>
      </c>
      <c r="BB3" s="121" t="n">
        <v>1</v>
      </c>
      <c r="BC3" s="121" t="n">
        <v>0.304347826086957</v>
      </c>
      <c r="BD3" s="121" t="n">
        <v>0.142857142857143</v>
      </c>
      <c r="BE3" s="121" t="n">
        <v>0.142857142857143</v>
      </c>
      <c r="BF3" s="121" t="n">
        <v>0</v>
      </c>
      <c r="BG3" s="121" t="n">
        <v>0</v>
      </c>
      <c r="BH3" s="67" t="n">
        <v>0</v>
      </c>
      <c r="BI3" s="67" t="n">
        <v>7</v>
      </c>
      <c r="BJ3" s="67" t="n">
        <v>1</v>
      </c>
      <c r="BK3" s="117" t="n">
        <v>1</v>
      </c>
      <c r="BL3" s="117" t="n">
        <v>906.773115829169</v>
      </c>
      <c r="BM3" s="117" t="n">
        <v>629.698462830002</v>
      </c>
      <c r="BN3" s="117" t="n">
        <v>0</v>
      </c>
      <c r="BO3" s="117" t="n">
        <v>185.746260769877</v>
      </c>
      <c r="BP3" s="117" t="n">
        <v>78.94673861385429</v>
      </c>
      <c r="BQ3" s="117" t="n">
        <v>35916</v>
      </c>
      <c r="BR3" s="121" t="n">
        <v>35916</v>
      </c>
      <c r="BS3" s="117" t="n">
        <v>1</v>
      </c>
      <c r="BT3" s="117" t="n">
        <v>9315.680701374051</v>
      </c>
      <c r="BU3" s="117" t="n">
        <v>9315.680701374051</v>
      </c>
      <c r="BV3" s="117" t="n">
        <v>2523.19475708986</v>
      </c>
      <c r="BW3" s="117" t="n">
        <v>39072.8525394145</v>
      </c>
      <c r="BX3" s="117" t="n">
        <v>39072.8525394145</v>
      </c>
      <c r="BY3" s="122" t="n">
        <v>50911.7279978784</v>
      </c>
      <c r="BZ3" s="122" t="n">
        <v>0.705456314535164</v>
      </c>
      <c r="CA3" s="122" t="n">
        <v>1246.01037746326</v>
      </c>
      <c r="CB3" s="122" t="n">
        <v>50911.7279978784</v>
      </c>
      <c r="CC3" s="122" t="n">
        <v>0.705456314535164</v>
      </c>
      <c r="CD3" s="122" t="n">
        <v>53188.5332407885</v>
      </c>
      <c r="CE3" s="39" t="n">
        <v>0.675258327530965</v>
      </c>
    </row>
    <row r="4" ht="16.5" customFormat="1" customHeight="1" s="39">
      <c r="A4" s="63" t="n">
        <v>45842</v>
      </c>
      <c r="B4" s="67" t="n"/>
      <c r="C4" s="67" t="n"/>
      <c r="D4" s="67" t="n"/>
      <c r="E4" s="67" t="n"/>
      <c r="F4" s="67" t="n"/>
      <c r="G4" s="67" t="n"/>
      <c r="H4" s="67" t="n">
        <v>50216.4272042511</v>
      </c>
      <c r="I4" s="117" t="n">
        <v>49157.8833333333</v>
      </c>
      <c r="J4" s="117" t="n">
        <v>1521.70991528034</v>
      </c>
      <c r="K4" s="67" t="n">
        <v>33</v>
      </c>
      <c r="L4" s="67" t="n">
        <v>18</v>
      </c>
      <c r="M4" s="67" t="n">
        <v>20</v>
      </c>
      <c r="N4" s="67" t="n">
        <v>19</v>
      </c>
      <c r="O4" s="67" t="n">
        <v>16</v>
      </c>
      <c r="P4" s="67" t="n">
        <v>19</v>
      </c>
      <c r="Q4" s="67" t="n">
        <v>5</v>
      </c>
      <c r="R4" s="67" t="n">
        <v>6</v>
      </c>
      <c r="S4" s="117" t="n">
        <v>25440</v>
      </c>
      <c r="T4" s="117" t="n">
        <v>34028</v>
      </c>
      <c r="U4" s="121" t="n">
        <v>1</v>
      </c>
      <c r="V4" s="117" t="n">
        <v>5671.33333333333</v>
      </c>
      <c r="W4" s="121" t="n">
        <v>0.545454545454545</v>
      </c>
      <c r="X4" s="121" t="n">
        <v>1.05555555555556</v>
      </c>
      <c r="Y4" s="121" t="n">
        <v>0.575757575757576</v>
      </c>
      <c r="Z4" s="121" t="n">
        <v>0.842105263157895</v>
      </c>
      <c r="AA4" s="121" t="n">
        <v>0.904761904761905</v>
      </c>
      <c r="AB4" s="121" t="n">
        <v>0.3125</v>
      </c>
      <c r="AC4" s="121" t="n">
        <v>0.151515151515152</v>
      </c>
      <c r="AD4" s="121" t="n">
        <v>0.181818181818182</v>
      </c>
      <c r="AE4" s="117" t="n">
        <v>59354.1799570716</v>
      </c>
      <c r="AF4" s="122" t="n">
        <v>0.573304188931782</v>
      </c>
      <c r="AG4" s="67" t="n">
        <v>21</v>
      </c>
      <c r="AH4" s="67" t="n">
        <v>19</v>
      </c>
      <c r="AI4" s="67" t="n">
        <v>20</v>
      </c>
      <c r="AJ4" s="117" t="n">
        <v>1452.14521452145</v>
      </c>
      <c r="AK4" s="117" t="n">
        <v>2098.67945239775</v>
      </c>
      <c r="AL4" s="117" t="n">
        <v>3484.40211159384</v>
      </c>
      <c r="AM4" s="117" t="n">
        <v>339.695358192281</v>
      </c>
      <c r="AN4" s="67" t="n">
        <v>1762.83061611516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25440</v>
      </c>
      <c r="BR4" s="121" t="n">
        <v>34028</v>
      </c>
      <c r="BS4" s="117" t="n">
        <v>1</v>
      </c>
      <c r="BT4" s="117" t="n">
        <v>7685.60753829903</v>
      </c>
      <c r="BU4" s="117" t="n">
        <v>6243.77869687372</v>
      </c>
      <c r="BV4" s="117" t="n">
        <v>1452.14521452145</v>
      </c>
      <c r="BW4" s="117" t="n">
        <v>50216.4272042511</v>
      </c>
      <c r="BX4" s="117" t="n">
        <v>50040.0032257648</v>
      </c>
      <c r="BY4" s="122" t="n">
        <v>57735.92713716</v>
      </c>
      <c r="BZ4" s="122" t="n">
        <v>0.440626855087364</v>
      </c>
      <c r="CA4" s="122" t="n">
        <v>1058.54387091784</v>
      </c>
      <c r="CB4" s="122" t="n">
        <v>59354.1799570716</v>
      </c>
      <c r="CC4" s="122" t="n">
        <v>0.573304188931782</v>
      </c>
      <c r="CD4" s="122" t="n">
        <v>60377.0347425502</v>
      </c>
      <c r="CE4" s="39" t="n">
        <v>0.563591772022204</v>
      </c>
    </row>
    <row r="5" ht="16.5" customFormat="1" customHeight="1" s="39">
      <c r="A5" s="63" t="n">
        <v>45873</v>
      </c>
      <c r="B5" s="67" t="n"/>
      <c r="C5" s="67" t="n"/>
      <c r="D5" s="67" t="n"/>
      <c r="E5" s="67" t="n"/>
      <c r="F5" s="67" t="n"/>
      <c r="G5" s="67" t="n"/>
      <c r="H5" s="67" t="n">
        <v>32407.7464475992</v>
      </c>
      <c r="I5" s="117" t="n">
        <v>32054.1051226715</v>
      </c>
      <c r="J5" s="117" t="n">
        <v>1906.33802632937</v>
      </c>
      <c r="K5" s="67" t="n">
        <v>17</v>
      </c>
      <c r="L5" s="67" t="n">
        <v>8</v>
      </c>
      <c r="M5" s="67" t="n">
        <v>8</v>
      </c>
      <c r="N5" s="67" t="n">
        <v>8</v>
      </c>
      <c r="O5" s="67" t="n">
        <v>7</v>
      </c>
      <c r="P5" s="67" t="n">
        <v>9</v>
      </c>
      <c r="Q5" s="67" t="n">
        <v>2</v>
      </c>
      <c r="R5" s="67" t="n">
        <v>2</v>
      </c>
      <c r="S5" s="117" t="n">
        <v>9676</v>
      </c>
      <c r="T5" s="117" t="n">
        <v>9676</v>
      </c>
      <c r="U5" s="121" t="n">
        <v>1</v>
      </c>
      <c r="V5" s="117" t="n">
        <v>4838</v>
      </c>
      <c r="W5" s="121" t="n">
        <v>0.470588235294118</v>
      </c>
      <c r="X5" s="121" t="n">
        <v>1</v>
      </c>
      <c r="Y5" s="121" t="n">
        <v>0.470588235294118</v>
      </c>
      <c r="Z5" s="121" t="n">
        <v>0.875</v>
      </c>
      <c r="AA5" s="121" t="n">
        <v>1</v>
      </c>
      <c r="AB5" s="121" t="n">
        <v>0.285714285714286</v>
      </c>
      <c r="AC5" s="121" t="n">
        <v>0.117647058823529</v>
      </c>
      <c r="AD5" s="121" t="n">
        <v>0.117647058823529</v>
      </c>
      <c r="AE5" s="117" t="n">
        <v>36574.3325624708</v>
      </c>
      <c r="AF5" s="122" t="n">
        <v>0.264557117576182</v>
      </c>
      <c r="AG5" s="67" t="n">
        <v>9</v>
      </c>
      <c r="AH5" s="67" t="n">
        <v>9</v>
      </c>
      <c r="AI5" s="67" t="n">
        <v>13</v>
      </c>
      <c r="AJ5" s="117" t="n">
        <v>871.7948717948721</v>
      </c>
      <c r="AK5" s="117" t="n">
        <v>988.147450754517</v>
      </c>
      <c r="AL5" s="117" t="n">
        <v>990.80389184736</v>
      </c>
      <c r="AM5" s="117" t="n">
        <v>170</v>
      </c>
      <c r="AN5" s="67" t="n">
        <v>1145.83990047486</v>
      </c>
      <c r="AO5" s="67" t="n">
        <v>0</v>
      </c>
      <c r="AP5" s="67" t="n">
        <v>0</v>
      </c>
      <c r="AQ5" s="67" t="n">
        <v>0</v>
      </c>
      <c r="AR5" s="67" t="n">
        <v>0</v>
      </c>
      <c r="AS5" s="67" t="n">
        <v>0</v>
      </c>
      <c r="AT5" s="67" t="n">
        <v>0</v>
      </c>
      <c r="AU5" s="67" t="n">
        <v>0</v>
      </c>
      <c r="AV5" s="117" t="n">
        <v>0</v>
      </c>
      <c r="AW5" s="117" t="n">
        <v>0</v>
      </c>
      <c r="AX5" s="121" t="n">
        <v>0</v>
      </c>
      <c r="AY5" s="117" t="n"/>
      <c r="AZ5" s="121" t="n"/>
      <c r="BA5" s="121" t="n"/>
      <c r="BB5" s="121" t="n"/>
      <c r="BC5" s="121" t="n"/>
      <c r="BD5" s="121" t="n"/>
      <c r="BE5" s="121" t="n"/>
      <c r="BF5" s="121" t="n"/>
      <c r="BG5" s="121" t="n"/>
      <c r="BH5" s="67" t="n"/>
      <c r="BI5" s="67" t="n">
        <v>0</v>
      </c>
      <c r="BJ5" s="67" t="n">
        <v>0</v>
      </c>
      <c r="BK5" s="117" t="n">
        <v>0</v>
      </c>
      <c r="BL5" s="117" t="n">
        <v>0</v>
      </c>
      <c r="BM5" s="117" t="n">
        <v>0</v>
      </c>
      <c r="BN5" s="117" t="n">
        <v>0</v>
      </c>
      <c r="BO5" s="117" t="n">
        <v>0</v>
      </c>
      <c r="BP5" s="117" t="n">
        <v>0</v>
      </c>
      <c r="BQ5" s="117" t="n">
        <v>9676</v>
      </c>
      <c r="BR5" s="121" t="n">
        <v>9676</v>
      </c>
      <c r="BS5" s="117" t="n">
        <v>1</v>
      </c>
      <c r="BT5" s="117" t="n">
        <v>3294.79124307673</v>
      </c>
      <c r="BU5" s="117" t="n">
        <v>3030.36665065946</v>
      </c>
      <c r="BV5" s="117" t="n">
        <v>871.7948717948721</v>
      </c>
      <c r="BW5" s="117" t="n">
        <v>32407.7464475992</v>
      </c>
      <c r="BX5" s="117" t="n">
        <v>32407.7464475992</v>
      </c>
      <c r="BY5" s="122" t="n">
        <v>36309.9079700536</v>
      </c>
      <c r="BZ5" s="122" t="n">
        <v>0.26648373793677</v>
      </c>
      <c r="CA5" s="122" t="n">
        <v>353.641324927742</v>
      </c>
      <c r="CB5" s="122" t="n">
        <v>36574.3325624708</v>
      </c>
      <c r="CC5" s="122" t="n">
        <v>0.264557117576182</v>
      </c>
      <c r="CD5" s="122" t="n">
        <v>36977.537690676</v>
      </c>
      <c r="CE5" s="39" t="n">
        <v>0.261672372047635</v>
      </c>
    </row>
    <row r="6" ht="16.5" customFormat="1" customHeight="1" s="39">
      <c r="A6" s="63" t="n">
        <v>45904</v>
      </c>
      <c r="B6" s="67" t="n"/>
      <c r="C6" s="67" t="n"/>
      <c r="D6" s="67" t="n"/>
      <c r="E6" s="67" t="n"/>
      <c r="F6" s="67" t="n"/>
      <c r="G6" s="67" t="n"/>
      <c r="H6" s="107" t="n">
        <v>18252.1198055033</v>
      </c>
      <c r="I6" s="118">
        <f>H6-CA6</f>
        <v/>
      </c>
      <c r="J6" s="107" t="n">
        <v>793.570426326232</v>
      </c>
      <c r="K6" s="57" t="n">
        <v>23</v>
      </c>
      <c r="L6" s="57" t="n">
        <v>10</v>
      </c>
      <c r="M6" s="57" t="n">
        <v>10</v>
      </c>
      <c r="N6" s="57" t="n">
        <v>10</v>
      </c>
      <c r="O6" s="57" t="n">
        <v>8</v>
      </c>
      <c r="P6" s="57" t="n">
        <v>11</v>
      </c>
      <c r="Q6" s="57" t="n">
        <v>3</v>
      </c>
      <c r="R6" s="57" t="n">
        <v>4</v>
      </c>
      <c r="S6" s="107" t="n">
        <v>10764</v>
      </c>
      <c r="T6" s="107" t="n">
        <v>19352</v>
      </c>
      <c r="U6" s="108" t="n">
        <v>1</v>
      </c>
      <c r="V6" s="107" t="n">
        <v>4838</v>
      </c>
      <c r="W6" s="108" t="n">
        <v>0.434782608695652</v>
      </c>
      <c r="X6" s="108" t="n">
        <v>1</v>
      </c>
      <c r="Y6" s="108" t="n">
        <v>0.434782608695652</v>
      </c>
      <c r="Z6" s="108" t="n">
        <v>0.8</v>
      </c>
      <c r="AA6" s="108" t="n">
        <v>1</v>
      </c>
      <c r="AB6" s="108" t="n">
        <v>0.375</v>
      </c>
      <c r="AC6" s="108" t="n">
        <v>0.130434782608696</v>
      </c>
      <c r="AD6" s="108" t="n">
        <v>0.173913043478261</v>
      </c>
      <c r="AE6" s="107" t="n">
        <v>23910.5088199237</v>
      </c>
      <c r="AF6" s="109" t="n">
        <v>0.809351241571018</v>
      </c>
      <c r="AG6" s="57" t="n">
        <v>11</v>
      </c>
      <c r="AH6" s="57" t="n">
        <v>11</v>
      </c>
      <c r="AI6" s="57" t="n">
        <v>11</v>
      </c>
      <c r="AJ6" s="107" t="n">
        <v>875.475802066341</v>
      </c>
      <c r="AK6" s="107" t="n">
        <v>1445.89210073044</v>
      </c>
      <c r="AL6" s="107" t="n">
        <v>2172.79512553341</v>
      </c>
      <c r="AM6" s="107" t="n">
        <v>230</v>
      </c>
      <c r="AN6" s="107" t="n">
        <v>934.225986090147</v>
      </c>
      <c r="AO6" s="57" t="n">
        <v>0</v>
      </c>
      <c r="AP6" s="57" t="n">
        <v>0</v>
      </c>
      <c r="AQ6" s="57" t="n">
        <v>0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107" t="n">
        <v>0</v>
      </c>
      <c r="AX6" s="107" t="n">
        <v>0</v>
      </c>
      <c r="AY6" s="108" t="n"/>
      <c r="AZ6" s="107" t="n"/>
      <c r="BA6" s="108" t="n"/>
      <c r="BB6" s="108" t="n"/>
      <c r="BC6" s="108" t="n"/>
      <c r="BD6" s="108" t="n"/>
      <c r="BE6" s="108" t="n"/>
      <c r="BF6" s="108" t="n"/>
      <c r="BG6" s="108" t="n"/>
      <c r="BH6" s="108" t="n"/>
      <c r="BI6" s="57" t="n">
        <v>0</v>
      </c>
      <c r="BJ6" s="57" t="n">
        <v>0</v>
      </c>
      <c r="BK6" s="57" t="n">
        <v>0</v>
      </c>
      <c r="BL6" s="107" t="n">
        <v>0</v>
      </c>
      <c r="BM6" s="107" t="n">
        <v>0</v>
      </c>
      <c r="BN6" s="107" t="n">
        <v>0</v>
      </c>
      <c r="BO6" s="107" t="n">
        <v>0</v>
      </c>
      <c r="BP6" s="107" t="n">
        <v>0</v>
      </c>
      <c r="BQ6" s="107" t="n">
        <v>10764</v>
      </c>
      <c r="BR6" s="107" t="n">
        <v>19352</v>
      </c>
      <c r="BS6" s="108" t="n">
        <v>1</v>
      </c>
      <c r="BT6" s="107" t="n">
        <v>4782.91321235399</v>
      </c>
      <c r="BU6" s="107" t="n">
        <v>3563.88471744936</v>
      </c>
      <c r="BV6" s="107" t="n">
        <v>875.475802066341</v>
      </c>
      <c r="BW6" s="107" t="n">
        <v>18252.1198055033</v>
      </c>
      <c r="BX6" s="107" t="n">
        <v>18073.4806684364</v>
      </c>
      <c r="BY6" s="107" t="n">
        <v>22512.8411879521</v>
      </c>
      <c r="BZ6" s="109" t="n">
        <v>0.478127123544069</v>
      </c>
      <c r="CA6" s="118" t="n">
        <v>714.556548267645</v>
      </c>
      <c r="CB6" s="107" t="n">
        <v>23910.5088199237</v>
      </c>
      <c r="CC6" s="109" t="n">
        <v>0.809351241571018</v>
      </c>
      <c r="CD6" s="107" t="n">
        <v>24760.0330178573</v>
      </c>
      <c r="CE6" s="109" t="n">
        <v>0.781582156455245</v>
      </c>
    </row>
    <row r="7" ht="16.5" customFormat="1" customHeight="1" s="39">
      <c r="A7" s="63" t="n">
        <v>45931</v>
      </c>
      <c r="B7" s="67" t="n"/>
      <c r="C7" s="67" t="n"/>
      <c r="D7" s="67" t="n"/>
      <c r="E7" s="67" t="n"/>
      <c r="F7" s="67" t="n"/>
      <c r="G7" s="67" t="n"/>
      <c r="H7" s="107" t="n">
        <v>22910.0832648592</v>
      </c>
      <c r="I7" s="118">
        <f>H7-CA7</f>
        <v/>
      </c>
      <c r="J7" s="107" t="n">
        <v>388.306496014563</v>
      </c>
      <c r="K7" s="57" t="n">
        <v>59</v>
      </c>
      <c r="L7" s="57" t="n">
        <v>9</v>
      </c>
      <c r="M7" s="57" t="n">
        <v>9</v>
      </c>
      <c r="N7" s="57" t="n">
        <v>9</v>
      </c>
      <c r="O7" s="57" t="n">
        <v>7</v>
      </c>
      <c r="P7" s="57" t="n">
        <v>9</v>
      </c>
      <c r="Q7" s="57" t="n">
        <v>3</v>
      </c>
      <c r="R7" s="57" t="n">
        <v>3</v>
      </c>
      <c r="S7" s="107" t="n">
        <v>15664</v>
      </c>
      <c r="T7" s="107" t="n">
        <v>15664</v>
      </c>
      <c r="U7" s="108" t="n">
        <v>1</v>
      </c>
      <c r="V7" s="107" t="n">
        <v>5221.33333333333</v>
      </c>
      <c r="W7" s="108" t="n">
        <v>0.152542372881356</v>
      </c>
      <c r="X7" s="108" t="n">
        <v>1</v>
      </c>
      <c r="Y7" s="108" t="n">
        <v>0.152542372881356</v>
      </c>
      <c r="Z7" s="108" t="n">
        <v>0.777777777777778</v>
      </c>
      <c r="AA7" s="108" t="n">
        <v>1</v>
      </c>
      <c r="AB7" s="108" t="n">
        <v>0.428571428571429</v>
      </c>
      <c r="AC7" s="108" t="n">
        <v>0.0508474576271186</v>
      </c>
      <c r="AD7" s="108" t="n">
        <v>0.0508474576271186</v>
      </c>
      <c r="AE7" s="107" t="n">
        <v>28875.7780829608</v>
      </c>
      <c r="AF7" s="109" t="n">
        <v>0.542461572983314</v>
      </c>
      <c r="AG7" s="57" t="n">
        <v>9</v>
      </c>
      <c r="AH7" s="57" t="n">
        <v>9</v>
      </c>
      <c r="AI7" s="57" t="n">
        <v>9</v>
      </c>
      <c r="AJ7" s="107" t="n">
        <v>1609.50896336711</v>
      </c>
      <c r="AK7" s="107" t="n">
        <v>1280.22625136644</v>
      </c>
      <c r="AL7" s="107" t="n">
        <v>1723.06646629906</v>
      </c>
      <c r="AM7" s="107" t="n">
        <v>590</v>
      </c>
      <c r="AN7" s="107" t="n">
        <v>762.893137068921</v>
      </c>
      <c r="AO7" s="57" t="n">
        <v>0</v>
      </c>
      <c r="AP7" s="57" t="n">
        <v>0</v>
      </c>
      <c r="AQ7" s="57" t="n">
        <v>0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107" t="n">
        <v>0</v>
      </c>
      <c r="AX7" s="107" t="n">
        <v>0</v>
      </c>
      <c r="AY7" s="108" t="n"/>
      <c r="AZ7" s="107" t="n"/>
      <c r="BA7" s="108" t="n"/>
      <c r="BB7" s="108" t="n"/>
      <c r="BC7" s="108" t="n"/>
      <c r="BD7" s="108" t="n"/>
      <c r="BE7" s="108" t="n"/>
      <c r="BF7" s="108" t="n"/>
      <c r="BG7" s="108" t="n"/>
      <c r="BH7" s="108" t="n"/>
      <c r="BI7" s="57" t="n">
        <v>0</v>
      </c>
      <c r="BJ7" s="57" t="n">
        <v>0</v>
      </c>
      <c r="BK7" s="57" t="n">
        <v>0</v>
      </c>
      <c r="BL7" s="107" t="n">
        <v>0</v>
      </c>
      <c r="BM7" s="107" t="n">
        <v>0</v>
      </c>
      <c r="BN7" s="107" t="n">
        <v>0</v>
      </c>
      <c r="BO7" s="107" t="n">
        <v>0</v>
      </c>
      <c r="BP7" s="107" t="n">
        <v>0</v>
      </c>
      <c r="BQ7" s="107" t="n">
        <v>15664</v>
      </c>
      <c r="BR7" s="107" t="n">
        <v>15664</v>
      </c>
      <c r="BS7" s="108" t="n">
        <v>1</v>
      </c>
      <c r="BT7" s="107" t="n">
        <v>4356.18585473443</v>
      </c>
      <c r="BU7" s="107" t="n">
        <v>4186.65404649689</v>
      </c>
      <c r="BV7" s="107" t="n">
        <v>1609.50896336711</v>
      </c>
      <c r="BW7" s="107" t="n">
        <v>22910.0832648592</v>
      </c>
      <c r="BX7" s="107" t="n">
        <v>22910.0832648592</v>
      </c>
      <c r="BY7" s="107" t="n">
        <v>28706.2462747232</v>
      </c>
      <c r="BZ7" s="109" t="n">
        <v>0.54566521342056</v>
      </c>
      <c r="CA7" s="118" t="n">
        <v>535.917411200734</v>
      </c>
      <c r="CB7" s="107" t="n">
        <v>28875.7780829608</v>
      </c>
      <c r="CC7" s="109" t="n">
        <v>0.542461572983314</v>
      </c>
      <c r="CD7" s="107" t="n">
        <v>31691.2691195937</v>
      </c>
      <c r="CE7" s="109" t="n">
        <v>0.494268624613568</v>
      </c>
    </row>
    <row r="8" ht="16.5" customFormat="1" customHeight="1" s="39">
      <c r="A8" s="63" t="n">
        <v>45962</v>
      </c>
      <c r="B8" s="67" t="n"/>
      <c r="C8" s="67" t="n"/>
      <c r="D8" s="67" t="n"/>
      <c r="E8" s="67" t="n"/>
      <c r="F8" s="67" t="n"/>
      <c r="G8" s="67" t="n"/>
      <c r="H8" s="107" t="n">
        <v>1629.056</v>
      </c>
      <c r="I8" s="118">
        <f>H8-CA8</f>
        <v/>
      </c>
      <c r="J8" s="107" t="n">
        <v>814.528</v>
      </c>
      <c r="K8" s="57" t="n">
        <v>2</v>
      </c>
      <c r="L8" s="57" t="n">
        <v>1</v>
      </c>
      <c r="M8" s="57" t="n">
        <v>1</v>
      </c>
      <c r="N8" s="57" t="n">
        <v>1</v>
      </c>
      <c r="O8" s="57" t="n">
        <v>0</v>
      </c>
      <c r="P8" s="57" t="n">
        <v>1</v>
      </c>
      <c r="Q8" s="57" t="n">
        <v>0</v>
      </c>
      <c r="R8" s="57" t="n">
        <v>0</v>
      </c>
      <c r="S8" s="107" t="n">
        <v>0</v>
      </c>
      <c r="T8" s="107" t="n">
        <v>0</v>
      </c>
      <c r="U8" s="108" t="n"/>
      <c r="V8" s="107" t="n"/>
      <c r="W8" s="108" t="n">
        <v>0.5</v>
      </c>
      <c r="X8" s="108" t="n">
        <v>1</v>
      </c>
      <c r="Y8" s="108" t="n">
        <v>0.5</v>
      </c>
      <c r="Z8" s="108" t="n">
        <v>0</v>
      </c>
      <c r="AA8" s="108" t="n">
        <v>1</v>
      </c>
      <c r="AB8" s="108" t="n"/>
      <c r="AC8" s="108" t="n">
        <v>0</v>
      </c>
      <c r="AD8" s="108" t="n">
        <v>0</v>
      </c>
      <c r="AE8" s="107" t="n">
        <v>281.945598509826</v>
      </c>
      <c r="AF8" s="109" t="n">
        <v>0</v>
      </c>
      <c r="AG8" s="57" t="n">
        <v>1</v>
      </c>
      <c r="AH8" s="57" t="n">
        <v>1</v>
      </c>
      <c r="AI8" s="57" t="n">
        <v>1</v>
      </c>
      <c r="AJ8" s="107" t="n">
        <v>59.071729957806</v>
      </c>
      <c r="AK8" s="107" t="n">
        <v>118.107964433251</v>
      </c>
      <c r="AL8" s="107" t="n">
        <v>0</v>
      </c>
      <c r="AM8" s="107" t="n">
        <v>20</v>
      </c>
      <c r="AN8" s="107" t="n">
        <v>84.765904118769</v>
      </c>
      <c r="AO8" s="57" t="n">
        <v>0</v>
      </c>
      <c r="AP8" s="57" t="n">
        <v>0</v>
      </c>
      <c r="AQ8" s="57" t="n">
        <v>0</v>
      </c>
      <c r="AR8" s="57" t="n">
        <v>0</v>
      </c>
      <c r="AS8" s="57" t="n">
        <v>0</v>
      </c>
      <c r="AT8" s="57" t="n">
        <v>0</v>
      </c>
      <c r="AU8" s="57" t="n">
        <v>0</v>
      </c>
      <c r="AV8" s="57" t="n">
        <v>0</v>
      </c>
      <c r="AW8" s="107" t="n">
        <v>0</v>
      </c>
      <c r="AX8" s="107" t="n">
        <v>0</v>
      </c>
      <c r="AY8" s="108" t="n"/>
      <c r="AZ8" s="107" t="n"/>
      <c r="BA8" s="108" t="n"/>
      <c r="BB8" s="108" t="n"/>
      <c r="BC8" s="108" t="n"/>
      <c r="BD8" s="108" t="n"/>
      <c r="BE8" s="108" t="n"/>
      <c r="BF8" s="108" t="n"/>
      <c r="BG8" s="108" t="n"/>
      <c r="BH8" s="108" t="n"/>
      <c r="BI8" s="57" t="n">
        <v>0</v>
      </c>
      <c r="BJ8" s="57" t="n">
        <v>0</v>
      </c>
      <c r="BK8" s="57" t="n">
        <v>0</v>
      </c>
      <c r="BL8" s="107" t="n">
        <v>0</v>
      </c>
      <c r="BM8" s="107" t="n">
        <v>0</v>
      </c>
      <c r="BN8" s="107" t="n">
        <v>0</v>
      </c>
      <c r="BO8" s="107" t="n">
        <v>0</v>
      </c>
      <c r="BP8" s="107" t="n">
        <v>0</v>
      </c>
      <c r="BQ8" s="107" t="n">
        <v>0</v>
      </c>
      <c r="BR8" s="107" t="n">
        <v>0</v>
      </c>
      <c r="BS8" s="108" t="n"/>
      <c r="BT8" s="107" t="n">
        <v>222.87386855202</v>
      </c>
      <c r="BU8" s="107" t="n">
        <v>138.107964433251</v>
      </c>
      <c r="BV8" s="107" t="n">
        <v>59.071729957806</v>
      </c>
      <c r="BW8" s="107" t="n">
        <v>1629.056</v>
      </c>
      <c r="BX8" s="107" t="n">
        <v>1629.056</v>
      </c>
      <c r="BY8" s="107" t="n">
        <v>197.179694391057</v>
      </c>
      <c r="BZ8" s="109" t="n">
        <v>0</v>
      </c>
      <c r="CA8" s="118" t="n">
        <v>0</v>
      </c>
      <c r="CB8" s="107" t="n">
        <v>281.945598509826</v>
      </c>
      <c r="CC8" s="109" t="n">
        <v>0</v>
      </c>
      <c r="CD8" s="107" t="n">
        <v>372.87386855202</v>
      </c>
      <c r="CE8" s="109" t="n">
        <v>0</v>
      </c>
    </row>
    <row r="9" ht="30" customFormat="1" customHeight="1" s="40">
      <c r="A9" s="40" t="inlineStr">
        <is>
          <t>mamidaily-汇总</t>
        </is>
      </c>
      <c r="B9" s="57" t="n"/>
      <c r="C9" s="57" t="n"/>
      <c r="D9" s="57" t="n"/>
      <c r="E9" s="57" t="n"/>
      <c r="F9" s="57" t="n"/>
      <c r="G9" s="57" t="n"/>
      <c r="H9" s="107">
        <f>SUM(H3:H8)</f>
        <v/>
      </c>
      <c r="I9" s="107">
        <f>SUM(I3:I8)</f>
        <v/>
      </c>
      <c r="J9" s="107">
        <f>I9/K9</f>
        <v/>
      </c>
      <c r="K9" s="57">
        <f>SUM(K3:K8)</f>
        <v/>
      </c>
      <c r="L9" s="57">
        <f>SUM(L3:L8)</f>
        <v/>
      </c>
      <c r="M9" s="57">
        <f>SUM(M3:M8)</f>
        <v/>
      </c>
      <c r="N9" s="57">
        <f>SUM(N3:N8)</f>
        <v/>
      </c>
      <c r="O9" s="57">
        <f>SUM(O3:O8)</f>
        <v/>
      </c>
      <c r="P9" s="57">
        <f>SUM(P3:P8)</f>
        <v/>
      </c>
      <c r="Q9" s="57">
        <f>SUM(Q3:Q8)</f>
        <v/>
      </c>
      <c r="R9" s="57">
        <f>SUM(R3:R8)</f>
        <v/>
      </c>
      <c r="S9" s="107">
        <f>SUM(S3:S8)</f>
        <v/>
      </c>
      <c r="T9" s="107">
        <f>SUM(T3:T8)</f>
        <v/>
      </c>
      <c r="U9" s="57" t="n"/>
      <c r="V9" s="107">
        <f>T9/R9</f>
        <v/>
      </c>
      <c r="W9" s="61">
        <f>L9/K9</f>
        <v/>
      </c>
      <c r="X9" s="61">
        <f>N9/L9</f>
        <v/>
      </c>
      <c r="Y9" s="61">
        <f>N9/K9</f>
        <v/>
      </c>
      <c r="Z9" s="61">
        <f>O9/N9</f>
        <v/>
      </c>
      <c r="AA9" s="61">
        <f>AVERAGE(AA3:AA8)</f>
        <v/>
      </c>
      <c r="AB9" s="61">
        <f>Q9/O9</f>
        <v/>
      </c>
      <c r="AC9" s="61">
        <f>Q9/K9</f>
        <v/>
      </c>
      <c r="AD9" s="61">
        <f>R9/K9</f>
        <v/>
      </c>
      <c r="AE9" s="107">
        <f>SUM(AE3:AE8)</f>
        <v/>
      </c>
      <c r="AF9" s="109">
        <f>T9/AE9</f>
        <v/>
      </c>
      <c r="AG9" s="57">
        <f>SUM(AG3:AG8)</f>
        <v/>
      </c>
      <c r="AH9" s="57">
        <f>SUM(AH3:AH8)</f>
        <v/>
      </c>
      <c r="AI9" s="57">
        <f>SUM(AI3:AI8)</f>
        <v/>
      </c>
      <c r="AJ9" s="107">
        <f>SUM(AJ3:AJ8)</f>
        <v/>
      </c>
      <c r="AK9" s="107">
        <f>SUM(AK3:AK8)</f>
        <v/>
      </c>
      <c r="AL9" s="107">
        <f>SUM(AL3:AL8)</f>
        <v/>
      </c>
      <c r="AM9" s="107">
        <f>SUM(AM3:AM8)</f>
        <v/>
      </c>
      <c r="AN9" s="107">
        <f>SUM(AN3:AN8)</f>
        <v/>
      </c>
      <c r="AO9" s="57">
        <f>SUM(AO3:AO8)</f>
        <v/>
      </c>
      <c r="AP9" s="57">
        <f>SUM(AP3:AP8)</f>
        <v/>
      </c>
      <c r="AQ9" s="57" t="n"/>
      <c r="AR9" s="57">
        <f>SUM(AR3:AR8)</f>
        <v/>
      </c>
      <c r="AS9" s="57">
        <f>SUM(AS3:AS8)</f>
        <v/>
      </c>
      <c r="AT9" s="57">
        <f>SUM(AT3:AT8)</f>
        <v/>
      </c>
      <c r="AU9" s="57">
        <f>SUM(AU3:AU8)</f>
        <v/>
      </c>
      <c r="AV9" s="57">
        <f>SUM(AV3:AV8)</f>
        <v/>
      </c>
      <c r="AW9" s="107">
        <f>SUM(AW3:AW8)</f>
        <v/>
      </c>
      <c r="AX9" s="107">
        <f>SUM(AX3:AX8)</f>
        <v/>
      </c>
      <c r="AY9" s="107" t="n"/>
      <c r="AZ9" s="107">
        <f>AX9/AV9</f>
        <v/>
      </c>
      <c r="BA9" s="62">
        <f>AP9/AO9</f>
        <v/>
      </c>
      <c r="BB9" s="62">
        <f>AR9/AP9</f>
        <v/>
      </c>
      <c r="BC9" s="62">
        <f>AR9/AO9</f>
        <v/>
      </c>
      <c r="BD9" s="62">
        <f>AS9/AR9</f>
        <v/>
      </c>
      <c r="BE9" s="62">
        <f>AVERAGE(BE3:BE8)</f>
        <v/>
      </c>
      <c r="BF9" s="62">
        <f>AU9/AS9</f>
        <v/>
      </c>
      <c r="BG9" s="62">
        <f>AU9/AO9</f>
        <v/>
      </c>
      <c r="BH9" s="62">
        <f>AV9/AO9</f>
        <v/>
      </c>
      <c r="BI9" s="57">
        <f>SUM(BI3:BI8)</f>
        <v/>
      </c>
      <c r="BJ9" s="57">
        <f>SUM(BJ3:BJ8)</f>
        <v/>
      </c>
      <c r="BK9" s="57">
        <f>SUM(BK3:BK8)</f>
        <v/>
      </c>
      <c r="BL9" s="107">
        <f>SUM(BL3:BL8)</f>
        <v/>
      </c>
      <c r="BM9" s="107">
        <f>SUM(BM3:BM8)</f>
        <v/>
      </c>
      <c r="BN9" s="107">
        <f>SUM(BN3:BN8)</f>
        <v/>
      </c>
      <c r="BO9" s="57">
        <f>SUM(BO3:BO8)</f>
        <v/>
      </c>
      <c r="BP9" s="57">
        <f>SUM(BP3:BP8)</f>
        <v/>
      </c>
      <c r="BQ9" s="107">
        <f>SUM(BQ3:BQ8)</f>
        <v/>
      </c>
      <c r="BR9" s="107">
        <f>SUM(BR3:BR8)</f>
        <v/>
      </c>
      <c r="BS9" s="107" t="n"/>
      <c r="BT9" s="107">
        <f>SUM(BT3:BT8)</f>
        <v/>
      </c>
      <c r="BU9" s="107">
        <f>SUM(BU3:BU8)</f>
        <v/>
      </c>
      <c r="BV9" s="107">
        <f>SUM(BV3:BV8)</f>
        <v/>
      </c>
      <c r="BW9" s="107">
        <f>SUM(BW3:BW8)</f>
        <v/>
      </c>
      <c r="BX9" s="107">
        <f>SUM(BX3:BX8)</f>
        <v/>
      </c>
      <c r="BY9" s="107">
        <f>SUM(BY3:BY8)</f>
        <v/>
      </c>
      <c r="BZ9" s="109">
        <f>BQ9/BY9</f>
        <v/>
      </c>
      <c r="CA9" s="107">
        <f>SUM(CA3:CA8)</f>
        <v/>
      </c>
      <c r="CB9" s="107">
        <f>SUM(CB3:CB8)</f>
        <v/>
      </c>
      <c r="CC9" s="109">
        <f>BR9/CB9</f>
        <v/>
      </c>
      <c r="CD9" s="107">
        <f>SUM(CD3:CD8)</f>
        <v/>
      </c>
      <c r="CE9" s="109">
        <f>BR9/CD9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F8"/>
  <sheetViews>
    <sheetView zoomScale="70" zoomScaleNormal="70" workbookViewId="0">
      <selection activeCell="A41" sqref="A41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45842</v>
      </c>
      <c r="B3" s="67" t="n"/>
      <c r="C3" s="67" t="n"/>
      <c r="D3" s="67" t="n"/>
      <c r="E3" s="67" t="n"/>
      <c r="F3" s="67" t="n"/>
      <c r="G3" s="67" t="n"/>
      <c r="H3" s="67" t="n">
        <v>68696.00053758451</v>
      </c>
      <c r="I3" s="117" t="n">
        <v>67637.45666666669</v>
      </c>
      <c r="J3" s="117" t="n">
        <v>1205.19299188745</v>
      </c>
      <c r="K3" s="67" t="n">
        <v>57</v>
      </c>
      <c r="L3" s="67" t="n">
        <v>28</v>
      </c>
      <c r="M3" s="67" t="n">
        <v>28</v>
      </c>
      <c r="N3" s="67" t="n">
        <v>29</v>
      </c>
      <c r="O3" s="67" t="n">
        <v>25</v>
      </c>
      <c r="P3" s="67" t="n">
        <v>25</v>
      </c>
      <c r="Q3" s="67" t="n">
        <v>6</v>
      </c>
      <c r="R3" s="67" t="n">
        <v>6</v>
      </c>
      <c r="S3" s="117" t="n">
        <v>26528</v>
      </c>
      <c r="T3" s="117" t="n">
        <v>26528</v>
      </c>
      <c r="U3" s="121" t="n">
        <v>1</v>
      </c>
      <c r="V3" s="117" t="n">
        <v>4421.33333333333</v>
      </c>
      <c r="W3" s="121" t="n">
        <v>0.491228070175439</v>
      </c>
      <c r="X3" s="121" t="n">
        <v>1.03571428571429</v>
      </c>
      <c r="Y3" s="121" t="n">
        <v>0.508771929824561</v>
      </c>
      <c r="Z3" s="121" t="n">
        <v>0.862068965517241</v>
      </c>
      <c r="AA3" s="121" t="n">
        <v>0.961538461538462</v>
      </c>
      <c r="AB3" s="121" t="n">
        <v>0.24</v>
      </c>
      <c r="AC3" s="121" t="n">
        <v>0.105263157894737</v>
      </c>
      <c r="AD3" s="121" t="n">
        <v>0.105263157894737</v>
      </c>
      <c r="AE3" s="117" t="n">
        <v>79737.24538227649</v>
      </c>
      <c r="AF3" s="122" t="n">
        <v>0.332692706812474</v>
      </c>
      <c r="AG3" s="67" t="n">
        <v>26</v>
      </c>
      <c r="AH3" s="67" t="n">
        <v>25</v>
      </c>
      <c r="AI3" s="67" t="n">
        <v>26</v>
      </c>
      <c r="AJ3" s="117" t="n">
        <v>2508.25082508251</v>
      </c>
      <c r="AK3" s="117" t="n">
        <v>2938.15123335685</v>
      </c>
      <c r="AL3" s="117" t="n">
        <v>2716.4164575162</v>
      </c>
      <c r="AM3" s="117" t="n">
        <v>586.746527786667</v>
      </c>
      <c r="AN3" s="67" t="n">
        <v>2291.67980094971</v>
      </c>
      <c r="AO3" s="67" t="n">
        <v>0</v>
      </c>
      <c r="AP3" s="67" t="n">
        <v>0</v>
      </c>
      <c r="AQ3" s="67" t="n">
        <v>0</v>
      </c>
      <c r="AR3" s="67" t="n">
        <v>0</v>
      </c>
      <c r="AS3" s="67" t="n">
        <v>0</v>
      </c>
      <c r="AT3" s="67" t="n">
        <v>0</v>
      </c>
      <c r="AU3" s="67" t="n">
        <v>0</v>
      </c>
      <c r="AV3" s="117" t="n">
        <v>0</v>
      </c>
      <c r="AW3" s="117" t="n">
        <v>0</v>
      </c>
      <c r="AX3" s="121" t="n">
        <v>0</v>
      </c>
      <c r="AY3" s="117" t="n"/>
      <c r="AZ3" s="121" t="n"/>
      <c r="BA3" s="121" t="n"/>
      <c r="BB3" s="121" t="n"/>
      <c r="BC3" s="121" t="n"/>
      <c r="BD3" s="121" t="n"/>
      <c r="BE3" s="121" t="n"/>
      <c r="BF3" s="121" t="n"/>
      <c r="BG3" s="121" t="n"/>
      <c r="BH3" s="67" t="n"/>
      <c r="BI3" s="67" t="n">
        <v>0</v>
      </c>
      <c r="BJ3" s="67" t="n">
        <v>0</v>
      </c>
      <c r="BK3" s="117" t="n">
        <v>0</v>
      </c>
      <c r="BL3" s="117" t="n">
        <v>0</v>
      </c>
      <c r="BM3" s="117" t="n">
        <v>0</v>
      </c>
      <c r="BN3" s="117" t="n">
        <v>0</v>
      </c>
      <c r="BO3" s="117" t="n">
        <v>0</v>
      </c>
      <c r="BP3" s="117" t="n">
        <v>0</v>
      </c>
      <c r="BQ3" s="117" t="n">
        <v>26528</v>
      </c>
      <c r="BR3" s="121" t="n">
        <v>26528</v>
      </c>
      <c r="BS3" s="117" t="n">
        <v>1</v>
      </c>
      <c r="BT3" s="117" t="n">
        <v>8532.99401960943</v>
      </c>
      <c r="BU3" s="117" t="n">
        <v>8532.99401960943</v>
      </c>
      <c r="BV3" s="117" t="n">
        <v>2508.25082508251</v>
      </c>
      <c r="BW3" s="117" t="n">
        <v>68696.00053758451</v>
      </c>
      <c r="BX3" s="117" t="n">
        <v>68696.00053758451</v>
      </c>
      <c r="BY3" s="122" t="n">
        <v>79737.24538227649</v>
      </c>
      <c r="BZ3" s="122" t="n">
        <v>0.332692706812474</v>
      </c>
      <c r="CA3" s="122" t="n">
        <v>1058.54387091784</v>
      </c>
      <c r="CB3" s="122" t="n">
        <v>79737.24538227649</v>
      </c>
      <c r="CC3" s="122" t="n">
        <v>0.332692706812474</v>
      </c>
      <c r="CD3" s="122" t="n">
        <v>81503.994557194</v>
      </c>
      <c r="CE3" s="39" t="n">
        <v>0.325480979725288</v>
      </c>
    </row>
    <row r="4" ht="16.5" customFormat="1" customHeight="1" s="39">
      <c r="A4" s="63" t="n">
        <v>45873</v>
      </c>
      <c r="B4" s="67" t="n"/>
      <c r="C4" s="67" t="n"/>
      <c r="D4" s="67" t="n"/>
      <c r="E4" s="67" t="n"/>
      <c r="F4" s="67" t="n"/>
      <c r="G4" s="67" t="n"/>
      <c r="H4" s="67" t="n">
        <v>42366.2982265683</v>
      </c>
      <c r="I4" s="117" t="n">
        <v>42189.4775641044</v>
      </c>
      <c r="J4" s="117" t="n">
        <v>1460.90683539891</v>
      </c>
      <c r="K4" s="67" t="n">
        <v>29</v>
      </c>
      <c r="L4" s="67" t="n">
        <v>10</v>
      </c>
      <c r="M4" s="67" t="n">
        <v>11</v>
      </c>
      <c r="N4" s="67" t="n">
        <v>11</v>
      </c>
      <c r="O4" s="67" t="n">
        <v>6</v>
      </c>
      <c r="P4" s="67" t="n">
        <v>9</v>
      </c>
      <c r="Q4" s="67" t="n">
        <v>1</v>
      </c>
      <c r="R4" s="67" t="n">
        <v>1</v>
      </c>
      <c r="S4" s="117" t="n">
        <v>3588</v>
      </c>
      <c r="T4" s="117" t="n">
        <v>3588</v>
      </c>
      <c r="U4" s="121" t="n">
        <v>1</v>
      </c>
      <c r="V4" s="117" t="n">
        <v>3588</v>
      </c>
      <c r="W4" s="121" t="n">
        <v>0.344827586206897</v>
      </c>
      <c r="X4" s="121" t="n">
        <v>1.1</v>
      </c>
      <c r="Y4" s="121" t="n">
        <v>0.379310344827586</v>
      </c>
      <c r="Z4" s="121" t="n">
        <v>0.545454545454545</v>
      </c>
      <c r="AA4" s="121" t="n">
        <v>1</v>
      </c>
      <c r="AB4" s="121" t="n">
        <v>0.166666666666667</v>
      </c>
      <c r="AC4" s="121" t="n">
        <v>0.0344827586206897</v>
      </c>
      <c r="AD4" s="121" t="n">
        <v>0.0344827586206897</v>
      </c>
      <c r="AE4" s="117" t="n">
        <v>47881.9270420341</v>
      </c>
      <c r="AF4" s="122" t="n">
        <v>0.0749343274519883</v>
      </c>
      <c r="AG4" s="67" t="n">
        <v>9</v>
      </c>
      <c r="AH4" s="67" t="n">
        <v>9</v>
      </c>
      <c r="AI4" s="67" t="n">
        <v>10</v>
      </c>
      <c r="AJ4" s="117" t="n">
        <v>2618.10642571007</v>
      </c>
      <c r="AK4" s="117" t="n">
        <v>1358.70274478746</v>
      </c>
      <c r="AL4" s="117" t="n">
        <v>367.404336910741</v>
      </c>
      <c r="AM4" s="117" t="n">
        <v>290</v>
      </c>
      <c r="AN4" s="67" t="n">
        <v>881.415308057581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3588</v>
      </c>
      <c r="BR4" s="121" t="n">
        <v>3588</v>
      </c>
      <c r="BS4" s="117" t="n">
        <v>1</v>
      </c>
      <c r="BT4" s="117" t="n">
        <v>2897.52238975578</v>
      </c>
      <c r="BU4" s="117" t="n">
        <v>2421.43783518844</v>
      </c>
      <c r="BV4" s="117" t="n">
        <v>2618.10642571007</v>
      </c>
      <c r="BW4" s="117" t="n">
        <v>42366.2982265683</v>
      </c>
      <c r="BX4" s="117" t="n">
        <v>42366.2982265683</v>
      </c>
      <c r="BY4" s="122" t="n">
        <v>47405.8424874668</v>
      </c>
      <c r="BZ4" s="122" t="n">
        <v>0.0756868734259622</v>
      </c>
      <c r="CA4" s="122" t="n">
        <v>176.820662463871</v>
      </c>
      <c r="CB4" s="122" t="n">
        <v>47881.9270420341</v>
      </c>
      <c r="CC4" s="122" t="n">
        <v>0.0749343274519883</v>
      </c>
      <c r="CD4" s="122" t="n">
        <v>47438.8206163241</v>
      </c>
      <c r="CE4" s="39" t="n">
        <v>0.07563425804825639</v>
      </c>
    </row>
    <row r="5" ht="16.5" customFormat="1" customHeight="1" s="39">
      <c r="A5" s="63" t="n">
        <v>45904</v>
      </c>
      <c r="B5" s="67" t="n"/>
      <c r="C5" s="67" t="n"/>
      <c r="D5" s="67" t="n"/>
      <c r="E5" s="67" t="n"/>
      <c r="F5" s="67" t="n"/>
      <c r="G5" s="67" t="n"/>
      <c r="H5" s="107" t="n">
        <v>29370.6319295747</v>
      </c>
      <c r="I5" s="118">
        <f>H5-CA5</f>
        <v/>
      </c>
      <c r="J5" s="107" t="n">
        <v>2097.90228068391</v>
      </c>
      <c r="K5" s="57" t="n">
        <v>14</v>
      </c>
      <c r="L5" s="57" t="n">
        <v>8</v>
      </c>
      <c r="M5" s="57" t="n">
        <v>9</v>
      </c>
      <c r="N5" s="57" t="n">
        <v>7</v>
      </c>
      <c r="O5" s="57" t="n">
        <v>6</v>
      </c>
      <c r="P5" s="57" t="n">
        <v>8</v>
      </c>
      <c r="Q5" s="57" t="n">
        <v>3</v>
      </c>
      <c r="R5" s="57" t="n">
        <v>3</v>
      </c>
      <c r="S5" s="107" t="n">
        <v>10764</v>
      </c>
      <c r="T5" s="107" t="n">
        <v>10764</v>
      </c>
      <c r="U5" s="108" t="n">
        <v>1</v>
      </c>
      <c r="V5" s="107" t="n">
        <v>3588</v>
      </c>
      <c r="W5" s="108" t="n">
        <v>0.571428571428571</v>
      </c>
      <c r="X5" s="108" t="n">
        <v>0.875</v>
      </c>
      <c r="Y5" s="108" t="n">
        <v>0.5</v>
      </c>
      <c r="Z5" s="108" t="n">
        <v>0.857142857142857</v>
      </c>
      <c r="AA5" s="108" t="n">
        <v>1</v>
      </c>
      <c r="AB5" s="108" t="n">
        <v>0.5</v>
      </c>
      <c r="AC5" s="108" t="n">
        <v>0.214285714285714</v>
      </c>
      <c r="AD5" s="108" t="n">
        <v>0.214285714285714</v>
      </c>
      <c r="AE5" s="107" t="n">
        <v>33760.6911589732</v>
      </c>
      <c r="AF5" s="109" t="n">
        <v>0.318832335194627</v>
      </c>
      <c r="AG5" s="57" t="n">
        <v>8</v>
      </c>
      <c r="AH5" s="57" t="n">
        <v>8</v>
      </c>
      <c r="AI5" s="57" t="n">
        <v>8</v>
      </c>
      <c r="AJ5" s="107" t="n">
        <v>1060.76372202211</v>
      </c>
      <c r="AK5" s="107" t="n">
        <v>1301.3028906574</v>
      </c>
      <c r="AL5" s="107" t="n">
        <v>1208.55553592608</v>
      </c>
      <c r="AM5" s="107" t="n">
        <v>140</v>
      </c>
      <c r="AN5" s="107" t="n">
        <v>679.437080792834</v>
      </c>
      <c r="AO5" s="57" t="n">
        <v>0</v>
      </c>
      <c r="AP5" s="57" t="n">
        <v>0</v>
      </c>
      <c r="AQ5" s="57" t="n">
        <v>0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>
        <v>0</v>
      </c>
      <c r="AW5" s="107" t="n">
        <v>0</v>
      </c>
      <c r="AX5" s="107" t="n">
        <v>0</v>
      </c>
      <c r="AY5" s="108" t="n"/>
      <c r="AZ5" s="107" t="n"/>
      <c r="BA5" s="108" t="n"/>
      <c r="BB5" s="108" t="n"/>
      <c r="BC5" s="108" t="n"/>
      <c r="BD5" s="108" t="n"/>
      <c r="BE5" s="108" t="n"/>
      <c r="BF5" s="108" t="n"/>
      <c r="BG5" s="108" t="n"/>
      <c r="BH5" s="108" t="n"/>
      <c r="BI5" s="57" t="n">
        <v>0</v>
      </c>
      <c r="BJ5" s="57" t="n">
        <v>0</v>
      </c>
      <c r="BK5" s="57" t="n">
        <v>0</v>
      </c>
      <c r="BL5" s="107" t="n">
        <v>0</v>
      </c>
      <c r="BM5" s="107" t="n">
        <v>0</v>
      </c>
      <c r="BN5" s="107" t="n">
        <v>0</v>
      </c>
      <c r="BO5" s="107" t="n">
        <v>0</v>
      </c>
      <c r="BP5" s="107" t="n">
        <v>0</v>
      </c>
      <c r="BQ5" s="107" t="n">
        <v>10764</v>
      </c>
      <c r="BR5" s="107" t="n">
        <v>10764</v>
      </c>
      <c r="BS5" s="108" t="n">
        <v>1</v>
      </c>
      <c r="BT5" s="107" t="n">
        <v>3329.29550737632</v>
      </c>
      <c r="BU5" s="107" t="n">
        <v>3014.84702710506</v>
      </c>
      <c r="BV5" s="107" t="n">
        <v>1060.76372202211</v>
      </c>
      <c r="BW5" s="107" t="n">
        <v>29370.6319295747</v>
      </c>
      <c r="BX5" s="107" t="n">
        <v>29370.6319295747</v>
      </c>
      <c r="BY5" s="107" t="n">
        <v>33446.2426787019</v>
      </c>
      <c r="BZ5" s="109" t="n">
        <v>0.32182987199499</v>
      </c>
      <c r="CA5" s="118" t="n">
        <v>535.917411200734</v>
      </c>
      <c r="CB5" s="107" t="n">
        <v>33760.6911589732</v>
      </c>
      <c r="CC5" s="109" t="n">
        <v>0.318832335194627</v>
      </c>
      <c r="CD5" s="107" t="n">
        <v>33749.9274369511</v>
      </c>
      <c r="CE5" s="109" t="n">
        <v>0.318934019046662</v>
      </c>
    </row>
    <row r="6" ht="16.5" customFormat="1" customHeight="1" s="39">
      <c r="A6" s="63" t="n">
        <v>45931</v>
      </c>
      <c r="B6" s="67" t="n"/>
      <c r="C6" s="67" t="n"/>
      <c r="D6" s="67" t="n"/>
      <c r="E6" s="67" t="n"/>
      <c r="F6" s="67" t="n"/>
      <c r="G6" s="67" t="n"/>
      <c r="H6" s="107" t="n">
        <v>3211.71043902439</v>
      </c>
      <c r="I6" s="118">
        <f>H6-CA6</f>
        <v/>
      </c>
      <c r="J6" s="107" t="n">
        <v>356.856715447154</v>
      </c>
      <c r="K6" s="57" t="n">
        <v>9</v>
      </c>
      <c r="L6" s="57" t="n">
        <v>4</v>
      </c>
      <c r="M6" s="57" t="n">
        <v>4</v>
      </c>
      <c r="N6" s="57" t="n">
        <v>4</v>
      </c>
      <c r="O6" s="57" t="n">
        <v>4</v>
      </c>
      <c r="P6" s="57" t="n">
        <v>4</v>
      </c>
      <c r="Q6" s="57" t="n">
        <v>0</v>
      </c>
      <c r="R6" s="57" t="n">
        <v>0</v>
      </c>
      <c r="S6" s="107" t="n">
        <v>0</v>
      </c>
      <c r="T6" s="107" t="n">
        <v>0</v>
      </c>
      <c r="U6" s="108" t="n"/>
      <c r="V6" s="107" t="n"/>
      <c r="W6" s="108" t="n">
        <v>0.444444444444444</v>
      </c>
      <c r="X6" s="108" t="n">
        <v>1</v>
      </c>
      <c r="Y6" s="108" t="n">
        <v>0.444444444444444</v>
      </c>
      <c r="Z6" s="108" t="n">
        <v>1</v>
      </c>
      <c r="AA6" s="108" t="n">
        <v>1</v>
      </c>
      <c r="AB6" s="108" t="n">
        <v>0</v>
      </c>
      <c r="AC6" s="108" t="n">
        <v>0</v>
      </c>
      <c r="AD6" s="108" t="n">
        <v>0</v>
      </c>
      <c r="AE6" s="107" t="n">
        <v>1560.41527454747</v>
      </c>
      <c r="AF6" s="109" t="n">
        <v>0</v>
      </c>
      <c r="AG6" s="57" t="n">
        <v>4</v>
      </c>
      <c r="AH6" s="57" t="n">
        <v>4</v>
      </c>
      <c r="AI6" s="57" t="n">
        <v>4</v>
      </c>
      <c r="AJ6" s="107" t="n">
        <v>562.362213020645</v>
      </c>
      <c r="AK6" s="107" t="n">
        <v>568.989445051752</v>
      </c>
      <c r="AL6" s="107" t="n">
        <v>0</v>
      </c>
      <c r="AM6" s="107" t="n">
        <v>90</v>
      </c>
      <c r="AN6" s="107" t="n">
        <v>339.063616475076</v>
      </c>
      <c r="AO6" s="57" t="n">
        <v>0</v>
      </c>
      <c r="AP6" s="57" t="n">
        <v>0</v>
      </c>
      <c r="AQ6" s="57" t="n">
        <v>0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107" t="n">
        <v>0</v>
      </c>
      <c r="AX6" s="107" t="n">
        <v>0</v>
      </c>
      <c r="AY6" s="108" t="n"/>
      <c r="AZ6" s="107" t="n"/>
      <c r="BA6" s="108" t="n"/>
      <c r="BB6" s="108" t="n"/>
      <c r="BC6" s="108" t="n"/>
      <c r="BD6" s="108" t="n"/>
      <c r="BE6" s="108" t="n"/>
      <c r="BF6" s="108" t="n"/>
      <c r="BG6" s="108" t="n"/>
      <c r="BH6" s="108" t="n"/>
      <c r="BI6" s="57" t="n">
        <v>0</v>
      </c>
      <c r="BJ6" s="57" t="n">
        <v>0</v>
      </c>
      <c r="BK6" s="57" t="n">
        <v>0</v>
      </c>
      <c r="BL6" s="107" t="n">
        <v>0</v>
      </c>
      <c r="BM6" s="107" t="n">
        <v>0</v>
      </c>
      <c r="BN6" s="107" t="n">
        <v>0</v>
      </c>
      <c r="BO6" s="107" t="n">
        <v>0</v>
      </c>
      <c r="BP6" s="107" t="n">
        <v>0</v>
      </c>
      <c r="BQ6" s="107" t="n">
        <v>0</v>
      </c>
      <c r="BR6" s="107" t="n">
        <v>0</v>
      </c>
      <c r="BS6" s="108" t="n"/>
      <c r="BT6" s="107" t="n">
        <v>998.0530615268279</v>
      </c>
      <c r="BU6" s="107" t="n">
        <v>998.0530615268279</v>
      </c>
      <c r="BV6" s="107" t="n">
        <v>562.362213020645</v>
      </c>
      <c r="BW6" s="107" t="n">
        <v>3211.71043902439</v>
      </c>
      <c r="BX6" s="107" t="n">
        <v>3211.71043902439</v>
      </c>
      <c r="BY6" s="107" t="n">
        <v>1560.41527454747</v>
      </c>
      <c r="BZ6" s="109" t="n">
        <v>0</v>
      </c>
      <c r="CA6" s="118" t="n">
        <v>0</v>
      </c>
      <c r="CB6" s="107" t="n">
        <v>1560.41527454747</v>
      </c>
      <c r="CC6" s="109" t="n">
        <v>0</v>
      </c>
      <c r="CD6" s="107" t="n">
        <v>1673.05306152683</v>
      </c>
      <c r="CE6" s="109" t="n">
        <v>0</v>
      </c>
    </row>
    <row r="7" ht="16.5" customFormat="1" customHeight="1" s="39">
      <c r="A7" s="63" t="n">
        <v>45962</v>
      </c>
      <c r="B7" s="67" t="n"/>
      <c r="C7" s="67" t="n"/>
      <c r="D7" s="67" t="n"/>
      <c r="E7" s="67" t="n"/>
      <c r="F7" s="67" t="n"/>
      <c r="G7" s="67" t="n"/>
      <c r="H7" s="107" t="n"/>
      <c r="I7" s="118" t="n"/>
      <c r="J7" s="107" t="n"/>
      <c r="K7" s="57" t="n"/>
      <c r="L7" s="57" t="n"/>
      <c r="M7" s="57" t="n"/>
      <c r="N7" s="57" t="n"/>
      <c r="O7" s="57" t="n"/>
      <c r="P7" s="57" t="n"/>
      <c r="Q7" s="57" t="n"/>
      <c r="R7" s="57" t="n"/>
      <c r="S7" s="107" t="n"/>
      <c r="T7" s="107" t="n"/>
      <c r="U7" s="108" t="n"/>
      <c r="V7" s="107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7" t="n"/>
      <c r="AF7" s="109" t="n"/>
      <c r="AG7" s="57" t="n"/>
      <c r="AH7" s="57" t="n"/>
      <c r="AI7" s="57" t="n"/>
      <c r="AJ7" s="107" t="n"/>
      <c r="AK7" s="107" t="n"/>
      <c r="AL7" s="107" t="n"/>
      <c r="AM7" s="107" t="n"/>
      <c r="AN7" s="107" t="n"/>
      <c r="AO7" s="57" t="n"/>
      <c r="AP7" s="57" t="n"/>
      <c r="AQ7" s="57" t="n"/>
      <c r="AR7" s="57" t="n"/>
      <c r="AS7" s="57" t="n"/>
      <c r="AT7" s="57" t="n"/>
      <c r="AU7" s="57" t="n"/>
      <c r="AV7" s="57" t="n"/>
      <c r="AW7" s="107" t="n"/>
      <c r="AX7" s="107" t="n"/>
      <c r="AY7" s="108" t="n"/>
      <c r="AZ7" s="107" t="n"/>
      <c r="BA7" s="108" t="n"/>
      <c r="BB7" s="108" t="n"/>
      <c r="BC7" s="108" t="n"/>
      <c r="BD7" s="108" t="n"/>
      <c r="BE7" s="108" t="n"/>
      <c r="BF7" s="108" t="n"/>
      <c r="BG7" s="108" t="n"/>
      <c r="BH7" s="108" t="n"/>
      <c r="BI7" s="57" t="n"/>
      <c r="BJ7" s="57" t="n"/>
      <c r="BK7" s="57" t="n"/>
      <c r="BL7" s="107" t="n"/>
      <c r="BM7" s="107" t="n"/>
      <c r="BN7" s="107" t="n"/>
      <c r="BO7" s="107" t="n"/>
      <c r="BP7" s="107" t="n"/>
      <c r="BQ7" s="107" t="n"/>
      <c r="BR7" s="107" t="n"/>
      <c r="BS7" s="108" t="n"/>
      <c r="BT7" s="107" t="n"/>
      <c r="BU7" s="107" t="n"/>
      <c r="BV7" s="107" t="n"/>
      <c r="BW7" s="107" t="n"/>
      <c r="BX7" s="107" t="n"/>
      <c r="BY7" s="107" t="n"/>
      <c r="BZ7" s="109" t="n"/>
      <c r="CA7" s="118" t="n"/>
      <c r="CB7" s="107" t="n"/>
      <c r="CC7" s="109" t="n"/>
      <c r="CD7" s="107" t="n"/>
      <c r="CE7" s="109" t="n"/>
    </row>
    <row r="8" ht="30" customFormat="1" customHeight="1" s="40">
      <c r="A8" s="40" t="inlineStr">
        <is>
          <t>吴若希-汇总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>
        <f>SUM(O3:O7)</f>
        <v/>
      </c>
      <c r="P8" s="57">
        <f>SUM(P3:P7)</f>
        <v/>
      </c>
      <c r="Q8" s="57">
        <f>SUM(Q3:Q7)</f>
        <v/>
      </c>
      <c r="R8" s="57">
        <f>SUM(R3:R7)</f>
        <v/>
      </c>
      <c r="S8" s="107">
        <f>SUM(S3:S7)</f>
        <v/>
      </c>
      <c r="T8" s="107">
        <f>SUM(T3:T7)</f>
        <v/>
      </c>
      <c r="U8" s="57" t="n"/>
      <c r="V8" s="107">
        <f>T8/R8</f>
        <v/>
      </c>
      <c r="W8" s="61">
        <f>L8/K8</f>
        <v/>
      </c>
      <c r="X8" s="61">
        <f>N8/L8</f>
        <v/>
      </c>
      <c r="Y8" s="61">
        <f>N8/K8</f>
        <v/>
      </c>
      <c r="Z8" s="61">
        <f>O8/N8</f>
        <v/>
      </c>
      <c r="AA8" s="61">
        <f>AVERAGE(AA3:AA7)</f>
        <v/>
      </c>
      <c r="AB8" s="61">
        <f>Q8/O8</f>
        <v/>
      </c>
      <c r="AC8" s="61">
        <f>Q8/K8</f>
        <v/>
      </c>
      <c r="AD8" s="61">
        <f>R8/K8</f>
        <v/>
      </c>
      <c r="AE8" s="107">
        <f>SUM(AE3:AE7)</f>
        <v/>
      </c>
      <c r="AF8" s="109">
        <f>T8/AE8</f>
        <v/>
      </c>
      <c r="AG8" s="57">
        <f>SUM(AG3:AG7)</f>
        <v/>
      </c>
      <c r="AH8" s="57">
        <f>SUM(AH3:AH7)</f>
        <v/>
      </c>
      <c r="AI8" s="57">
        <f>SUM(AI3:AI7)</f>
        <v/>
      </c>
      <c r="AJ8" s="107">
        <f>SUM(AJ3:AJ7)</f>
        <v/>
      </c>
      <c r="AK8" s="107">
        <f>SUM(AK3:AK7)</f>
        <v/>
      </c>
      <c r="AL8" s="107">
        <f>SUM(AL3:AL7)</f>
        <v/>
      </c>
      <c r="AM8" s="107">
        <f>SUM(AM3:AM7)</f>
        <v/>
      </c>
      <c r="AN8" s="107">
        <f>SUM(AN3:AN7)</f>
        <v/>
      </c>
      <c r="AO8" s="57">
        <f>SUM(AO3:AO7)</f>
        <v/>
      </c>
      <c r="AP8" s="57">
        <f>SUM(AP3:AP7)</f>
        <v/>
      </c>
      <c r="AQ8" s="57" t="n"/>
      <c r="AR8" s="57">
        <f>SUM(AR3:AR7)</f>
        <v/>
      </c>
      <c r="AS8" s="57">
        <f>SUM(AS3:AS7)</f>
        <v/>
      </c>
      <c r="AT8" s="57">
        <f>SUM(AT3:AT7)</f>
        <v/>
      </c>
      <c r="AU8" s="57">
        <f>SUM(AU3:AU7)</f>
        <v/>
      </c>
      <c r="AV8" s="57">
        <f>SUM(AV3:AV7)</f>
        <v/>
      </c>
      <c r="AW8" s="107">
        <f>SUM(AW3:AW7)</f>
        <v/>
      </c>
      <c r="AX8" s="107">
        <f>SUM(AX3:AX7)</f>
        <v/>
      </c>
      <c r="AY8" s="107" t="n"/>
      <c r="AZ8" s="107">
        <f>AX8/AV8</f>
        <v/>
      </c>
      <c r="BA8" s="62">
        <f>AP8/AO8</f>
        <v/>
      </c>
      <c r="BB8" s="62">
        <f>AR8/AP8</f>
        <v/>
      </c>
      <c r="BC8" s="62">
        <f>AR8/AO8</f>
        <v/>
      </c>
      <c r="BD8" s="62">
        <f>AS8/AR8</f>
        <v/>
      </c>
      <c r="BE8" s="62">
        <f>AVERAGE(BE3:BE7)</f>
        <v/>
      </c>
      <c r="BF8" s="62">
        <f>AU8/AS8</f>
        <v/>
      </c>
      <c r="BG8" s="62">
        <f>AU8/AO8</f>
        <v/>
      </c>
      <c r="BH8" s="62">
        <f>AV8/AO8</f>
        <v/>
      </c>
      <c r="BI8" s="57">
        <f>SUM(BI3:BI7)</f>
        <v/>
      </c>
      <c r="BJ8" s="57">
        <f>SUM(BJ3:BJ7)</f>
        <v/>
      </c>
      <c r="BK8" s="57">
        <f>SUM(BK3:BK7)</f>
        <v/>
      </c>
      <c r="BL8" s="107">
        <f>SUM(BL3:BL7)</f>
        <v/>
      </c>
      <c r="BM8" s="107">
        <f>SUM(BM3:BM7)</f>
        <v/>
      </c>
      <c r="BN8" s="107">
        <f>SUM(BN3:BN7)</f>
        <v/>
      </c>
      <c r="BO8" s="57">
        <f>SUM(BO3:BO7)</f>
        <v/>
      </c>
      <c r="BP8" s="57">
        <f>SUM(BP3:BP7)</f>
        <v/>
      </c>
      <c r="BQ8" s="107">
        <f>SUM(BQ3:BQ7)</f>
        <v/>
      </c>
      <c r="BR8" s="107">
        <f>SUM(BR3:BR7)</f>
        <v/>
      </c>
      <c r="BS8" s="107" t="n"/>
      <c r="BT8" s="107">
        <f>SUM(BT3:BT7)</f>
        <v/>
      </c>
      <c r="BU8" s="107">
        <f>SUM(BU3:BU7)</f>
        <v/>
      </c>
      <c r="BV8" s="107">
        <f>SUM(BV3:BV7)</f>
        <v/>
      </c>
      <c r="BW8" s="107">
        <f>SUM(BW3:BW7)</f>
        <v/>
      </c>
      <c r="BX8" s="107">
        <f>SUM(BX3:BX7)</f>
        <v/>
      </c>
      <c r="BY8" s="107">
        <f>SUM(BY3:BY7)</f>
        <v/>
      </c>
      <c r="BZ8" s="109">
        <f>BQ8/BY8</f>
        <v/>
      </c>
      <c r="CA8" s="107">
        <f>SUM(CA3:CA7)</f>
        <v/>
      </c>
      <c r="CB8" s="107">
        <f>SUM(CB3:CB7)</f>
        <v/>
      </c>
      <c r="CC8" s="109">
        <f>BR8/CB8</f>
        <v/>
      </c>
      <c r="CD8" s="107">
        <f>SUM(CD3:CD7)</f>
        <v/>
      </c>
      <c r="CE8" s="109">
        <f>BR8/CD8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F8"/>
  <sheetViews>
    <sheetView zoomScale="70" zoomScaleNormal="70" workbookViewId="0">
      <selection activeCell="A31" sqref="A31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45842</v>
      </c>
      <c r="B3" s="67" t="n"/>
      <c r="C3" s="67" t="n"/>
      <c r="D3" s="67" t="n"/>
      <c r="E3" s="67" t="n"/>
      <c r="F3" s="67" t="n"/>
      <c r="G3" s="67" t="n"/>
      <c r="H3" s="67" t="n">
        <v>10610.7339784863</v>
      </c>
      <c r="I3" s="117" t="n">
        <v>10434.31</v>
      </c>
      <c r="J3" s="117" t="n">
        <v>1061.07339784863</v>
      </c>
      <c r="K3" s="67" t="n">
        <v>10</v>
      </c>
      <c r="L3" s="67" t="n">
        <v>8</v>
      </c>
      <c r="M3" s="67" t="n">
        <v>8</v>
      </c>
      <c r="N3" s="67" t="n">
        <v>8</v>
      </c>
      <c r="O3" s="67" t="n">
        <v>4</v>
      </c>
      <c r="P3" s="67" t="n">
        <v>4</v>
      </c>
      <c r="Q3" s="67" t="n">
        <v>1</v>
      </c>
      <c r="R3" s="67" t="n">
        <v>1</v>
      </c>
      <c r="S3" s="117" t="n">
        <v>3588</v>
      </c>
      <c r="T3" s="117" t="n">
        <v>3588</v>
      </c>
      <c r="U3" s="121" t="n">
        <v>1</v>
      </c>
      <c r="V3" s="117" t="n">
        <v>3588</v>
      </c>
      <c r="W3" s="121" t="n">
        <v>0.8</v>
      </c>
      <c r="X3" s="121" t="n">
        <v>1</v>
      </c>
      <c r="Y3" s="121" t="n">
        <v>0.8</v>
      </c>
      <c r="Z3" s="121" t="n">
        <v>0.5</v>
      </c>
      <c r="AA3" s="121" t="n">
        <v>0.666666666666667</v>
      </c>
      <c r="AB3" s="121" t="n">
        <v>0.25</v>
      </c>
      <c r="AC3" s="121" t="n">
        <v>0.1</v>
      </c>
      <c r="AD3" s="121" t="n">
        <v>0.1</v>
      </c>
      <c r="AE3" s="117" t="n">
        <v>12713.1582113106</v>
      </c>
      <c r="AF3" s="122" t="n">
        <v>0.282227275108386</v>
      </c>
      <c r="AG3" s="67" t="n">
        <v>6</v>
      </c>
      <c r="AH3" s="67" t="n">
        <v>4</v>
      </c>
      <c r="AI3" s="67" t="n">
        <v>4</v>
      </c>
      <c r="AJ3" s="117" t="n">
        <v>440.04400440044</v>
      </c>
      <c r="AK3" s="117" t="n">
        <v>839.471780959099</v>
      </c>
      <c r="AL3" s="117" t="n">
        <v>367.404336910741</v>
      </c>
      <c r="AM3" s="117" t="n">
        <v>102.937987330994</v>
      </c>
      <c r="AN3" s="67" t="n">
        <v>352.566123223033</v>
      </c>
      <c r="AO3" s="67" t="n">
        <v>0</v>
      </c>
      <c r="AP3" s="67" t="n">
        <v>0</v>
      </c>
      <c r="AQ3" s="67" t="n">
        <v>0</v>
      </c>
      <c r="AR3" s="67" t="n">
        <v>0</v>
      </c>
      <c r="AS3" s="67" t="n">
        <v>0</v>
      </c>
      <c r="AT3" s="67" t="n">
        <v>0</v>
      </c>
      <c r="AU3" s="67" t="n">
        <v>0</v>
      </c>
      <c r="AV3" s="117" t="n">
        <v>0</v>
      </c>
      <c r="AW3" s="117" t="n">
        <v>0</v>
      </c>
      <c r="AX3" s="121" t="n">
        <v>0</v>
      </c>
      <c r="AY3" s="117" t="n"/>
      <c r="AZ3" s="121" t="n"/>
      <c r="BA3" s="121" t="n"/>
      <c r="BB3" s="121" t="n"/>
      <c r="BC3" s="121" t="n"/>
      <c r="BD3" s="121" t="n"/>
      <c r="BE3" s="121" t="n"/>
      <c r="BF3" s="121" t="n"/>
      <c r="BG3" s="121" t="n"/>
      <c r="BH3" s="67" t="n"/>
      <c r="BI3" s="67" t="n">
        <v>0</v>
      </c>
      <c r="BJ3" s="67" t="n">
        <v>0</v>
      </c>
      <c r="BK3" s="117" t="n">
        <v>0</v>
      </c>
      <c r="BL3" s="117" t="n">
        <v>0</v>
      </c>
      <c r="BM3" s="117" t="n">
        <v>0</v>
      </c>
      <c r="BN3" s="117" t="n">
        <v>0</v>
      </c>
      <c r="BO3" s="117" t="n">
        <v>0</v>
      </c>
      <c r="BP3" s="117" t="n">
        <v>0</v>
      </c>
      <c r="BQ3" s="117" t="n">
        <v>3588</v>
      </c>
      <c r="BR3" s="121" t="n">
        <v>3588</v>
      </c>
      <c r="BS3" s="117" t="n">
        <v>1</v>
      </c>
      <c r="BT3" s="117" t="n">
        <v>1662.38022842387</v>
      </c>
      <c r="BU3" s="117" t="n">
        <v>1662.38022842387</v>
      </c>
      <c r="BV3" s="117" t="n">
        <v>440.04400440044</v>
      </c>
      <c r="BW3" s="117" t="n">
        <v>10610.7339784863</v>
      </c>
      <c r="BX3" s="117" t="n">
        <v>10610.7339784863</v>
      </c>
      <c r="BY3" s="122" t="n">
        <v>12713.1582113106</v>
      </c>
      <c r="BZ3" s="122" t="n">
        <v>0.282227275108386</v>
      </c>
      <c r="CA3" s="122" t="n">
        <v>176.423978486307</v>
      </c>
      <c r="CB3" s="122" t="n">
        <v>12713.1582113106</v>
      </c>
      <c r="CC3" s="122" t="n">
        <v>0.282227275108386</v>
      </c>
      <c r="CD3" s="122" t="n">
        <v>13023.1142069102</v>
      </c>
      <c r="CE3" s="39" t="n">
        <v>0.275510138588524</v>
      </c>
    </row>
    <row r="4" ht="16.5" customFormat="1" customHeight="1" s="39">
      <c r="A4" s="63" t="n">
        <v>45873</v>
      </c>
      <c r="B4" s="67" t="n"/>
      <c r="C4" s="67" t="n"/>
      <c r="D4" s="67" t="n"/>
      <c r="E4" s="67" t="n"/>
      <c r="F4" s="67" t="n"/>
      <c r="G4" s="67" t="n"/>
      <c r="H4" s="67" t="n">
        <v>26905.8703843203</v>
      </c>
      <c r="I4" s="117" t="n">
        <v>26905.8703843203</v>
      </c>
      <c r="J4" s="117" t="n">
        <v>960.923942297154</v>
      </c>
      <c r="K4" s="67" t="n">
        <v>28</v>
      </c>
      <c r="L4" s="67" t="n">
        <v>4</v>
      </c>
      <c r="M4" s="67" t="n">
        <v>4</v>
      </c>
      <c r="N4" s="67" t="n">
        <v>3</v>
      </c>
      <c r="O4" s="67" t="n">
        <v>1</v>
      </c>
      <c r="P4" s="67" t="n">
        <v>3</v>
      </c>
      <c r="Q4" s="67" t="n">
        <v>0</v>
      </c>
      <c r="R4" s="67" t="n">
        <v>0</v>
      </c>
      <c r="S4" s="117" t="n">
        <v>0</v>
      </c>
      <c r="T4" s="117" t="n">
        <v>0</v>
      </c>
      <c r="U4" s="121" t="n"/>
      <c r="V4" s="117" t="n"/>
      <c r="W4" s="121" t="n">
        <v>0.142857142857143</v>
      </c>
      <c r="X4" s="121" t="n">
        <v>0.75</v>
      </c>
      <c r="Y4" s="121" t="n">
        <v>0.107142857142857</v>
      </c>
      <c r="Z4" s="121" t="n">
        <v>0.333333333333333</v>
      </c>
      <c r="AA4" s="121" t="n">
        <v>1</v>
      </c>
      <c r="AB4" s="121" t="n">
        <v>0</v>
      </c>
      <c r="AC4" s="121" t="n">
        <v>0</v>
      </c>
      <c r="AD4" s="121" t="n">
        <v>0</v>
      </c>
      <c r="AE4" s="117" t="n">
        <v>3566.32521158357</v>
      </c>
      <c r="AF4" s="122" t="n">
        <v>0</v>
      </c>
      <c r="AG4" s="67" t="n">
        <v>3</v>
      </c>
      <c r="AH4" s="67" t="n">
        <v>3</v>
      </c>
      <c r="AI4" s="67" t="n">
        <v>3</v>
      </c>
      <c r="AJ4" s="117" t="n">
        <v>2527.82689378903</v>
      </c>
      <c r="AK4" s="117" t="n">
        <v>494.073725377259</v>
      </c>
      <c r="AL4" s="117" t="n">
        <v>0</v>
      </c>
      <c r="AM4" s="117" t="n">
        <v>280</v>
      </c>
      <c r="AN4" s="67" t="n">
        <v>264.424592417274</v>
      </c>
      <c r="AO4" s="67" t="n">
        <v>0</v>
      </c>
      <c r="AP4" s="67" t="n">
        <v>0</v>
      </c>
      <c r="AQ4" s="67" t="n">
        <v>0</v>
      </c>
      <c r="AR4" s="67" t="n">
        <v>0</v>
      </c>
      <c r="AS4" s="67" t="n">
        <v>0</v>
      </c>
      <c r="AT4" s="67" t="n">
        <v>0</v>
      </c>
      <c r="AU4" s="67" t="n">
        <v>0</v>
      </c>
      <c r="AV4" s="117" t="n">
        <v>0</v>
      </c>
      <c r="AW4" s="117" t="n">
        <v>0</v>
      </c>
      <c r="AX4" s="121" t="n">
        <v>0</v>
      </c>
      <c r="AY4" s="117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67" t="n"/>
      <c r="BI4" s="67" t="n">
        <v>0</v>
      </c>
      <c r="BJ4" s="67" t="n">
        <v>0</v>
      </c>
      <c r="BK4" s="117" t="n">
        <v>0</v>
      </c>
      <c r="BL4" s="117" t="n">
        <v>0</v>
      </c>
      <c r="BM4" s="117" t="n">
        <v>0</v>
      </c>
      <c r="BN4" s="117" t="n">
        <v>0</v>
      </c>
      <c r="BO4" s="117" t="n">
        <v>0</v>
      </c>
      <c r="BP4" s="117" t="n">
        <v>0</v>
      </c>
      <c r="BQ4" s="117" t="n">
        <v>0</v>
      </c>
      <c r="BR4" s="121" t="n">
        <v>0</v>
      </c>
      <c r="BS4" s="117" t="n"/>
      <c r="BT4" s="117" t="n">
        <v>1038.49831779453</v>
      </c>
      <c r="BU4" s="117" t="n">
        <v>862.215256183017</v>
      </c>
      <c r="BV4" s="117" t="n">
        <v>2527.82689378903</v>
      </c>
      <c r="BW4" s="117" t="n">
        <v>26905.8703843203</v>
      </c>
      <c r="BX4" s="117" t="n">
        <v>26905.8703843203</v>
      </c>
      <c r="BY4" s="122" t="n">
        <v>3390.04214997205</v>
      </c>
      <c r="BZ4" s="122" t="n">
        <v>0</v>
      </c>
      <c r="CA4" s="122" t="n">
        <v>0</v>
      </c>
      <c r="CB4" s="122" t="n">
        <v>3566.32521158357</v>
      </c>
      <c r="CC4" s="122" t="n">
        <v>0</v>
      </c>
      <c r="CD4" s="122" t="n">
        <v>3138.49831779453</v>
      </c>
      <c r="CE4" s="39" t="n">
        <v>0</v>
      </c>
    </row>
    <row r="5" ht="16.5" customFormat="1" customHeight="1" s="39">
      <c r="A5" s="63" t="n">
        <v>45904</v>
      </c>
      <c r="B5" s="67" t="n"/>
      <c r="C5" s="67" t="n"/>
      <c r="D5" s="67" t="n"/>
      <c r="E5" s="67" t="n"/>
      <c r="F5" s="67" t="n"/>
      <c r="G5" s="67" t="n"/>
      <c r="H5" s="107" t="n">
        <v>21503.6748599937</v>
      </c>
      <c r="I5" s="118">
        <f>H5-CA5</f>
        <v/>
      </c>
      <c r="J5" s="107" t="n">
        <v>651.6265109088999</v>
      </c>
      <c r="K5" s="57" t="n">
        <v>33</v>
      </c>
      <c r="L5" s="57" t="n">
        <v>3</v>
      </c>
      <c r="M5" s="57" t="n">
        <v>3</v>
      </c>
      <c r="N5" s="57" t="n">
        <v>2</v>
      </c>
      <c r="O5" s="57" t="n">
        <v>0</v>
      </c>
      <c r="P5" s="57" t="n">
        <v>0</v>
      </c>
      <c r="Q5" s="57" t="n">
        <v>0</v>
      </c>
      <c r="R5" s="57" t="n">
        <v>1</v>
      </c>
      <c r="S5" s="107" t="n">
        <v>0</v>
      </c>
      <c r="T5" s="107" t="n">
        <v>4388</v>
      </c>
      <c r="U5" s="108" t="n">
        <v>1</v>
      </c>
      <c r="V5" s="107" t="n">
        <v>4388</v>
      </c>
      <c r="W5" s="108" t="n">
        <v>0.0909090909090909</v>
      </c>
      <c r="X5" s="108" t="n">
        <v>0.666666666666667</v>
      </c>
      <c r="Y5" s="108" t="n">
        <v>0.0606060606060606</v>
      </c>
      <c r="Z5" s="108" t="n">
        <v>0</v>
      </c>
      <c r="AA5" s="108" t="n"/>
      <c r="AB5" s="108" t="n"/>
      <c r="AC5" s="108" t="n">
        <v>0</v>
      </c>
      <c r="AD5" s="108" t="n">
        <v>0.0303030303030303</v>
      </c>
      <c r="AE5" s="107" t="n">
        <v>25260.48800509</v>
      </c>
      <c r="AF5" s="109" t="n">
        <v>0.173710024886131</v>
      </c>
      <c r="AG5" s="57" t="n">
        <v>0</v>
      </c>
      <c r="AH5" s="57" t="n">
        <v>0</v>
      </c>
      <c r="AI5" s="57" t="n">
        <v>0</v>
      </c>
      <c r="AJ5" s="107" t="n">
        <v>2500.3716304807</v>
      </c>
      <c r="AK5" s="107" t="n">
        <v>433.767630219132</v>
      </c>
      <c r="AL5" s="107" t="n">
        <v>492.673884396475</v>
      </c>
      <c r="AM5" s="107" t="n">
        <v>330</v>
      </c>
      <c r="AN5" s="107" t="n">
        <v>0</v>
      </c>
      <c r="AO5" s="57" t="n">
        <v>0</v>
      </c>
      <c r="AP5" s="57" t="n">
        <v>0</v>
      </c>
      <c r="AQ5" s="57" t="n">
        <v>0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>
        <v>0</v>
      </c>
      <c r="AW5" s="107" t="n">
        <v>0</v>
      </c>
      <c r="AX5" s="107" t="n">
        <v>0</v>
      </c>
      <c r="AY5" s="108" t="n"/>
      <c r="AZ5" s="107" t="n"/>
      <c r="BA5" s="108" t="n"/>
      <c r="BB5" s="108" t="n"/>
      <c r="BC5" s="108" t="n"/>
      <c r="BD5" s="108" t="n"/>
      <c r="BE5" s="108" t="n"/>
      <c r="BF5" s="108" t="n"/>
      <c r="BG5" s="108" t="n"/>
      <c r="BH5" s="108" t="n"/>
      <c r="BI5" s="57" t="n">
        <v>0</v>
      </c>
      <c r="BJ5" s="57" t="n">
        <v>0</v>
      </c>
      <c r="BK5" s="57" t="n">
        <v>0</v>
      </c>
      <c r="BL5" s="107" t="n">
        <v>0</v>
      </c>
      <c r="BM5" s="107" t="n">
        <v>0</v>
      </c>
      <c r="BN5" s="107" t="n">
        <v>0</v>
      </c>
      <c r="BO5" s="107" t="n">
        <v>0</v>
      </c>
      <c r="BP5" s="107" t="n">
        <v>0</v>
      </c>
      <c r="BQ5" s="107" t="n">
        <v>0</v>
      </c>
      <c r="BR5" s="107" t="n">
        <v>4388</v>
      </c>
      <c r="BS5" s="108" t="n">
        <v>1</v>
      </c>
      <c r="BT5" s="107" t="n">
        <v>1256.44151461561</v>
      </c>
      <c r="BU5" s="107" t="n">
        <v>763.767630219132</v>
      </c>
      <c r="BV5" s="107" t="n">
        <v>2500.3716304807</v>
      </c>
      <c r="BW5" s="107" t="n">
        <v>21503.6748599937</v>
      </c>
      <c r="BX5" s="107" t="n">
        <v>21325.0357229268</v>
      </c>
      <c r="BY5" s="107" t="n">
        <v>24589.1749836266</v>
      </c>
      <c r="BZ5" s="109" t="n">
        <v>0</v>
      </c>
      <c r="CA5" s="118" t="n">
        <v>178.639137066911</v>
      </c>
      <c r="CB5" s="107" t="n">
        <v>25260.48800509</v>
      </c>
      <c r="CC5" s="109" t="n">
        <v>0.173710024886131</v>
      </c>
      <c r="CD5" s="107" t="n">
        <v>25235.1163746093</v>
      </c>
      <c r="CE5" s="109" t="n">
        <v>0.173884674628053</v>
      </c>
    </row>
    <row r="6" ht="16.5" customFormat="1" customHeight="1" s="39">
      <c r="A6" s="63" t="n">
        <v>45934</v>
      </c>
      <c r="B6" s="67" t="n"/>
      <c r="C6" s="67" t="n"/>
      <c r="D6" s="67" t="n"/>
      <c r="E6" s="67" t="n"/>
      <c r="F6" s="67" t="n"/>
      <c r="G6" s="67" t="n"/>
      <c r="H6" s="107" t="n">
        <v>8041.9015760913</v>
      </c>
      <c r="I6" s="118">
        <f>H6-CA6</f>
        <v/>
      </c>
      <c r="J6" s="107" t="n">
        <v>670.158464674275</v>
      </c>
      <c r="K6" s="57" t="n">
        <v>12</v>
      </c>
      <c r="L6" s="57" t="n">
        <v>1</v>
      </c>
      <c r="M6" s="57" t="n">
        <v>1</v>
      </c>
      <c r="N6" s="57" t="n">
        <v>1</v>
      </c>
      <c r="O6" s="57" t="n">
        <v>1</v>
      </c>
      <c r="P6" s="57" t="n">
        <v>2</v>
      </c>
      <c r="Q6" s="57" t="n">
        <v>0</v>
      </c>
      <c r="R6" s="57" t="n">
        <v>1</v>
      </c>
      <c r="S6" s="107" t="n">
        <v>0</v>
      </c>
      <c r="T6" s="107" t="n">
        <v>6088</v>
      </c>
      <c r="U6" s="108" t="n">
        <v>1</v>
      </c>
      <c r="V6" s="107" t="n">
        <v>6088</v>
      </c>
      <c r="W6" s="108" t="n">
        <v>0.0833333333333333</v>
      </c>
      <c r="X6" s="108" t="n">
        <v>1</v>
      </c>
      <c r="Y6" s="108" t="n">
        <v>0.0833333333333333</v>
      </c>
      <c r="Z6" s="108" t="n">
        <v>1</v>
      </c>
      <c r="AA6" s="108" t="n">
        <v>1</v>
      </c>
      <c r="AB6" s="108" t="n">
        <v>0</v>
      </c>
      <c r="AC6" s="108" t="n">
        <v>0</v>
      </c>
      <c r="AD6" s="108" t="n">
        <v>0.0833333333333333</v>
      </c>
      <c r="AE6" s="107" t="n">
        <v>9893.18731606138</v>
      </c>
      <c r="AF6" s="109" t="n">
        <v>0.615372963788552</v>
      </c>
      <c r="AG6" s="57" t="n">
        <v>2</v>
      </c>
      <c r="AH6" s="57" t="n">
        <v>2</v>
      </c>
      <c r="AI6" s="57" t="n">
        <v>2</v>
      </c>
      <c r="AJ6" s="107" t="n">
        <v>749.816284027526</v>
      </c>
      <c r="AK6" s="107" t="n">
        <v>142.247361262938</v>
      </c>
      <c r="AL6" s="107" t="n">
        <v>669.690286442077</v>
      </c>
      <c r="AM6" s="107" t="n">
        <v>120</v>
      </c>
      <c r="AN6" s="107" t="n">
        <v>169.531808237538</v>
      </c>
      <c r="AO6" s="57" t="n">
        <v>0</v>
      </c>
      <c r="AP6" s="57" t="n">
        <v>0</v>
      </c>
      <c r="AQ6" s="57" t="n">
        <v>0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107" t="n">
        <v>0</v>
      </c>
      <c r="AX6" s="107" t="n">
        <v>0</v>
      </c>
      <c r="AY6" s="108" t="n"/>
      <c r="AZ6" s="107" t="n"/>
      <c r="BA6" s="108" t="n"/>
      <c r="BB6" s="108" t="n"/>
      <c r="BC6" s="108" t="n"/>
      <c r="BD6" s="108" t="n"/>
      <c r="BE6" s="108" t="n"/>
      <c r="BF6" s="108" t="n"/>
      <c r="BG6" s="108" t="n"/>
      <c r="BH6" s="108" t="n"/>
      <c r="BI6" s="57" t="n">
        <v>0</v>
      </c>
      <c r="BJ6" s="57" t="n">
        <v>0</v>
      </c>
      <c r="BK6" s="57" t="n">
        <v>0</v>
      </c>
      <c r="BL6" s="107" t="n">
        <v>0</v>
      </c>
      <c r="BM6" s="107" t="n">
        <v>0</v>
      </c>
      <c r="BN6" s="107" t="n">
        <v>0</v>
      </c>
      <c r="BO6" s="107" t="n">
        <v>0</v>
      </c>
      <c r="BP6" s="107" t="n">
        <v>0</v>
      </c>
      <c r="BQ6" s="107" t="n">
        <v>0</v>
      </c>
      <c r="BR6" s="107" t="n">
        <v>6088</v>
      </c>
      <c r="BS6" s="108" t="n">
        <v>1</v>
      </c>
      <c r="BT6" s="107" t="n">
        <v>1101.46945594255</v>
      </c>
      <c r="BU6" s="107" t="n">
        <v>347.013265381707</v>
      </c>
      <c r="BV6" s="107" t="n">
        <v>749.816284027526</v>
      </c>
      <c r="BW6" s="107" t="n">
        <v>8041.9015760913</v>
      </c>
      <c r="BX6" s="107" t="n">
        <v>7863.26243902439</v>
      </c>
      <c r="BY6" s="107" t="n">
        <v>8960.09198843362</v>
      </c>
      <c r="BZ6" s="109" t="n">
        <v>0</v>
      </c>
      <c r="CA6" s="118" t="n">
        <v>178.639137066911</v>
      </c>
      <c r="CB6" s="107" t="n">
        <v>9893.18731606138</v>
      </c>
      <c r="CC6" s="109" t="n">
        <v>0.615372963788552</v>
      </c>
      <c r="CD6" s="107" t="n">
        <v>10043.3710320339</v>
      </c>
      <c r="CE6" s="109" t="n">
        <v>0.606170973927181</v>
      </c>
    </row>
    <row r="7" hidden="1" ht="16.5" customFormat="1" customHeight="1" s="39">
      <c r="A7" s="63" t="n">
        <v>45965</v>
      </c>
      <c r="B7" s="67" t="n"/>
      <c r="C7" s="67" t="n"/>
      <c r="D7" s="67" t="n"/>
      <c r="E7" s="67" t="n"/>
      <c r="F7" s="67" t="n"/>
      <c r="G7" s="67" t="n"/>
      <c r="H7" s="107" t="n"/>
      <c r="I7" s="118" t="n"/>
      <c r="J7" s="107" t="n"/>
      <c r="K7" s="57" t="n"/>
      <c r="L7" s="57" t="n"/>
      <c r="M7" s="57" t="n"/>
      <c r="N7" s="57" t="n"/>
      <c r="O7" s="57" t="n"/>
      <c r="P7" s="57" t="n"/>
      <c r="Q7" s="57" t="n"/>
      <c r="R7" s="57" t="n"/>
      <c r="S7" s="107" t="n"/>
      <c r="T7" s="107" t="n"/>
      <c r="U7" s="108" t="n"/>
      <c r="V7" s="107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7" t="n"/>
      <c r="AF7" s="109" t="n"/>
      <c r="AG7" s="57" t="n"/>
      <c r="AH7" s="57" t="n"/>
      <c r="AI7" s="57" t="n"/>
      <c r="AJ7" s="107" t="n"/>
      <c r="AK7" s="107" t="n"/>
      <c r="AL7" s="107" t="n"/>
      <c r="AM7" s="107" t="n"/>
      <c r="AN7" s="107" t="n"/>
      <c r="AO7" s="57" t="n"/>
      <c r="AP7" s="57" t="n"/>
      <c r="AQ7" s="57" t="n"/>
      <c r="AR7" s="57" t="n"/>
      <c r="AS7" s="57" t="n"/>
      <c r="AT7" s="57" t="n"/>
      <c r="AU7" s="57" t="n"/>
      <c r="AV7" s="57" t="n"/>
      <c r="AW7" s="107" t="n"/>
      <c r="AX7" s="107" t="n"/>
      <c r="AY7" s="108" t="n"/>
      <c r="AZ7" s="107" t="n"/>
      <c r="BA7" s="108" t="n"/>
      <c r="BB7" s="108" t="n"/>
      <c r="BC7" s="108" t="n"/>
      <c r="BD7" s="108" t="n"/>
      <c r="BE7" s="108" t="n"/>
      <c r="BF7" s="108" t="n"/>
      <c r="BG7" s="108" t="n"/>
      <c r="BH7" s="108" t="n"/>
      <c r="BI7" s="57" t="n"/>
      <c r="BJ7" s="57" t="n"/>
      <c r="BK7" s="57" t="n"/>
      <c r="BL7" s="107" t="n"/>
      <c r="BM7" s="107" t="n"/>
      <c r="BN7" s="107" t="n"/>
      <c r="BO7" s="107" t="n"/>
      <c r="BP7" s="107" t="n"/>
      <c r="BQ7" s="107" t="n"/>
      <c r="BR7" s="107" t="n"/>
      <c r="BS7" s="108" t="n"/>
      <c r="BT7" s="107" t="n"/>
      <c r="BU7" s="107" t="n"/>
      <c r="BV7" s="107" t="n"/>
      <c r="BW7" s="107" t="n"/>
      <c r="BX7" s="107" t="n"/>
      <c r="BY7" s="107" t="n"/>
      <c r="BZ7" s="109" t="n"/>
      <c r="CA7" s="118" t="n"/>
      <c r="CB7" s="107" t="n"/>
      <c r="CC7" s="109" t="n"/>
      <c r="CD7" s="107" t="n"/>
      <c r="CE7" s="109" t="n"/>
    </row>
    <row r="8" ht="30" customFormat="1" customHeight="1" s="40">
      <c r="A8" s="40" t="inlineStr">
        <is>
          <t>张美妮-汇总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>
        <f>SUM(O3:O7)</f>
        <v/>
      </c>
      <c r="P8" s="57">
        <f>SUM(P3:P7)</f>
        <v/>
      </c>
      <c r="Q8" s="57">
        <f>SUM(Q3:Q7)</f>
        <v/>
      </c>
      <c r="R8" s="57">
        <f>SUM(R3:R7)</f>
        <v/>
      </c>
      <c r="S8" s="107">
        <f>SUM(S3:S7)</f>
        <v/>
      </c>
      <c r="T8" s="107">
        <f>SUM(T3:T7)</f>
        <v/>
      </c>
      <c r="U8" s="57" t="n"/>
      <c r="V8" s="107">
        <f>T8/R8</f>
        <v/>
      </c>
      <c r="W8" s="61">
        <f>L8/K8</f>
        <v/>
      </c>
      <c r="X8" s="61">
        <f>N8/L8</f>
        <v/>
      </c>
      <c r="Y8" s="61">
        <f>N8/K8</f>
        <v/>
      </c>
      <c r="Z8" s="61">
        <f>O8/N8</f>
        <v/>
      </c>
      <c r="AA8" s="61">
        <f>AVERAGE(AA3:AA7)</f>
        <v/>
      </c>
      <c r="AB8" s="61">
        <f>Q8/O8</f>
        <v/>
      </c>
      <c r="AC8" s="61">
        <f>Q8/K8</f>
        <v/>
      </c>
      <c r="AD8" s="61">
        <f>R8/K8</f>
        <v/>
      </c>
      <c r="AE8" s="107">
        <f>SUM(AE3:AE7)</f>
        <v/>
      </c>
      <c r="AF8" s="109">
        <f>T8/AE8</f>
        <v/>
      </c>
      <c r="AG8" s="57">
        <f>SUM(AG3:AG7)</f>
        <v/>
      </c>
      <c r="AH8" s="57">
        <f>SUM(AH3:AH7)</f>
        <v/>
      </c>
      <c r="AI8" s="57">
        <f>SUM(AI3:AI7)</f>
        <v/>
      </c>
      <c r="AJ8" s="107">
        <f>SUM(AJ3:AJ7)</f>
        <v/>
      </c>
      <c r="AK8" s="107">
        <f>SUM(AK3:AK7)</f>
        <v/>
      </c>
      <c r="AL8" s="107">
        <f>SUM(AL3:AL7)</f>
        <v/>
      </c>
      <c r="AM8" s="107">
        <f>SUM(AM3:AM7)</f>
        <v/>
      </c>
      <c r="AN8" s="107">
        <f>SUM(AN3:AN7)</f>
        <v/>
      </c>
      <c r="AO8" s="57">
        <f>SUM(AO3:AO7)</f>
        <v/>
      </c>
      <c r="AP8" s="57">
        <f>SUM(AP3:AP7)</f>
        <v/>
      </c>
      <c r="AQ8" s="57" t="n"/>
      <c r="AR8" s="57">
        <f>SUM(AR3:AR7)</f>
        <v/>
      </c>
      <c r="AS8" s="57">
        <f>SUM(AS3:AS7)</f>
        <v/>
      </c>
      <c r="AT8" s="57">
        <f>SUM(AT3:AT7)</f>
        <v/>
      </c>
      <c r="AU8" s="57">
        <f>SUM(AU3:AU7)</f>
        <v/>
      </c>
      <c r="AV8" s="57">
        <f>SUM(AV3:AV7)</f>
        <v/>
      </c>
      <c r="AW8" s="107">
        <f>SUM(AW3:AW7)</f>
        <v/>
      </c>
      <c r="AX8" s="107">
        <f>SUM(AX3:AX7)</f>
        <v/>
      </c>
      <c r="AY8" s="107" t="n"/>
      <c r="AZ8" s="107">
        <f>AX8/AV8</f>
        <v/>
      </c>
      <c r="BA8" s="62">
        <f>AP8/AO8</f>
        <v/>
      </c>
      <c r="BB8" s="62">
        <f>AR8/AP8</f>
        <v/>
      </c>
      <c r="BC8" s="62">
        <f>AR8/AO8</f>
        <v/>
      </c>
      <c r="BD8" s="62">
        <f>AS8/AR8</f>
        <v/>
      </c>
      <c r="BE8" s="62">
        <f>AVERAGE(BE3:BE7)</f>
        <v/>
      </c>
      <c r="BF8" s="62">
        <f>AU8/AS8</f>
        <v/>
      </c>
      <c r="BG8" s="62">
        <f>AU8/AO8</f>
        <v/>
      </c>
      <c r="BH8" s="62">
        <f>AV8/AO8</f>
        <v/>
      </c>
      <c r="BI8" s="57">
        <f>SUM(BI3:BI7)</f>
        <v/>
      </c>
      <c r="BJ8" s="57">
        <f>SUM(BJ3:BJ7)</f>
        <v/>
      </c>
      <c r="BK8" s="57">
        <f>SUM(BK3:BK7)</f>
        <v/>
      </c>
      <c r="BL8" s="107">
        <f>SUM(BL3:BL7)</f>
        <v/>
      </c>
      <c r="BM8" s="107">
        <f>SUM(BM3:BM7)</f>
        <v/>
      </c>
      <c r="BN8" s="107">
        <f>SUM(BN3:BN7)</f>
        <v/>
      </c>
      <c r="BO8" s="57">
        <f>SUM(BO3:BO7)</f>
        <v/>
      </c>
      <c r="BP8" s="57">
        <f>SUM(BP3:BP7)</f>
        <v/>
      </c>
      <c r="BQ8" s="107">
        <f>SUM(BQ3:BQ7)</f>
        <v/>
      </c>
      <c r="BR8" s="107">
        <f>SUM(BR3:BR7)</f>
        <v/>
      </c>
      <c r="BS8" s="107" t="n"/>
      <c r="BT8" s="107">
        <f>SUM(BT3:BT7)</f>
        <v/>
      </c>
      <c r="BU8" s="107">
        <f>SUM(BU3:BU7)</f>
        <v/>
      </c>
      <c r="BV8" s="107">
        <f>SUM(BV3:BV7)</f>
        <v/>
      </c>
      <c r="BW8" s="107">
        <f>SUM(BW3:BW7)</f>
        <v/>
      </c>
      <c r="BX8" s="107">
        <f>SUM(BX3:BX7)</f>
        <v/>
      </c>
      <c r="BY8" s="107">
        <f>SUM(BY3:BY7)</f>
        <v/>
      </c>
      <c r="BZ8" s="109">
        <f>BQ8/BY8</f>
        <v/>
      </c>
      <c r="CA8" s="107">
        <f>SUM(CA3:CA7)</f>
        <v/>
      </c>
      <c r="CB8" s="107">
        <f>SUM(CB3:CB7)</f>
        <v/>
      </c>
      <c r="CC8" s="109">
        <f>BR8/CB8</f>
        <v/>
      </c>
      <c r="CD8" s="107">
        <f>SUM(CD3:CD7)</f>
        <v/>
      </c>
      <c r="CE8" s="109">
        <f>BR8/CD8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N27"/>
  <sheetViews>
    <sheetView tabSelected="1" zoomScale="70" zoomScaleNormal="70" workbookViewId="0">
      <selection activeCell="Q11" sqref="Q11"/>
    </sheetView>
  </sheetViews>
  <sheetFormatPr baseColWidth="8" defaultColWidth="8.891666666666669" defaultRowHeight="14.25"/>
  <cols>
    <col width="13.4416666666667" customWidth="1" min="1" max="1"/>
    <col hidden="1" width="8.891666666666669" customWidth="1" min="2" max="3"/>
    <col hidden="1" width="39.225" customWidth="1" min="4" max="4"/>
    <col hidden="1" width="8.891666666666669" customWidth="1" min="5" max="7"/>
    <col hidden="1" width="14.8166666666667" customWidth="1" min="8" max="8"/>
    <col hidden="1" width="18.0333333333333" customWidth="1" min="9" max="9"/>
    <col width="14.125" customWidth="1" min="10" max="10"/>
    <col width="12.8916666666667" customWidth="1" min="11" max="11"/>
    <col width="15.6666666666667" customWidth="1" min="12" max="12"/>
    <col width="8.891666666666669" customWidth="1" min="13" max="17"/>
    <col hidden="1" width="8.891666666666669" customWidth="1" min="18" max="19"/>
    <col width="8.891666666666669" customWidth="1" min="20" max="22"/>
    <col width="10" customWidth="1" min="23" max="24"/>
    <col hidden="1" width="8.891666666666669" customWidth="1" min="25" max="25"/>
    <col width="12.8916666666667" customWidth="1" min="26" max="26"/>
    <col hidden="1" width="15.6666666666667" customWidth="1" min="27" max="28"/>
    <col width="15.6666666666667" customWidth="1" min="29" max="30"/>
    <col hidden="1" width="15.6666666666667" customWidth="1" min="31" max="32"/>
    <col width="15.6666666666667" customWidth="1" min="33" max="37"/>
    <col width="8.891666666666669" customWidth="1" min="38" max="40"/>
    <col width="15.6666666666667" customWidth="1" min="41" max="43"/>
    <col width="12.8916666666667" customWidth="1" min="44" max="44"/>
    <col width="8.891666666666669" customWidth="1" min="45" max="54"/>
    <col width="10.225" customWidth="1" min="55" max="56"/>
    <col width="8.891666666666669" customWidth="1" min="57" max="57"/>
    <col width="10.225" customWidth="1" min="58" max="58"/>
    <col width="15.6666666666667" customWidth="1" min="59" max="63"/>
    <col width="8.891666666666669" customWidth="1" min="64" max="65"/>
    <col width="15.6666666666667" customWidth="1" min="66" max="67"/>
    <col width="8.891666666666669" customWidth="1" min="68" max="70"/>
    <col width="15.6666666666667" customWidth="1" min="71" max="73"/>
    <col width="8.891666666666669" customWidth="1" min="74" max="75"/>
    <col width="11.5583333333333" customWidth="1" min="76" max="77"/>
    <col width="15.5583333333333" customWidth="1" min="78" max="78"/>
    <col width="15.6666666666667" customWidth="1" min="79" max="81"/>
    <col width="12.8916666666667" customWidth="1" min="82" max="83"/>
    <col width="15.6666666666667" customWidth="1" min="84" max="84"/>
    <col width="12.775" customWidth="1" min="85" max="85"/>
    <col width="15.6666666666667" customWidth="1" style="119" min="86" max="87"/>
    <col width="12.775" customWidth="1" min="88" max="88"/>
    <col width="15.6666666666667" customWidth="1" style="119" min="89" max="89"/>
    <col width="14.3333333333333" customWidth="1" min="90" max="90"/>
    <col width="8.891666666666669" customWidth="1" min="91" max="98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43" t="n"/>
      <c r="J1" s="43" t="n"/>
      <c r="K1" s="103" t="inlineStr">
        <is>
          <t>主投</t>
        </is>
      </c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4" t="n"/>
      <c r="AJ1" s="104" t="n"/>
      <c r="AK1" s="105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49" t="inlineStr">
        <is>
          <t>辅投</t>
        </is>
      </c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104" t="n"/>
      <c r="BP1" s="104" t="n"/>
      <c r="BQ1" s="74" t="n"/>
      <c r="BR1" s="74" t="n"/>
      <c r="BS1" s="74" t="n"/>
      <c r="BT1" s="74" t="n"/>
      <c r="BU1" s="74" t="n"/>
      <c r="BV1" s="74" t="n"/>
      <c r="BW1" s="74" t="n"/>
      <c r="BX1" s="75" t="n"/>
      <c r="BY1" s="106" t="inlineStr">
        <is>
          <t>汇总</t>
        </is>
      </c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4" t="n"/>
      <c r="CL1" s="104" t="n"/>
      <c r="CM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CPT合作成本消耗</t>
        </is>
      </c>
      <c r="I2" s="91" t="inlineStr">
        <is>
          <t>CPM投放成本消耗</t>
        </is>
      </c>
      <c r="J2" s="91" t="inlineStr">
        <is>
          <t>滚动消耗</t>
        </is>
      </c>
      <c r="K2" s="91" t="inlineStr">
        <is>
          <t>滚动消耗(不含赠课成本)</t>
        </is>
      </c>
      <c r="L2" s="91" t="inlineStr">
        <is>
          <t>单例子成本</t>
        </is>
      </c>
      <c r="M2" s="91" t="inlineStr">
        <is>
          <t>例子数</t>
        </is>
      </c>
      <c r="N2" s="91" t="inlineStr">
        <is>
          <t>分发数</t>
        </is>
      </c>
      <c r="O2" s="91" t="inlineStr">
        <is>
          <t>剔除毛例子
分发数</t>
        </is>
      </c>
      <c r="P2" s="91" t="inlineStr">
        <is>
          <t>约课数</t>
        </is>
      </c>
      <c r="Q2" s="91" t="inlineStr">
        <is>
          <t>到课数</t>
        </is>
      </c>
      <c r="R2" s="91" t="n"/>
      <c r="S2" s="91" t="n"/>
      <c r="T2" s="91" t="inlineStr">
        <is>
          <t>滚动到课数</t>
        </is>
      </c>
      <c r="U2" s="91" t="inlineStr">
        <is>
          <t>当月成交数</t>
        </is>
      </c>
      <c r="V2" s="91" t="inlineStr">
        <is>
          <t>滚动成交数</t>
        </is>
      </c>
      <c r="W2" s="91" t="inlineStr">
        <is>
          <t>当月GMV</t>
        </is>
      </c>
      <c r="X2" s="91" t="inlineStr">
        <is>
          <t>滚动GMV</t>
        </is>
      </c>
      <c r="Y2" s="91" t="inlineStr">
        <is>
          <t>海外GMV占比</t>
        </is>
      </c>
      <c r="Z2" s="91" t="inlineStr">
        <is>
          <t>滚动ASP</t>
        </is>
      </c>
      <c r="AA2" s="91" t="inlineStr">
        <is>
          <t>例子分发率</t>
        </is>
      </c>
      <c r="AB2" s="91" t="inlineStr">
        <is>
          <t>分发约课率</t>
        </is>
      </c>
      <c r="AC2" s="91" t="inlineStr">
        <is>
          <t>例子约课率</t>
        </is>
      </c>
      <c r="AD2" s="91" t="inlineStr">
        <is>
          <t>约课到课率</t>
        </is>
      </c>
      <c r="AE2" s="91" t="n"/>
      <c r="AF2" s="91" t="inlineStr">
        <is>
          <t>滚动应到课率</t>
        </is>
      </c>
      <c r="AG2" s="91" t="inlineStr">
        <is>
          <t>到课转化率</t>
        </is>
      </c>
      <c r="AH2" s="91" t="inlineStr">
        <is>
          <t>注册转化率</t>
        </is>
      </c>
      <c r="AI2" s="91" t="inlineStr">
        <is>
          <t>滚动转化率</t>
        </is>
      </c>
      <c r="AJ2" s="91" t="inlineStr">
        <is>
          <t>滚动ROI2总成本</t>
        </is>
      </c>
      <c r="AK2" s="91" t="inlineStr">
        <is>
          <t>滚动ROI2</t>
        </is>
      </c>
      <c r="AL2" s="91" t="inlineStr">
        <is>
          <t>滚动应到课人数</t>
        </is>
      </c>
      <c r="AM2" s="91" t="inlineStr">
        <is>
          <t>滚动到课人数</t>
        </is>
      </c>
      <c r="AN2" s="91" t="inlineStr">
        <is>
          <t>滚动到课人次</t>
        </is>
      </c>
      <c r="AO2" s="91" t="inlineStr">
        <is>
          <t>运营成本</t>
        </is>
      </c>
      <c r="AP2" s="91" t="inlineStr">
        <is>
          <t>销售固定成本</t>
        </is>
      </c>
      <c r="AQ2" s="91" t="inlineStr">
        <is>
          <t>销售变动成本</t>
        </is>
      </c>
      <c r="AR2" s="91" t="inlineStr">
        <is>
          <t>TMK费用</t>
        </is>
      </c>
      <c r="AS2" s="91" t="inlineStr">
        <is>
          <t>DEMO费用</t>
        </is>
      </c>
      <c r="AT2" s="91" t="inlineStr">
        <is>
          <t>例子数</t>
        </is>
      </c>
      <c r="AU2" s="91" t="inlineStr">
        <is>
          <t>分发数</t>
        </is>
      </c>
      <c r="AV2" s="91" t="inlineStr">
        <is>
          <t>剔除毛例子分发数</t>
        </is>
      </c>
      <c r="AW2" s="91" t="inlineStr">
        <is>
          <t>约课数</t>
        </is>
      </c>
      <c r="AX2" s="91" t="n"/>
      <c r="AY2" s="91" t="n"/>
      <c r="AZ2" s="91" t="inlineStr">
        <is>
          <t>到课数</t>
        </is>
      </c>
      <c r="BA2" s="91" t="inlineStr">
        <is>
          <t>滚动到课数</t>
        </is>
      </c>
      <c r="BB2" s="91" t="inlineStr">
        <is>
          <t>当月成交</t>
        </is>
      </c>
      <c r="BC2" s="91" t="inlineStr">
        <is>
          <t>滚动成交数</t>
        </is>
      </c>
      <c r="BD2" s="91" t="inlineStr">
        <is>
          <t>当月GMV</t>
        </is>
      </c>
      <c r="BE2" s="91" t="inlineStr">
        <is>
          <t>滚动GMV</t>
        </is>
      </c>
      <c r="BF2" s="91" t="inlineStr">
        <is>
          <t>海外GMV占比</t>
        </is>
      </c>
      <c r="BG2" s="91" t="inlineStr">
        <is>
          <t>滚动ASP</t>
        </is>
      </c>
      <c r="BH2" s="91" t="inlineStr">
        <is>
          <t>例子分发率</t>
        </is>
      </c>
      <c r="BI2" s="91" t="inlineStr">
        <is>
          <t>分发约课率</t>
        </is>
      </c>
      <c r="BJ2" s="91" t="inlineStr">
        <is>
          <t>例子约课率</t>
        </is>
      </c>
      <c r="BK2" s="91" t="inlineStr">
        <is>
          <t>约课到课率</t>
        </is>
      </c>
      <c r="BL2" s="91" t="n"/>
      <c r="BM2" s="91" t="inlineStr">
        <is>
          <t>滚动应到课率</t>
        </is>
      </c>
      <c r="BN2" s="91" t="inlineStr">
        <is>
          <t>到课转化率</t>
        </is>
      </c>
      <c r="BO2" s="91" t="inlineStr">
        <is>
          <t>注册转化率</t>
        </is>
      </c>
      <c r="BP2" s="91" t="inlineStr">
        <is>
          <t>滚动转化率</t>
        </is>
      </c>
      <c r="BQ2" s="91" t="inlineStr">
        <is>
          <t>滚动应到课人数</t>
        </is>
      </c>
      <c r="BR2" s="91" t="inlineStr">
        <is>
          <t>滚动到课人数</t>
        </is>
      </c>
      <c r="BS2" s="91" t="inlineStr">
        <is>
          <t>滚动到课人次</t>
        </is>
      </c>
      <c r="BT2" s="91" t="inlineStr">
        <is>
          <t>运营成本</t>
        </is>
      </c>
      <c r="BU2" s="91" t="inlineStr">
        <is>
          <t>销售固定成本</t>
        </is>
      </c>
      <c r="BV2" s="91" t="inlineStr">
        <is>
          <t>销售变动成本</t>
        </is>
      </c>
      <c r="BW2" s="91" t="inlineStr">
        <is>
          <t>TMK费用</t>
        </is>
      </c>
      <c r="BX2" s="91" t="inlineStr">
        <is>
          <t>DEMO费用</t>
        </is>
      </c>
      <c r="BY2" s="91" t="inlineStr">
        <is>
          <t>当月GMV</t>
        </is>
      </c>
      <c r="BZ2" s="91" t="inlineStr">
        <is>
          <t>滚动GMV</t>
        </is>
      </c>
      <c r="CA2" s="91" t="inlineStr">
        <is>
          <t>海外GMV占比</t>
        </is>
      </c>
      <c r="CB2" s="91" t="inlineStr">
        <is>
          <t>滚动其他成本</t>
        </is>
      </c>
      <c r="CC2" s="91" t="inlineStr">
        <is>
          <t>同源其他成本</t>
        </is>
      </c>
      <c r="CD2" s="91" t="inlineStr">
        <is>
          <t>运营成本</t>
        </is>
      </c>
      <c r="CE2" s="91" t="inlineStr">
        <is>
          <t>滚动消耗</t>
        </is>
      </c>
      <c r="CF2" s="91" t="inlineStr">
        <is>
          <t>同源消耗</t>
        </is>
      </c>
      <c r="CG2" s="91" t="inlineStr">
        <is>
          <t>当月ROI2总成本</t>
        </is>
      </c>
      <c r="CH2" s="120" t="inlineStr">
        <is>
          <t>当月ROI2</t>
        </is>
      </c>
      <c r="CI2" s="120" t="inlineStr">
        <is>
          <t>滚动赠课成本</t>
        </is>
      </c>
      <c r="CJ2" s="91" t="inlineStr">
        <is>
          <t>滚动ROI2总成本</t>
        </is>
      </c>
      <c r="CK2" s="120" t="inlineStr">
        <is>
          <t>滚动ROI2</t>
        </is>
      </c>
      <c r="CL2" s="91" t="inlineStr">
        <is>
          <t>O-ROI总成本</t>
        </is>
      </c>
      <c r="CM2" s="91" t="inlineStr">
        <is>
          <t>O-ROI</t>
        </is>
      </c>
      <c r="CN2" s="89" t="inlineStr">
        <is>
          <t xml:space="preserve">   </t>
        </is>
      </c>
    </row>
    <row r="3" ht="16.5" customFormat="1" customHeight="1" s="39">
      <c r="A3" s="63" t="n">
        <v>45873</v>
      </c>
      <c r="B3" s="67" t="n"/>
      <c r="C3" s="67" t="n"/>
      <c r="D3" s="67" t="n"/>
      <c r="E3" s="67" t="n"/>
      <c r="F3" s="67" t="n"/>
      <c r="G3" s="67" t="n"/>
      <c r="H3" s="107">
        <f>J3-I3</f>
        <v/>
      </c>
      <c r="I3" s="107" t="n">
        <v>131727</v>
      </c>
      <c r="J3" s="107" t="n">
        <v>171568.033123194</v>
      </c>
      <c r="K3" s="107" t="n">
        <v>162727</v>
      </c>
      <c r="L3" s="107" t="n">
        <v>349.199570815451</v>
      </c>
      <c r="M3" s="57" t="n">
        <v>466</v>
      </c>
      <c r="N3" s="57" t="n">
        <v>167</v>
      </c>
      <c r="O3" s="57" t="n">
        <v>167</v>
      </c>
      <c r="P3" s="57" t="n">
        <v>167</v>
      </c>
      <c r="Q3" s="57" t="n">
        <v>162</v>
      </c>
      <c r="R3" s="57" t="n">
        <v>128</v>
      </c>
      <c r="S3" s="57" t="n">
        <v>127</v>
      </c>
      <c r="T3" s="57" t="n">
        <v>127</v>
      </c>
      <c r="U3" s="57" t="n">
        <v>50</v>
      </c>
      <c r="V3" s="57" t="n">
        <v>50</v>
      </c>
      <c r="W3" s="107" t="n">
        <v>256600</v>
      </c>
      <c r="X3" s="107" t="n">
        <v>256600</v>
      </c>
      <c r="Y3" s="57" t="n"/>
      <c r="Z3" s="107" t="n">
        <v>5132</v>
      </c>
      <c r="AA3" s="61" t="n">
        <v>0.358369098712446</v>
      </c>
      <c r="AB3" s="61" t="n">
        <v>1</v>
      </c>
      <c r="AC3" s="61" t="n">
        <v>0.358369098712446</v>
      </c>
      <c r="AD3" s="61" t="n">
        <v>0.760479041916168</v>
      </c>
      <c r="AE3" s="61" t="n">
        <v>0.783950617283951</v>
      </c>
      <c r="AF3" s="61" t="n">
        <v>0.995049504950495</v>
      </c>
      <c r="AG3" s="61" t="n">
        <v>0.393700787401575</v>
      </c>
      <c r="AH3" s="61" t="n">
        <v>0.107296137339056</v>
      </c>
      <c r="AI3" s="61" t="n">
        <v>0.107296137339056</v>
      </c>
      <c r="AJ3" s="107" t="n">
        <v>267672.538957</v>
      </c>
      <c r="AK3" s="109" t="n">
        <v>0.958634012289253</v>
      </c>
      <c r="AL3" s="57" t="n">
        <v>128</v>
      </c>
      <c r="AM3" s="57" t="n">
        <v>127</v>
      </c>
      <c r="AN3" s="57" t="n">
        <v>142</v>
      </c>
      <c r="AO3" s="107" t="n">
        <v>25732.7819865804</v>
      </c>
      <c r="AP3" s="107" t="n">
        <v>25595.4636264779</v>
      </c>
      <c r="AQ3" s="107" t="n">
        <v>28209.928097021</v>
      </c>
      <c r="AR3" s="107" t="n">
        <v>4319.5522984279</v>
      </c>
      <c r="AS3" s="107" t="n">
        <v>12246.779825299</v>
      </c>
      <c r="AT3" s="57" t="n">
        <v>0</v>
      </c>
      <c r="AU3" s="57" t="n">
        <v>0</v>
      </c>
      <c r="AV3" s="57" t="n"/>
      <c r="AW3" s="57" t="n">
        <v>0</v>
      </c>
      <c r="AX3" s="57" t="n"/>
      <c r="AY3" s="57" t="n"/>
      <c r="AZ3" s="57" t="n">
        <v>0</v>
      </c>
      <c r="BA3" s="57" t="n">
        <v>0</v>
      </c>
      <c r="BB3" s="57" t="n">
        <v>0</v>
      </c>
      <c r="BC3" s="57" t="n">
        <v>0</v>
      </c>
      <c r="BD3" s="107" t="n">
        <v>0</v>
      </c>
      <c r="BE3" s="107" t="n">
        <v>0</v>
      </c>
      <c r="BF3" s="107" t="n"/>
      <c r="BG3" s="107" t="e">
        <v>#DIV/0!</v>
      </c>
      <c r="BH3" s="62" t="e">
        <v>#DIV/0!</v>
      </c>
      <c r="BI3" s="62" t="e">
        <v>#DIV/0!</v>
      </c>
      <c r="BJ3" s="62" t="e">
        <v>#DIV/0!</v>
      </c>
      <c r="BK3" s="62" t="e">
        <v>#DIV/0!</v>
      </c>
      <c r="BL3" s="62" t="n"/>
      <c r="BM3" s="62" t="e">
        <v>#DIV/0!</v>
      </c>
      <c r="BN3" s="62" t="e">
        <v>#DIV/0!</v>
      </c>
      <c r="BO3" s="62" t="e">
        <v>#DIV/0!</v>
      </c>
      <c r="BP3" s="62" t="e">
        <v>#DIV/0!</v>
      </c>
      <c r="BQ3" s="57" t="n">
        <v>0</v>
      </c>
      <c r="BR3" s="57" t="n">
        <v>0</v>
      </c>
      <c r="BS3" s="57" t="n">
        <v>0</v>
      </c>
      <c r="BT3" s="107" t="n">
        <v>0</v>
      </c>
      <c r="BU3" s="107" t="n">
        <v>0</v>
      </c>
      <c r="BV3" s="107" t="n">
        <v>0</v>
      </c>
      <c r="BW3" s="57" t="n">
        <v>0</v>
      </c>
      <c r="BX3" s="57" t="n">
        <v>0</v>
      </c>
      <c r="BY3" s="107" t="n">
        <v>256600</v>
      </c>
      <c r="BZ3" s="107" t="n">
        <v>256600</v>
      </c>
      <c r="CA3" s="107" t="n"/>
      <c r="CB3" s="107" t="n">
        <v>70371.7238472257</v>
      </c>
      <c r="CC3" s="107" t="n">
        <v>70371.7238472257</v>
      </c>
      <c r="CD3" s="107" t="n">
        <v>25732.7819865804</v>
      </c>
      <c r="CE3" s="107" t="n">
        <v>171568.033123194</v>
      </c>
      <c r="CF3" s="107" t="n">
        <v>171568.033123194</v>
      </c>
      <c r="CG3" s="107" t="n">
        <v>267672.538957</v>
      </c>
      <c r="CH3" s="109" t="n">
        <v>0.958634012289253</v>
      </c>
      <c r="CI3" s="107" t="n">
        <v>8841.03312319356</v>
      </c>
      <c r="CJ3" s="107" t="n">
        <v>267672.538957</v>
      </c>
      <c r="CK3" s="109" t="n">
        <v>0.958634012289253</v>
      </c>
      <c r="CL3" s="107" t="n">
        <v>276889.756970419</v>
      </c>
      <c r="CM3" s="109" t="n">
        <v>0.9267226162772541</v>
      </c>
    </row>
    <row r="4" ht="16.5" customFormat="1" customHeight="1" s="39">
      <c r="A4" s="63" t="n">
        <v>45904</v>
      </c>
      <c r="B4" s="67" t="n"/>
      <c r="C4" s="67" t="n"/>
      <c r="D4" s="67" t="n"/>
      <c r="E4" s="67" t="n"/>
      <c r="F4" s="67" t="n"/>
      <c r="G4" s="67" t="n"/>
      <c r="H4" s="107">
        <f>J4-I4</f>
        <v/>
      </c>
      <c r="I4" s="107" t="n">
        <v>156885</v>
      </c>
      <c r="J4" s="107" t="n">
        <v>196638.317716279</v>
      </c>
      <c r="K4" s="107" t="n">
        <v>187885</v>
      </c>
      <c r="L4" s="107" t="n">
        <v>458.256097560976</v>
      </c>
      <c r="M4" s="57" t="n">
        <v>410</v>
      </c>
      <c r="N4" s="57" t="n">
        <v>120</v>
      </c>
      <c r="O4" s="57" t="n">
        <v>128</v>
      </c>
      <c r="P4" s="57" t="n">
        <v>115</v>
      </c>
      <c r="Q4" s="57" t="n">
        <v>106</v>
      </c>
      <c r="R4" s="57" t="n">
        <v>113</v>
      </c>
      <c r="S4" s="57" t="n">
        <v>91</v>
      </c>
      <c r="T4" s="57" t="n">
        <v>112</v>
      </c>
      <c r="U4" s="57" t="n">
        <v>40</v>
      </c>
      <c r="V4" s="57" t="n">
        <v>49</v>
      </c>
      <c r="W4" s="107" t="n">
        <v>195020</v>
      </c>
      <c r="X4" s="107" t="n">
        <v>234812</v>
      </c>
      <c r="Y4" s="57" t="n"/>
      <c r="Z4" s="107" t="n">
        <v>4792.08163265306</v>
      </c>
      <c r="AA4" s="61" t="n">
        <v>0.292682926829268</v>
      </c>
      <c r="AB4" s="61" t="n">
        <v>0.958333333333333</v>
      </c>
      <c r="AC4" s="61" t="n">
        <v>0.280487804878049</v>
      </c>
      <c r="AD4" s="61" t="n">
        <v>0.7913043478260871</v>
      </c>
      <c r="AE4" s="61" t="n">
        <v>0.858490566037736</v>
      </c>
      <c r="AF4" s="61" t="n">
        <v>0.991228070175439</v>
      </c>
      <c r="AG4" s="61" t="n">
        <v>0.43956043956044</v>
      </c>
      <c r="AH4" s="61" t="n">
        <v>0.0975609756097561</v>
      </c>
      <c r="AI4" s="61" t="n">
        <v>0.119512195121951</v>
      </c>
      <c r="AJ4" s="107" t="n">
        <v>275288.763793539</v>
      </c>
      <c r="AK4" s="109" t="n">
        <v>0.85296616092949</v>
      </c>
      <c r="AL4" s="57" t="n">
        <v>113</v>
      </c>
      <c r="AM4" s="57" t="n">
        <v>112</v>
      </c>
      <c r="AN4" s="57" t="n">
        <v>124</v>
      </c>
      <c r="AO4" s="107" t="n">
        <v>19402.8157238488</v>
      </c>
      <c r="AP4" s="107" t="n">
        <v>18734.2034027261</v>
      </c>
      <c r="AQ4" s="107" t="n">
        <v>25385.4307244783</v>
      </c>
      <c r="AR4" s="107" t="n">
        <v>3882.75174680255</v>
      </c>
      <c r="AS4" s="107" t="n">
        <v>11245.2444794044</v>
      </c>
      <c r="AT4" s="57" t="n">
        <v>0</v>
      </c>
      <c r="AU4" s="57" t="n">
        <v>0</v>
      </c>
      <c r="AV4" s="57" t="n"/>
      <c r="AW4" s="57" t="n">
        <v>0</v>
      </c>
      <c r="AX4" s="57" t="n"/>
      <c r="AY4" s="57" t="n"/>
      <c r="AZ4" s="57" t="n">
        <v>0</v>
      </c>
      <c r="BA4" s="57" t="n">
        <v>0</v>
      </c>
      <c r="BB4" s="57" t="n">
        <v>0</v>
      </c>
      <c r="BC4" s="57" t="n">
        <v>0</v>
      </c>
      <c r="BD4" s="107" t="n">
        <v>0</v>
      </c>
      <c r="BE4" s="107" t="n">
        <v>0</v>
      </c>
      <c r="BF4" s="107" t="n"/>
      <c r="BG4" s="107" t="e">
        <v>#DIV/0!</v>
      </c>
      <c r="BH4" s="62" t="e">
        <v>#DIV/0!</v>
      </c>
      <c r="BI4" s="62" t="e">
        <v>#DIV/0!</v>
      </c>
      <c r="BJ4" s="62" t="e">
        <v>#DIV/0!</v>
      </c>
      <c r="BK4" s="62" t="e">
        <v>#DIV/0!</v>
      </c>
      <c r="BL4" s="62" t="n"/>
      <c r="BM4" s="62" t="e">
        <v>#DIV/0!</v>
      </c>
      <c r="BN4" s="62" t="e">
        <v>#DIV/0!</v>
      </c>
      <c r="BO4" s="62" t="e">
        <v>#DIV/0!</v>
      </c>
      <c r="BP4" s="62" t="e">
        <v>#DIV/0!</v>
      </c>
      <c r="BQ4" s="57" t="n">
        <v>0</v>
      </c>
      <c r="BR4" s="57" t="n">
        <v>0</v>
      </c>
      <c r="BS4" s="57" t="n">
        <v>0</v>
      </c>
      <c r="BT4" s="107" t="n">
        <v>0</v>
      </c>
      <c r="BU4" s="107" t="n">
        <v>0</v>
      </c>
      <c r="BV4" s="107" t="n">
        <v>0</v>
      </c>
      <c r="BW4" s="57" t="n">
        <v>0</v>
      </c>
      <c r="BX4" s="57" t="n">
        <v>0</v>
      </c>
      <c r="BY4" s="107" t="n">
        <v>195020</v>
      </c>
      <c r="BZ4" s="107" t="n">
        <v>234812</v>
      </c>
      <c r="CA4" s="107" t="n"/>
      <c r="CB4" s="107" t="n">
        <v>59247.6303534115</v>
      </c>
      <c r="CC4" s="107" t="n">
        <v>51507.6591642271</v>
      </c>
      <c r="CD4" s="107" t="n">
        <v>19402.8157238488</v>
      </c>
      <c r="CE4" s="107" t="n">
        <v>196638.317716279</v>
      </c>
      <c r="CF4" s="107" t="n">
        <v>195030.565482676</v>
      </c>
      <c r="CG4" s="107" t="n">
        <v>265941.040370752</v>
      </c>
      <c r="CH4" s="109" t="n">
        <v>0.733320437222174</v>
      </c>
      <c r="CI4" s="107" t="n">
        <v>8753.317716278651</v>
      </c>
      <c r="CJ4" s="107" t="n">
        <v>275288.763793539</v>
      </c>
      <c r="CK4" s="109" t="n">
        <v>0.85296616092949</v>
      </c>
      <c r="CL4" s="107" t="n">
        <v>286635.94806969</v>
      </c>
      <c r="CM4" s="109" t="n">
        <v>0.8191994115926799</v>
      </c>
    </row>
    <row r="5" ht="16.5" customFormat="1" customHeight="1" s="39">
      <c r="A5" s="63" t="n">
        <v>45931</v>
      </c>
      <c r="B5" s="67" t="n"/>
      <c r="C5" s="67" t="n"/>
      <c r="D5" s="67" t="n"/>
      <c r="E5" s="67" t="n"/>
      <c r="F5" s="67" t="n"/>
      <c r="G5" s="67" t="n"/>
      <c r="H5" s="107">
        <f>J5-I5</f>
        <v/>
      </c>
      <c r="I5" s="107" t="n">
        <v>134343</v>
      </c>
      <c r="J5" s="107" t="n">
        <v>179212.866899625</v>
      </c>
      <c r="K5" s="107" t="n">
        <v>175282.805884153</v>
      </c>
      <c r="L5" s="117" t="n">
        <v>481.546170011408</v>
      </c>
      <c r="M5" s="67" t="n">
        <v>364</v>
      </c>
      <c r="N5" s="67" t="n">
        <v>81</v>
      </c>
      <c r="O5" s="67" t="n">
        <v>84</v>
      </c>
      <c r="P5" s="67" t="n">
        <v>78</v>
      </c>
      <c r="Q5" s="67" t="n">
        <v>60</v>
      </c>
      <c r="R5" s="67" t="n"/>
      <c r="S5" s="67" t="n"/>
      <c r="T5" s="67" t="n">
        <v>67</v>
      </c>
      <c r="U5" s="67" t="n">
        <v>20</v>
      </c>
      <c r="V5" s="67" t="n">
        <v>22</v>
      </c>
      <c r="W5" s="117" t="n">
        <v>130215</v>
      </c>
      <c r="X5" s="117" t="n">
        <v>138191</v>
      </c>
      <c r="Y5" s="121" t="n"/>
      <c r="Z5" s="117" t="n">
        <v>6281.40909090909</v>
      </c>
      <c r="AA5" s="121" t="n">
        <v>0.222527472527473</v>
      </c>
      <c r="AB5" s="121" t="n">
        <v>0.962962962962963</v>
      </c>
      <c r="AC5" s="121" t="n">
        <v>0.214285714285714</v>
      </c>
      <c r="AD5" s="121" t="n">
        <v>0.7692307692307691</v>
      </c>
      <c r="AE5" s="121" t="n"/>
      <c r="AF5" s="121" t="n">
        <v>0.991071428571429</v>
      </c>
      <c r="AG5" s="121" t="n">
        <v>0.333333333333333</v>
      </c>
      <c r="AH5" s="121" t="n">
        <v>0.0549450549450549</v>
      </c>
      <c r="AI5" s="121" t="n">
        <v>0.0604395604395604</v>
      </c>
      <c r="AJ5" s="117" t="n">
        <v>239019.992923752</v>
      </c>
      <c r="AK5" s="122" t="n">
        <v>0.578156656728222</v>
      </c>
      <c r="AL5" s="67" t="n">
        <v>68</v>
      </c>
      <c r="AM5" s="67" t="n">
        <v>67</v>
      </c>
      <c r="AN5" s="67" t="n">
        <v>74</v>
      </c>
      <c r="AO5" s="117" t="n">
        <v>22744.4272821683</v>
      </c>
      <c r="AP5" s="117" t="n">
        <v>11948.7783460868</v>
      </c>
      <c r="AQ5" s="117" t="n">
        <v>15201.2434910836</v>
      </c>
      <c r="AR5" s="117" t="n">
        <v>3640</v>
      </c>
      <c r="AS5" s="67" t="n">
        <v>6272.67690478891</v>
      </c>
      <c r="AT5" s="67" t="n">
        <v>0</v>
      </c>
      <c r="AU5" s="67" t="n">
        <v>0</v>
      </c>
      <c r="AV5" s="67" t="n"/>
      <c r="AW5" s="67" t="n">
        <v>0</v>
      </c>
      <c r="AX5" s="67" t="n"/>
      <c r="AY5" s="67" t="n"/>
      <c r="AZ5" s="67" t="n">
        <v>0</v>
      </c>
      <c r="BA5" s="67" t="n">
        <v>0</v>
      </c>
      <c r="BB5" s="67" t="n">
        <v>0</v>
      </c>
      <c r="BC5" s="117" t="n">
        <v>0</v>
      </c>
      <c r="BD5" s="117" t="n">
        <v>0</v>
      </c>
      <c r="BE5" s="121" t="n">
        <v>0</v>
      </c>
      <c r="BF5" s="117" t="n"/>
      <c r="BG5" s="121" t="e">
        <v>#DIV/0!</v>
      </c>
      <c r="BH5" s="121" t="e">
        <v>#DIV/0!</v>
      </c>
      <c r="BI5" s="121" t="e">
        <v>#DIV/0!</v>
      </c>
      <c r="BJ5" s="121" t="e">
        <v>#DIV/0!</v>
      </c>
      <c r="BK5" s="121" t="e">
        <v>#DIV/0!</v>
      </c>
      <c r="BL5" s="121" t="n"/>
      <c r="BM5" s="121" t="e">
        <v>#DIV/0!</v>
      </c>
      <c r="BN5" s="121" t="e">
        <v>#DIV/0!</v>
      </c>
      <c r="BO5" s="121" t="e">
        <v>#DIV/0!</v>
      </c>
      <c r="BP5" s="67" t="e">
        <v>#DIV/0!</v>
      </c>
      <c r="BQ5" s="67" t="n">
        <v>0</v>
      </c>
      <c r="BR5" s="67" t="n">
        <v>0</v>
      </c>
      <c r="BS5" s="117" t="n">
        <v>0</v>
      </c>
      <c r="BT5" s="117" t="n">
        <v>0</v>
      </c>
      <c r="BU5" s="117" t="n">
        <v>0</v>
      </c>
      <c r="BV5" s="117" t="n">
        <v>0</v>
      </c>
      <c r="BW5" s="117" t="n">
        <v>0</v>
      </c>
      <c r="BX5" s="117" t="n">
        <v>0</v>
      </c>
      <c r="BY5" s="117" t="n">
        <v>130215</v>
      </c>
      <c r="BZ5" s="121" t="n">
        <v>138191</v>
      </c>
      <c r="CA5" s="117" t="n"/>
      <c r="CB5" s="117" t="n">
        <v>37062.6987419593</v>
      </c>
      <c r="CC5" s="117" t="n">
        <v>35080.4559487647</v>
      </c>
      <c r="CD5" s="117" t="n">
        <v>22744.4272821683</v>
      </c>
      <c r="CE5" s="117" t="n">
        <v>179212.866899625</v>
      </c>
      <c r="CF5" s="117" t="n">
        <v>178855.588625491</v>
      </c>
      <c r="CG5" s="122" t="n">
        <v>236680.471856424</v>
      </c>
      <c r="CH5" s="122" t="n">
        <v>0.550172132828059</v>
      </c>
      <c r="CI5" s="122" t="n">
        <v>3930.06101547205</v>
      </c>
      <c r="CJ5" s="122" t="n">
        <v>239019.992923752</v>
      </c>
      <c r="CK5" s="122" t="n">
        <v>0.578156656728222</v>
      </c>
      <c r="CL5" s="122" t="n">
        <v>243575.565641584</v>
      </c>
      <c r="CM5" s="39" t="n">
        <v>0.567343442828518</v>
      </c>
    </row>
    <row r="6" ht="16.5" customFormat="1" customHeight="1" s="39">
      <c r="A6" s="63" t="n">
        <v>45962</v>
      </c>
      <c r="B6" s="67" t="n"/>
      <c r="C6" s="67" t="n"/>
      <c r="D6" s="67" t="n"/>
      <c r="E6" s="67" t="n"/>
      <c r="F6" s="67" t="n"/>
      <c r="G6" s="67" t="n"/>
      <c r="H6" s="107">
        <f>J6-I6</f>
        <v/>
      </c>
      <c r="I6" s="107" t="n">
        <v>138315</v>
      </c>
      <c r="J6" s="107" t="n">
        <v>173496.470345389</v>
      </c>
      <c r="K6" s="107" t="n">
        <v>169385.856201304</v>
      </c>
      <c r="L6" s="107" t="n">
        <v>951.605933715192</v>
      </c>
      <c r="M6" s="57" t="n">
        <v>178</v>
      </c>
      <c r="N6" s="57" t="n">
        <v>100</v>
      </c>
      <c r="O6" s="57" t="n">
        <v>102</v>
      </c>
      <c r="P6" s="57" t="n">
        <v>96</v>
      </c>
      <c r="Q6" s="57" t="n">
        <v>90</v>
      </c>
      <c r="R6" s="57" t="n">
        <v>74</v>
      </c>
      <c r="S6" s="57" t="n">
        <v>67</v>
      </c>
      <c r="T6" s="57" t="n">
        <v>73</v>
      </c>
      <c r="U6" s="57" t="n">
        <v>21</v>
      </c>
      <c r="V6" s="57" t="n">
        <v>23</v>
      </c>
      <c r="W6" s="107" t="n">
        <v>119686</v>
      </c>
      <c r="X6" s="107" t="n">
        <v>135684</v>
      </c>
      <c r="Y6" s="57" t="n"/>
      <c r="Z6" s="107" t="n">
        <v>5899.30434782609</v>
      </c>
      <c r="AA6" s="61" t="n">
        <v>0.561797752808989</v>
      </c>
      <c r="AB6" s="61" t="n">
        <v>0.96</v>
      </c>
      <c r="AC6" s="61" t="n">
        <v>0.539325842696629</v>
      </c>
      <c r="AD6" s="61" t="n">
        <v>0.697916666666667</v>
      </c>
      <c r="AE6" s="61" t="n">
        <v>0.744444444444444</v>
      </c>
      <c r="AF6" s="61" t="n">
        <v>0.984848484848485</v>
      </c>
      <c r="AG6" s="61" t="n">
        <v>0.313432835820896</v>
      </c>
      <c r="AH6" s="61" t="n">
        <v>0.117977528089888</v>
      </c>
      <c r="AI6" s="61" t="n">
        <v>0.129213483146067</v>
      </c>
      <c r="AJ6" s="107" t="n">
        <v>224529.199480965</v>
      </c>
      <c r="AK6" s="109" t="n">
        <v>0.604304474935355</v>
      </c>
      <c r="AL6" s="57" t="n">
        <v>74</v>
      </c>
      <c r="AM6" s="57" t="n">
        <v>73</v>
      </c>
      <c r="AN6" s="57" t="n">
        <v>77</v>
      </c>
      <c r="AO6" s="107" t="n">
        <v>8946.20859827918</v>
      </c>
      <c r="AP6" s="107" t="n">
        <v>14734.6411865044</v>
      </c>
      <c r="AQ6" s="107" t="n">
        <v>18429.9145669614</v>
      </c>
      <c r="AR6" s="107" t="n">
        <v>1839.70911319992</v>
      </c>
      <c r="AS6" s="107" t="n">
        <v>7082.25567063056</v>
      </c>
      <c r="AT6" s="57" t="n">
        <v>0</v>
      </c>
      <c r="AU6" s="57" t="n">
        <v>0</v>
      </c>
      <c r="AV6" s="57" t="n"/>
      <c r="AW6" s="57" t="n">
        <v>0</v>
      </c>
      <c r="AX6" s="57" t="n"/>
      <c r="AY6" s="57" t="n"/>
      <c r="AZ6" s="57" t="n">
        <v>0</v>
      </c>
      <c r="BA6" s="57" t="n">
        <v>0</v>
      </c>
      <c r="BB6" s="57" t="n">
        <v>0</v>
      </c>
      <c r="BC6" s="57" t="n">
        <v>0</v>
      </c>
      <c r="BD6" s="107" t="n">
        <v>0</v>
      </c>
      <c r="BE6" s="107" t="n">
        <v>0</v>
      </c>
      <c r="BF6" s="107" t="n"/>
      <c r="BG6" s="107" t="e">
        <v>#DIV/0!</v>
      </c>
      <c r="BH6" s="62" t="e">
        <v>#DIV/0!</v>
      </c>
      <c r="BI6" s="62" t="e">
        <v>#DIV/0!</v>
      </c>
      <c r="BJ6" s="62" t="e">
        <v>#DIV/0!</v>
      </c>
      <c r="BK6" s="62" t="e">
        <v>#DIV/0!</v>
      </c>
      <c r="BL6" s="62" t="n"/>
      <c r="BM6" s="62" t="e">
        <v>#DIV/0!</v>
      </c>
      <c r="BN6" s="62" t="e">
        <v>#DIV/0!</v>
      </c>
      <c r="BO6" s="62" t="e">
        <v>#DIV/0!</v>
      </c>
      <c r="BP6" s="62" t="e">
        <v>#DIV/0!</v>
      </c>
      <c r="BQ6" s="57" t="n">
        <v>0</v>
      </c>
      <c r="BR6" s="57" t="n">
        <v>0</v>
      </c>
      <c r="BS6" s="57" t="n">
        <v>0</v>
      </c>
      <c r="BT6" s="107" t="n">
        <v>0</v>
      </c>
      <c r="BU6" s="107" t="n">
        <v>0</v>
      </c>
      <c r="BV6" s="107" t="n">
        <v>0</v>
      </c>
      <c r="BW6" s="57" t="n">
        <v>0</v>
      </c>
      <c r="BX6" s="57" t="n">
        <v>0</v>
      </c>
      <c r="BY6" s="107" t="n">
        <v>119686</v>
      </c>
      <c r="BZ6" s="107" t="n">
        <v>135684</v>
      </c>
      <c r="CA6" s="107" t="n"/>
      <c r="CB6" s="107" t="n">
        <v>42086.5205372963</v>
      </c>
      <c r="CC6" s="107" t="n">
        <v>39072.7386740122</v>
      </c>
      <c r="CD6" s="107" t="n">
        <v>8946.20859827918</v>
      </c>
      <c r="CE6" s="107" t="n">
        <v>173496.470345389</v>
      </c>
      <c r="CF6" s="107" t="n">
        <v>173139.025637208</v>
      </c>
      <c r="CG6" s="107" t="n">
        <v>221157.972909499</v>
      </c>
      <c r="CH6" s="109" t="n">
        <v>0.541178771108456</v>
      </c>
      <c r="CI6" s="107" t="n">
        <v>4110.61414408513</v>
      </c>
      <c r="CJ6" s="107" t="n">
        <v>224529.199480965</v>
      </c>
      <c r="CK6" s="109" t="n">
        <v>0.604304474935355</v>
      </c>
      <c r="CL6" s="107" t="n">
        <v>228932.990882686</v>
      </c>
      <c r="CM6" s="109" t="n">
        <v>0.592679978000767</v>
      </c>
    </row>
    <row r="7" ht="16.5" customFormat="1" customHeight="1" s="39">
      <c r="A7" s="63" t="n">
        <v>45992</v>
      </c>
      <c r="B7" s="67" t="n"/>
      <c r="C7" s="67" t="n"/>
      <c r="D7" s="67" t="n"/>
      <c r="E7" s="67" t="n"/>
      <c r="F7" s="67" t="n"/>
      <c r="G7" s="67" t="n"/>
      <c r="H7" s="107">
        <f>J7-I7</f>
        <v/>
      </c>
      <c r="I7" s="107" t="n">
        <v>204236</v>
      </c>
      <c r="J7" s="107" t="n">
        <v>243212.408117845</v>
      </c>
      <c r="K7" s="107" t="n">
        <v>234236</v>
      </c>
      <c r="L7" s="107" t="n">
        <v>711.963525835866</v>
      </c>
      <c r="M7" s="57" t="n">
        <v>329</v>
      </c>
      <c r="N7" s="57" t="n">
        <v>162</v>
      </c>
      <c r="O7" s="57" t="n">
        <v>170</v>
      </c>
      <c r="P7" s="57" t="n">
        <v>164</v>
      </c>
      <c r="Q7" s="57" t="n">
        <v>160</v>
      </c>
      <c r="R7" s="57" t="n">
        <v>135</v>
      </c>
      <c r="S7" s="57" t="n">
        <v>116</v>
      </c>
      <c r="T7" s="57" t="n">
        <v>134</v>
      </c>
      <c r="U7" s="57" t="n">
        <v>35</v>
      </c>
      <c r="V7" s="57" t="n">
        <v>46</v>
      </c>
      <c r="W7" s="107" t="n">
        <v>190601</v>
      </c>
      <c r="X7" s="107" t="n">
        <v>248369.1</v>
      </c>
      <c r="Y7" s="57" t="n"/>
      <c r="Z7" s="107" t="n">
        <v>5399.32826086957</v>
      </c>
      <c r="AA7" s="61" t="n">
        <v>0.492401215805471</v>
      </c>
      <c r="AB7" s="61" t="n">
        <v>1.01234567901235</v>
      </c>
      <c r="AC7" s="61" t="n">
        <v>0.498480243161094</v>
      </c>
      <c r="AD7" s="61" t="n">
        <v>0.707317073170732</v>
      </c>
      <c r="AE7" s="61" t="n">
        <v>0.725</v>
      </c>
      <c r="AF7" s="61" t="n">
        <v>0.997150997150997</v>
      </c>
      <c r="AG7" s="61" t="n">
        <v>0.301724137931034</v>
      </c>
      <c r="AH7" s="61" t="n">
        <v>0.106382978723404</v>
      </c>
      <c r="AI7" s="61" t="n">
        <v>0.139817629179331</v>
      </c>
      <c r="AJ7" s="107" t="n">
        <v>333004.085522816</v>
      </c>
      <c r="AK7" s="109" t="n">
        <v>0.745844002514446</v>
      </c>
      <c r="AL7" s="57" t="n">
        <v>135</v>
      </c>
      <c r="AM7" s="57" t="n">
        <v>134</v>
      </c>
      <c r="AN7" s="57" t="n">
        <v>146</v>
      </c>
      <c r="AO7" s="107" t="n">
        <v>24548.8464645566</v>
      </c>
      <c r="AP7" s="107" t="n">
        <v>25028.7380315326</v>
      </c>
      <c r="AQ7" s="107" t="n">
        <v>30722.6037422784</v>
      </c>
      <c r="AR7" s="107" t="n">
        <v>3290</v>
      </c>
      <c r="AS7" s="107" t="n">
        <v>12287.9200594997</v>
      </c>
      <c r="AT7" s="57" t="n">
        <v>0</v>
      </c>
      <c r="AU7" s="57" t="n">
        <v>0</v>
      </c>
      <c r="AV7" s="57" t="n"/>
      <c r="AW7" s="57" t="n">
        <v>0</v>
      </c>
      <c r="AX7" s="57" t="n"/>
      <c r="AY7" s="57" t="n"/>
      <c r="AZ7" s="57" t="n">
        <v>0</v>
      </c>
      <c r="BA7" s="57" t="n">
        <v>0</v>
      </c>
      <c r="BB7" s="57" t="n">
        <v>0</v>
      </c>
      <c r="BC7" s="57" t="n">
        <v>0</v>
      </c>
      <c r="BD7" s="107" t="n">
        <v>0</v>
      </c>
      <c r="BE7" s="107" t="n">
        <v>0</v>
      </c>
      <c r="BF7" s="107" t="n"/>
      <c r="BG7" s="107" t="e">
        <v>#DIV/0!</v>
      </c>
      <c r="BH7" s="62" t="e">
        <v>#DIV/0!</v>
      </c>
      <c r="BI7" s="62" t="e">
        <v>#DIV/0!</v>
      </c>
      <c r="BJ7" s="62" t="e">
        <v>#DIV/0!</v>
      </c>
      <c r="BK7" s="62" t="e">
        <v>#DIV/0!</v>
      </c>
      <c r="BL7" s="62" t="n"/>
      <c r="BM7" s="62" t="e">
        <v>#DIV/0!</v>
      </c>
      <c r="BN7" s="62" t="e">
        <v>#DIV/0!</v>
      </c>
      <c r="BO7" s="62" t="e">
        <v>#DIV/0!</v>
      </c>
      <c r="BP7" s="62" t="e">
        <v>#DIV/0!</v>
      </c>
      <c r="BQ7" s="57" t="n">
        <v>0</v>
      </c>
      <c r="BR7" s="57" t="n">
        <v>0</v>
      </c>
      <c r="BS7" s="57" t="n">
        <v>0</v>
      </c>
      <c r="BT7" s="107" t="n">
        <v>0</v>
      </c>
      <c r="BU7" s="107" t="n">
        <v>0</v>
      </c>
      <c r="BV7" s="107" t="n">
        <v>0</v>
      </c>
      <c r="BW7" s="57" t="n">
        <v>0</v>
      </c>
      <c r="BX7" s="57" t="n">
        <v>0</v>
      </c>
      <c r="BY7" s="107" t="n">
        <v>190601</v>
      </c>
      <c r="BZ7" s="107" t="n">
        <v>248369.1</v>
      </c>
      <c r="CA7" s="107" t="n"/>
      <c r="CB7" s="107" t="n">
        <v>71329.26183331069</v>
      </c>
      <c r="CC7" s="107" t="n">
        <v>61322.4002735087</v>
      </c>
      <c r="CD7" s="107" t="n">
        <v>24548.8464645566</v>
      </c>
      <c r="CE7" s="107" t="n">
        <v>272962.710619357</v>
      </c>
      <c r="CF7" s="107" t="n">
        <v>270816.178243351</v>
      </c>
      <c r="CG7" s="107" t="n">
        <v>356687.424981416</v>
      </c>
      <c r="CH7" s="109" t="n">
        <v>0.53436422663325</v>
      </c>
      <c r="CI7" s="107" t="n">
        <v>8976.408117844619</v>
      </c>
      <c r="CJ7" s="107" t="n">
        <v>368840.818917225</v>
      </c>
      <c r="CK7" s="109" t="n">
        <v>0.673377476845205</v>
      </c>
      <c r="CL7" s="107" t="n">
        <v>368966.972452668</v>
      </c>
      <c r="CM7" s="109" t="n">
        <v>0.673147242282943</v>
      </c>
    </row>
    <row r="8" ht="16.5" customFormat="1" customHeight="1" s="39">
      <c r="A8" s="63" t="n">
        <v>46023</v>
      </c>
      <c r="B8" s="67" t="n"/>
      <c r="C8" s="67" t="n"/>
      <c r="D8" s="67" t="n"/>
      <c r="E8" s="67" t="n"/>
      <c r="F8" s="67" t="n"/>
      <c r="G8" s="67" t="n"/>
      <c r="H8" s="107">
        <f>J8-I8</f>
        <v/>
      </c>
      <c r="I8" s="107" t="n">
        <v>239756</v>
      </c>
      <c r="J8" s="107" t="n">
        <v>283662.298618945</v>
      </c>
      <c r="K8" s="107" t="n">
        <v>272563.726829268</v>
      </c>
      <c r="L8" s="107" t="n">
        <v>572.612871490059</v>
      </c>
      <c r="M8" s="57" t="n">
        <v>476</v>
      </c>
      <c r="N8" s="57" t="n">
        <v>254</v>
      </c>
      <c r="O8" s="57" t="n">
        <v>258</v>
      </c>
      <c r="P8" s="57" t="n">
        <v>257</v>
      </c>
      <c r="Q8" s="57" t="n">
        <v>247</v>
      </c>
      <c r="R8" s="57" t="n">
        <v>212</v>
      </c>
      <c r="S8" s="57" t="n">
        <v>186</v>
      </c>
      <c r="T8" s="57" t="n">
        <v>207</v>
      </c>
      <c r="U8" s="57" t="n">
        <v>49</v>
      </c>
      <c r="V8" s="57" t="n">
        <v>55</v>
      </c>
      <c r="W8" s="107" t="n">
        <v>247112</v>
      </c>
      <c r="X8" s="107" t="n">
        <v>279351.2</v>
      </c>
      <c r="Y8" s="57" t="n"/>
      <c r="Z8" s="107" t="n">
        <v>5079.11272727273</v>
      </c>
      <c r="AA8" s="61" t="n">
        <v>0.533613445378151</v>
      </c>
      <c r="AB8" s="61" t="n">
        <v>1.01181102362205</v>
      </c>
      <c r="AC8" s="61" t="n">
        <v>0.539915966386555</v>
      </c>
      <c r="AD8" s="61" t="n">
        <v>0.723735408560311</v>
      </c>
      <c r="AE8" s="61" t="n">
        <v>0.753036437246964</v>
      </c>
      <c r="AF8" s="61" t="n">
        <v>0.9458450046685341</v>
      </c>
      <c r="AG8" s="61" t="n">
        <v>0.263440860215054</v>
      </c>
      <c r="AH8" s="61" t="n">
        <v>0.102941176470588</v>
      </c>
      <c r="AI8" s="61" t="n">
        <v>0.115546218487395</v>
      </c>
      <c r="AJ8" s="107" t="n">
        <v>403501.725572643</v>
      </c>
      <c r="AK8" s="109" t="n">
        <v>0.692317237562118</v>
      </c>
      <c r="AL8" s="57" t="n">
        <v>212</v>
      </c>
      <c r="AM8" s="57" t="n">
        <v>207</v>
      </c>
      <c r="AN8" s="57" t="n">
        <v>223</v>
      </c>
      <c r="AO8" s="107" t="n">
        <v>31595.4875210251</v>
      </c>
      <c r="AP8" s="107" t="n">
        <v>43331.1220054282</v>
      </c>
      <c r="AQ8" s="107" t="n">
        <v>25069.8485534632</v>
      </c>
      <c r="AR8" s="107" t="n">
        <v>5351.4869498117</v>
      </c>
      <c r="AS8" s="107" t="n">
        <v>18299.2087532377</v>
      </c>
      <c r="AT8" s="57" t="n">
        <v>0</v>
      </c>
      <c r="AU8" s="57" t="n">
        <v>0</v>
      </c>
      <c r="AV8" s="57" t="n"/>
      <c r="AW8" s="57" t="n">
        <v>0</v>
      </c>
      <c r="AX8" s="57" t="n"/>
      <c r="AY8" s="57" t="n"/>
      <c r="AZ8" s="57" t="n">
        <v>0</v>
      </c>
      <c r="BA8" s="57" t="n">
        <v>0</v>
      </c>
      <c r="BB8" s="57" t="n">
        <v>0</v>
      </c>
      <c r="BC8" s="57" t="n">
        <v>0</v>
      </c>
      <c r="BD8" s="107" t="n">
        <v>0</v>
      </c>
      <c r="BE8" s="107" t="n">
        <v>0</v>
      </c>
      <c r="BF8" s="107" t="n"/>
      <c r="BG8" s="107" t="e">
        <v>#DIV/0!</v>
      </c>
      <c r="BH8" s="62" t="e">
        <v>#DIV/0!</v>
      </c>
      <c r="BI8" s="62" t="e">
        <v>#DIV/0!</v>
      </c>
      <c r="BJ8" s="62" t="e">
        <v>#DIV/0!</v>
      </c>
      <c r="BK8" s="62" t="e">
        <v>#DIV/0!</v>
      </c>
      <c r="BL8" s="62" t="n"/>
      <c r="BM8" s="62" t="e">
        <v>#DIV/0!</v>
      </c>
      <c r="BN8" s="62" t="e">
        <v>#DIV/0!</v>
      </c>
      <c r="BO8" s="62" t="e">
        <v>#DIV/0!</v>
      </c>
      <c r="BP8" s="62" t="e">
        <v>#DIV/0!</v>
      </c>
      <c r="BQ8" s="57" t="n">
        <v>0</v>
      </c>
      <c r="BR8" s="57" t="n">
        <v>0</v>
      </c>
      <c r="BS8" s="57" t="n">
        <v>0</v>
      </c>
      <c r="BT8" s="107" t="n">
        <v>0</v>
      </c>
      <c r="BU8" s="107" t="n">
        <v>0</v>
      </c>
      <c r="BV8" s="107" t="n">
        <v>0</v>
      </c>
      <c r="BW8" s="57" t="n">
        <v>0</v>
      </c>
      <c r="BX8" s="57" t="n">
        <v>0</v>
      </c>
      <c r="BY8" s="107" t="n">
        <v>247112</v>
      </c>
      <c r="BZ8" s="107" t="n">
        <v>279351.2</v>
      </c>
      <c r="CA8" s="107" t="n"/>
      <c r="CB8" s="107" t="n">
        <v>92051.6662619408</v>
      </c>
      <c r="CC8" s="107" t="n">
        <v>86517.1979231765</v>
      </c>
      <c r="CD8" s="107" t="n">
        <v>31595.4875210251</v>
      </c>
      <c r="CE8" s="107" t="n">
        <v>283662.298618945</v>
      </c>
      <c r="CF8" s="107" t="n">
        <v>282451.545332799</v>
      </c>
      <c r="CG8" s="107" t="n">
        <v>396756.503947732</v>
      </c>
      <c r="CH8" s="109" t="n">
        <v>0.622830369612678</v>
      </c>
      <c r="CI8" s="107" t="n">
        <v>11098.571789677</v>
      </c>
      <c r="CJ8" s="107" t="n">
        <v>403501.725572643</v>
      </c>
      <c r="CK8" s="109" t="n">
        <v>0.692317237562118</v>
      </c>
      <c r="CL8" s="107" t="n">
        <v>407606.238051618</v>
      </c>
      <c r="CM8" s="109" t="n">
        <v>0.685345742830913</v>
      </c>
    </row>
    <row r="9" ht="16.5" customFormat="1" customHeight="1" s="39">
      <c r="A9" s="63" t="n">
        <v>46054</v>
      </c>
      <c r="B9" s="67" t="n"/>
      <c r="C9" s="67" t="n"/>
      <c r="D9" s="67" t="n"/>
      <c r="E9" s="67" t="n"/>
      <c r="F9" s="67" t="n"/>
      <c r="G9" s="67" t="n"/>
      <c r="H9" s="107">
        <f>J9-I9</f>
        <v/>
      </c>
      <c r="I9" s="107" t="n">
        <v>132054</v>
      </c>
      <c r="J9" s="107" t="n">
        <v>163904.958282927</v>
      </c>
      <c r="K9" s="107" t="n">
        <v>163904.958282927</v>
      </c>
      <c r="L9" s="107" t="n">
        <v>832.004864380341</v>
      </c>
      <c r="M9" s="57" t="n">
        <v>197</v>
      </c>
      <c r="N9" s="57" t="n">
        <v>90</v>
      </c>
      <c r="O9" s="57" t="n">
        <v>99</v>
      </c>
      <c r="P9" s="57" t="n">
        <v>94</v>
      </c>
      <c r="Q9" s="57" t="n">
        <v>84</v>
      </c>
      <c r="R9" s="57" t="n">
        <v>81</v>
      </c>
      <c r="S9" s="57" t="n">
        <v>54</v>
      </c>
      <c r="T9" s="57" t="n">
        <v>80</v>
      </c>
      <c r="U9" s="57" t="n">
        <v>16</v>
      </c>
      <c r="V9" s="57" t="n">
        <v>19</v>
      </c>
      <c r="W9" s="107" t="n">
        <v>80508</v>
      </c>
      <c r="X9" s="107" t="n">
        <v>92672</v>
      </c>
      <c r="Y9" s="57" t="n"/>
      <c r="Z9" s="107" t="n">
        <v>4877.47368421053</v>
      </c>
      <c r="AA9" s="61" t="n">
        <v>0.456852791878173</v>
      </c>
      <c r="AB9" s="61" t="n">
        <v>1.04444444444444</v>
      </c>
      <c r="AC9" s="61" t="n">
        <v>0.477157360406091</v>
      </c>
      <c r="AD9" s="61" t="n">
        <v>0.574468085106383</v>
      </c>
      <c r="AE9" s="61" t="n">
        <v>0.642857142857143</v>
      </c>
      <c r="AF9" s="61" t="n">
        <v>0.993670886075949</v>
      </c>
      <c r="AG9" s="61" t="n">
        <v>0.296296296296296</v>
      </c>
      <c r="AH9" s="61" t="n">
        <v>0.08121827411167511</v>
      </c>
      <c r="AI9" s="61" t="n">
        <v>0.0964467005076142</v>
      </c>
      <c r="AJ9" s="107" t="n">
        <v>196115.697227392</v>
      </c>
      <c r="AK9" s="109" t="n">
        <v>0.472537391499819</v>
      </c>
      <c r="AL9" s="57" t="n">
        <v>81</v>
      </c>
      <c r="AM9" s="57" t="n">
        <v>80</v>
      </c>
      <c r="AN9" s="57" t="n">
        <v>82</v>
      </c>
      <c r="AO9" s="107" t="n">
        <v>25964.8306602754</v>
      </c>
      <c r="AP9" s="107" t="n">
        <v>19196.4121120854</v>
      </c>
      <c r="AQ9" s="107" t="n">
        <v>12148.5491043368</v>
      </c>
      <c r="AR9" s="107" t="n">
        <v>1970</v>
      </c>
      <c r="AS9" s="107" t="n">
        <v>6720.78635752308</v>
      </c>
      <c r="AT9" s="57" t="n">
        <v>0</v>
      </c>
      <c r="AU9" s="57" t="n">
        <v>0</v>
      </c>
      <c r="AV9" s="57" t="n"/>
      <c r="AW9" s="57" t="n">
        <v>0</v>
      </c>
      <c r="AX9" s="57" t="n"/>
      <c r="AY9" s="57" t="n"/>
      <c r="AZ9" s="57" t="n">
        <v>0</v>
      </c>
      <c r="BA9" s="57" t="n">
        <v>0</v>
      </c>
      <c r="BB9" s="57" t="n">
        <v>0</v>
      </c>
      <c r="BC9" s="57" t="n">
        <v>0</v>
      </c>
      <c r="BD9" s="107" t="n">
        <v>0</v>
      </c>
      <c r="BE9" s="107" t="n">
        <v>0</v>
      </c>
      <c r="BF9" s="107" t="n"/>
      <c r="BG9" s="107" t="e">
        <v>#DIV/0!</v>
      </c>
      <c r="BH9" s="62" t="e">
        <v>#DIV/0!</v>
      </c>
      <c r="BI9" s="62" t="e">
        <v>#DIV/0!</v>
      </c>
      <c r="BJ9" s="62" t="e">
        <v>#DIV/0!</v>
      </c>
      <c r="BK9" s="62" t="e">
        <v>#DIV/0!</v>
      </c>
      <c r="BL9" s="62" t="n"/>
      <c r="BM9" s="62" t="e">
        <v>#DIV/0!</v>
      </c>
      <c r="BN9" s="62" t="e">
        <v>#DIV/0!</v>
      </c>
      <c r="BO9" s="62" t="e">
        <v>#DIV/0!</v>
      </c>
      <c r="BP9" s="62" t="e">
        <v>#DIV/0!</v>
      </c>
      <c r="BQ9" s="57" t="n">
        <v>0</v>
      </c>
      <c r="BR9" s="57" t="n">
        <v>0</v>
      </c>
      <c r="BS9" s="57" t="n">
        <v>0</v>
      </c>
      <c r="BT9" s="107" t="n">
        <v>0</v>
      </c>
      <c r="BU9" s="107" t="n">
        <v>0</v>
      </c>
      <c r="BV9" s="107" t="n">
        <v>0</v>
      </c>
      <c r="BW9" s="57" t="n">
        <v>0</v>
      </c>
      <c r="BX9" s="57" t="n">
        <v>0</v>
      </c>
      <c r="BY9" s="107" t="n">
        <v>80508</v>
      </c>
      <c r="BZ9" s="107" t="n">
        <v>92672</v>
      </c>
      <c r="CA9" s="107" t="n"/>
      <c r="CB9" s="107" t="n">
        <v>40035.7475739453</v>
      </c>
      <c r="CC9" s="107" t="n">
        <v>34483.0754072221</v>
      </c>
      <c r="CD9" s="107" t="n">
        <v>25964.8306602754</v>
      </c>
      <c r="CE9" s="107" t="n">
        <v>163904.958282927</v>
      </c>
      <c r="CF9" s="107" t="n">
        <v>163904.958282927</v>
      </c>
      <c r="CG9" s="107" t="n">
        <v>190563.025060669</v>
      </c>
      <c r="CH9" s="109" t="n">
        <v>0.422474401707095</v>
      </c>
      <c r="CI9" s="107" t="n">
        <v>0</v>
      </c>
      <c r="CJ9" s="107" t="n">
        <v>196115.697227392</v>
      </c>
      <c r="CK9" s="109" t="n">
        <v>0.472537391499819</v>
      </c>
      <c r="CL9" s="107" t="n">
        <v>184925.866567116</v>
      </c>
      <c r="CM9" s="109" t="n">
        <v>0.501130543391916</v>
      </c>
    </row>
    <row r="10" ht="16.5" customFormat="1" customHeight="1" s="39">
      <c r="A10" s="63" t="n">
        <v>46082</v>
      </c>
      <c r="B10" s="67" t="n"/>
      <c r="C10" s="67" t="n"/>
      <c r="D10" s="67" t="n"/>
      <c r="E10" s="67" t="n"/>
      <c r="F10" s="67" t="n"/>
      <c r="G10" s="67" t="n"/>
      <c r="H10" s="107">
        <f>J10-I10</f>
        <v/>
      </c>
      <c r="I10" s="107" t="n">
        <v>228327</v>
      </c>
      <c r="J10" s="107" t="n">
        <v>261203.857786194</v>
      </c>
      <c r="K10" s="107" t="n">
        <v>253155.282916516</v>
      </c>
      <c r="L10" s="107" t="n">
        <v>545.593282147663</v>
      </c>
      <c r="M10" s="57" t="n">
        <v>464</v>
      </c>
      <c r="N10" s="57" t="n">
        <v>208</v>
      </c>
      <c r="O10" s="57" t="n">
        <v>212</v>
      </c>
      <c r="P10" s="57" t="n">
        <v>219</v>
      </c>
      <c r="Q10" s="57" t="n">
        <v>209</v>
      </c>
      <c r="R10" s="57" t="n">
        <v>184</v>
      </c>
      <c r="S10" s="57" t="n">
        <v>158</v>
      </c>
      <c r="T10" s="57" t="n">
        <v>179</v>
      </c>
      <c r="U10" s="57" t="n">
        <v>36</v>
      </c>
      <c r="V10" s="57" t="n">
        <v>40</v>
      </c>
      <c r="W10" s="107" t="n">
        <v>183568</v>
      </c>
      <c r="X10" s="107" t="n">
        <v>199220</v>
      </c>
      <c r="Y10" s="57" t="n"/>
      <c r="Z10" s="107" t="n">
        <v>4980.5</v>
      </c>
      <c r="AA10" s="61" t="n">
        <v>0.448275862068966</v>
      </c>
      <c r="AB10" s="61" t="n">
        <v>1.05288461538462</v>
      </c>
      <c r="AC10" s="61" t="n">
        <v>0.47198275862069</v>
      </c>
      <c r="AD10" s="61" t="n">
        <v>0.7214611872146121</v>
      </c>
      <c r="AE10" s="61" t="n">
        <v>0.755980861244019</v>
      </c>
      <c r="AF10" s="61" t="n">
        <v>0.980758807588076</v>
      </c>
      <c r="AG10" s="61" t="n">
        <v>0.227848101265823</v>
      </c>
      <c r="AH10" s="61" t="n">
        <v>0.0775862068965517</v>
      </c>
      <c r="AI10" s="61" t="n">
        <v>0.0862068965517241</v>
      </c>
      <c r="AJ10" s="107" t="n">
        <v>375409.066327784</v>
      </c>
      <c r="AK10" s="109" t="n">
        <v>0.530674450536721</v>
      </c>
      <c r="AL10" s="57" t="n">
        <v>184</v>
      </c>
      <c r="AM10" s="57" t="n">
        <v>179</v>
      </c>
      <c r="AN10" s="57" t="n">
        <v>188</v>
      </c>
      <c r="AO10" s="107" t="n">
        <v>40894.7459086994</v>
      </c>
      <c r="AP10" s="107" t="n">
        <v>29313.4637263949</v>
      </c>
      <c r="AQ10" s="107" t="n">
        <v>23641.3742664025</v>
      </c>
      <c r="AR10" s="107" t="n">
        <v>4640</v>
      </c>
      <c r="AS10" s="107" t="n">
        <v>15715.6246400926</v>
      </c>
      <c r="AT10" s="57" t="n">
        <v>0</v>
      </c>
      <c r="AU10" s="57" t="n">
        <v>0</v>
      </c>
      <c r="AV10" s="57" t="n"/>
      <c r="AW10" s="57" t="n">
        <v>0</v>
      </c>
      <c r="AX10" s="57" t="n"/>
      <c r="AY10" s="57" t="n"/>
      <c r="AZ10" s="57" t="n">
        <v>0</v>
      </c>
      <c r="BA10" s="57" t="n">
        <v>0</v>
      </c>
      <c r="BB10" s="57" t="n">
        <v>0</v>
      </c>
      <c r="BC10" s="57" t="n">
        <v>0</v>
      </c>
      <c r="BD10" s="107" t="n">
        <v>0</v>
      </c>
      <c r="BE10" s="107" t="n">
        <v>0</v>
      </c>
      <c r="BF10" s="107" t="n"/>
      <c r="BG10" s="107" t="e">
        <v>#DIV/0!</v>
      </c>
      <c r="BH10" s="62" t="e">
        <v>#DIV/0!</v>
      </c>
      <c r="BI10" s="62" t="e">
        <v>#DIV/0!</v>
      </c>
      <c r="BJ10" s="62" t="e">
        <v>#DIV/0!</v>
      </c>
      <c r="BK10" s="62" t="e">
        <v>#DIV/0!</v>
      </c>
      <c r="BL10" s="62" t="n"/>
      <c r="BM10" s="62" t="e">
        <v>#DIV/0!</v>
      </c>
      <c r="BN10" s="62" t="e">
        <v>#DIV/0!</v>
      </c>
      <c r="BO10" s="62" t="e">
        <v>#DIV/0!</v>
      </c>
      <c r="BP10" s="62" t="e">
        <v>#DIV/0!</v>
      </c>
      <c r="BQ10" s="57" t="n">
        <v>0</v>
      </c>
      <c r="BR10" s="57" t="n">
        <v>0</v>
      </c>
      <c r="BS10" s="57" t="n">
        <v>0</v>
      </c>
      <c r="BT10" s="107" t="n">
        <v>0</v>
      </c>
      <c r="BU10" s="107" t="n">
        <v>0</v>
      </c>
      <c r="BV10" s="107" t="n">
        <v>0</v>
      </c>
      <c r="BW10" s="57" t="n">
        <v>0</v>
      </c>
      <c r="BX10" s="57" t="n">
        <v>0</v>
      </c>
      <c r="BY10" s="107" t="n">
        <v>183568</v>
      </c>
      <c r="BZ10" s="107" t="n">
        <v>199220</v>
      </c>
      <c r="CA10" s="107" t="n"/>
      <c r="CB10" s="107" t="n">
        <v>73310.46263289</v>
      </c>
      <c r="CC10" s="107" t="n">
        <v>68977.3043258485</v>
      </c>
      <c r="CD10" s="107" t="n">
        <v>40894.7459086994</v>
      </c>
      <c r="CE10" s="107" t="n">
        <v>261203.857786194</v>
      </c>
      <c r="CF10" s="107" t="n">
        <v>260399.000299226</v>
      </c>
      <c r="CG10" s="107" t="n">
        <v>370271.050533774</v>
      </c>
      <c r="CH10" s="109" t="n">
        <v>0.495766546521454</v>
      </c>
      <c r="CI10" s="107" t="n">
        <v>8048.57486967862</v>
      </c>
      <c r="CJ10" s="107" t="n">
        <v>375409.066327784</v>
      </c>
      <c r="CK10" s="109" t="n">
        <v>0.530674450536721</v>
      </c>
      <c r="CL10" s="107" t="n">
        <v>369314.320419084</v>
      </c>
      <c r="CM10" s="109" t="n">
        <v>0.539432101560352</v>
      </c>
    </row>
    <row r="11" ht="16.5" customFormat="1" customHeight="1" s="39">
      <c r="A11" s="63" t="n">
        <v>46113</v>
      </c>
      <c r="B11" s="67" t="n"/>
      <c r="C11" s="67" t="n"/>
      <c r="D11" s="67" t="n"/>
      <c r="E11" s="67" t="n"/>
      <c r="F11" s="67" t="n"/>
      <c r="G11" s="67" t="n"/>
      <c r="H11" s="107">
        <f>J11-I11</f>
        <v/>
      </c>
      <c r="I11" s="107" t="n">
        <v>174361</v>
      </c>
      <c r="J11" s="107" t="n">
        <v>211333.41241949</v>
      </c>
      <c r="K11" s="107" t="n">
        <v>211333.41241949</v>
      </c>
      <c r="L11" s="107" t="n">
        <v>723.744563080446</v>
      </c>
      <c r="M11" s="57" t="n">
        <v>292</v>
      </c>
      <c r="N11" s="57" t="n">
        <v>127</v>
      </c>
      <c r="O11" s="57" t="n">
        <v>140</v>
      </c>
      <c r="P11" s="57" t="n">
        <v>133</v>
      </c>
      <c r="Q11" s="57" t="n">
        <v>131</v>
      </c>
      <c r="R11" s="57" t="n">
        <v>128</v>
      </c>
      <c r="S11" s="57" t="n">
        <v>98</v>
      </c>
      <c r="T11" s="57" t="n">
        <v>126</v>
      </c>
      <c r="U11" s="57" t="n">
        <v>38</v>
      </c>
      <c r="V11" s="57" t="n">
        <v>47</v>
      </c>
      <c r="W11" s="107" t="n">
        <v>184944</v>
      </c>
      <c r="X11" s="107" t="n">
        <v>228236</v>
      </c>
      <c r="Y11" s="57" t="n"/>
      <c r="Z11" s="107" t="n">
        <v>4856.08510638298</v>
      </c>
      <c r="AA11" s="61" t="n">
        <v>0.434931506849315</v>
      </c>
      <c r="AB11" s="61" t="n">
        <v>1.04724409448819</v>
      </c>
      <c r="AC11" s="61" t="n">
        <v>0.455479452054795</v>
      </c>
      <c r="AD11" s="61" t="n">
        <v>0.736842105263158</v>
      </c>
      <c r="AE11" s="61" t="n">
        <v>0.748091603053435</v>
      </c>
      <c r="AF11" s="61" t="n">
        <v>0.987654320987654</v>
      </c>
      <c r="AG11" s="61" t="n">
        <v>0.387755102040816</v>
      </c>
      <c r="AH11" s="61" t="n">
        <v>0.13013698630137</v>
      </c>
      <c r="AI11" s="61" t="n">
        <v>0.160958904109589</v>
      </c>
      <c r="AJ11" s="107" t="n">
        <v>297160.59148016</v>
      </c>
      <c r="AK11" s="109" t="n">
        <v>0.768056083288681</v>
      </c>
      <c r="AL11" s="57" t="n">
        <v>128</v>
      </c>
      <c r="AM11" s="57" t="n">
        <v>126</v>
      </c>
      <c r="AN11" s="57" t="n">
        <v>136</v>
      </c>
      <c r="AO11" s="107" t="n">
        <v>30292.4581269359</v>
      </c>
      <c r="AP11" s="107" t="n">
        <v>17835.1209426765</v>
      </c>
      <c r="AQ11" s="107" t="n">
        <v>23217.7134753719</v>
      </c>
      <c r="AR11" s="107" t="n">
        <v>2920</v>
      </c>
      <c r="AS11" s="107" t="n">
        <v>11561.8865156858</v>
      </c>
      <c r="AT11" s="57" t="n">
        <v>0</v>
      </c>
      <c r="AU11" s="57" t="n">
        <v>0</v>
      </c>
      <c r="AV11" s="57" t="n"/>
      <c r="AW11" s="57" t="n">
        <v>0</v>
      </c>
      <c r="AX11" s="57" t="n"/>
      <c r="AY11" s="57" t="n"/>
      <c r="AZ11" s="57" t="n">
        <v>0</v>
      </c>
      <c r="BA11" s="57" t="n">
        <v>0</v>
      </c>
      <c r="BB11" s="57" t="n">
        <v>0</v>
      </c>
      <c r="BC11" s="57" t="n">
        <v>0</v>
      </c>
      <c r="BD11" s="107" t="n">
        <v>0</v>
      </c>
      <c r="BE11" s="107" t="n">
        <v>0</v>
      </c>
      <c r="BF11" s="107" t="n"/>
      <c r="BG11" s="107" t="e">
        <v>#DIV/0!</v>
      </c>
      <c r="BH11" s="62" t="e">
        <v>#DIV/0!</v>
      </c>
      <c r="BI11" s="62" t="e">
        <v>#DIV/0!</v>
      </c>
      <c r="BJ11" s="62" t="e">
        <v>#DIV/0!</v>
      </c>
      <c r="BK11" s="62" t="e">
        <v>#DIV/0!</v>
      </c>
      <c r="BL11" s="62" t="n"/>
      <c r="BM11" s="62" t="e">
        <v>#DIV/0!</v>
      </c>
      <c r="BN11" s="62" t="e">
        <v>#DIV/0!</v>
      </c>
      <c r="BO11" s="62" t="e">
        <v>#DIV/0!</v>
      </c>
      <c r="BP11" s="62" t="e">
        <v>#DIV/0!</v>
      </c>
      <c r="BQ11" s="57" t="n">
        <v>0</v>
      </c>
      <c r="BR11" s="57" t="n">
        <v>0</v>
      </c>
      <c r="BS11" s="57" t="n">
        <v>0</v>
      </c>
      <c r="BT11" s="107" t="n">
        <v>0</v>
      </c>
      <c r="BU11" s="107" t="n">
        <v>0</v>
      </c>
      <c r="BV11" s="107" t="n">
        <v>0</v>
      </c>
      <c r="BW11" s="57" t="n">
        <v>0</v>
      </c>
      <c r="BX11" s="57" t="n">
        <v>0</v>
      </c>
      <c r="BY11" s="107" t="n">
        <v>184944</v>
      </c>
      <c r="BZ11" s="107" t="n">
        <v>228236</v>
      </c>
      <c r="CA11" s="107" t="n"/>
      <c r="CB11" s="107" t="n">
        <v>55534.7209337343</v>
      </c>
      <c r="CC11" s="107" t="n">
        <v>46839.2167642522</v>
      </c>
      <c r="CD11" s="107" t="n">
        <v>30292.4581269359</v>
      </c>
      <c r="CE11" s="107" t="n">
        <v>211333.41241949</v>
      </c>
      <c r="CF11" s="107" t="n">
        <v>211333.41241949</v>
      </c>
      <c r="CG11" s="107" t="n">
        <v>288465.087310678</v>
      </c>
      <c r="CH11" s="109" t="n">
        <v>0.641131312368537</v>
      </c>
      <c r="CI11" s="107" t="n">
        <v>0</v>
      </c>
      <c r="CJ11" s="107" t="n">
        <v>297160.59148016</v>
      </c>
      <c r="CK11" s="109" t="n">
        <v>0.768056083288681</v>
      </c>
      <c r="CL11" s="107" t="n">
        <v>288768.133353225</v>
      </c>
      <c r="CM11" s="109" t="n">
        <v>0.790378070286651</v>
      </c>
    </row>
    <row r="12" ht="16.5" customFormat="1" customHeight="1" s="39">
      <c r="A12" s="63" t="n">
        <v>46143</v>
      </c>
      <c r="B12" s="67" t="n"/>
      <c r="C12" s="67" t="n"/>
      <c r="D12" s="67" t="n"/>
      <c r="E12" s="67" t="n"/>
      <c r="F12" s="67" t="n"/>
      <c r="G12" s="67" t="n"/>
      <c r="H12" s="107">
        <f>J12-I12</f>
        <v/>
      </c>
      <c r="I12" s="107" t="n">
        <v>181258.62920861</v>
      </c>
      <c r="J12" s="107" t="n">
        <v>232785.210408343</v>
      </c>
      <c r="K12" s="107" t="n">
        <v>232785.210408343</v>
      </c>
      <c r="L12" s="107" t="n">
        <v>620.760561088914</v>
      </c>
      <c r="M12" s="57" t="n">
        <v>375</v>
      </c>
      <c r="N12" s="57" t="n">
        <v>132</v>
      </c>
      <c r="O12" s="57" t="n">
        <v>140</v>
      </c>
      <c r="P12" s="57" t="n">
        <v>139</v>
      </c>
      <c r="Q12" s="57" t="n">
        <v>133</v>
      </c>
      <c r="R12" s="57" t="n">
        <v>119</v>
      </c>
      <c r="S12" s="57" t="n">
        <v>101</v>
      </c>
      <c r="T12" s="57" t="n">
        <v>117</v>
      </c>
      <c r="U12" s="57" t="n">
        <v>29</v>
      </c>
      <c r="V12" s="57" t="n">
        <v>33</v>
      </c>
      <c r="W12" s="107" t="n">
        <v>138852</v>
      </c>
      <c r="X12" s="107" t="n">
        <v>154304</v>
      </c>
      <c r="Y12" s="57" t="n"/>
      <c r="Z12" s="107" t="n">
        <v>4675.87878787879</v>
      </c>
      <c r="AA12" s="61" t="n">
        <v>0.352</v>
      </c>
      <c r="AB12" s="61" t="n">
        <v>1.0530303030303</v>
      </c>
      <c r="AC12" s="61" t="n">
        <v>0.370666666666667</v>
      </c>
      <c r="AD12" s="61" t="n">
        <v>0.726618705035971</v>
      </c>
      <c r="AE12" s="61" t="n">
        <v>0.759398496240602</v>
      </c>
      <c r="AF12" s="61" t="n">
        <v>0.9772030651341</v>
      </c>
      <c r="AG12" s="61" t="n">
        <v>0.287128712871287</v>
      </c>
      <c r="AH12" s="61" t="n">
        <v>0.0773333333333333</v>
      </c>
      <c r="AI12" s="61" t="n">
        <v>0.08799999999999999</v>
      </c>
      <c r="AJ12" s="107" t="n">
        <v>315547.055404725</v>
      </c>
      <c r="AK12" s="109" t="n">
        <v>0.489004721663739</v>
      </c>
      <c r="AL12" s="57" t="n">
        <v>119</v>
      </c>
      <c r="AM12" s="57" t="n">
        <v>117</v>
      </c>
      <c r="AN12" s="57" t="n">
        <v>125</v>
      </c>
      <c r="AO12" s="107" t="n">
        <v>38288.6339320307</v>
      </c>
      <c r="AP12" s="107" t="n">
        <v>15383.0860111526</v>
      </c>
      <c r="AQ12" s="107" t="n">
        <v>14748.7539117403</v>
      </c>
      <c r="AR12" s="107" t="n">
        <v>3750</v>
      </c>
      <c r="AS12" s="107" t="n">
        <v>10591.3711414583</v>
      </c>
      <c r="AT12" s="57" t="n">
        <v>0</v>
      </c>
      <c r="AU12" s="57" t="n">
        <v>0</v>
      </c>
      <c r="AV12" s="57" t="n"/>
      <c r="AW12" s="57" t="n">
        <v>0</v>
      </c>
      <c r="AX12" s="57" t="n"/>
      <c r="AY12" s="57" t="n"/>
      <c r="AZ12" s="57" t="n">
        <v>0</v>
      </c>
      <c r="BA12" s="57" t="n">
        <v>0</v>
      </c>
      <c r="BB12" s="57" t="n">
        <v>0</v>
      </c>
      <c r="BC12" s="57" t="n">
        <v>0</v>
      </c>
      <c r="BD12" s="107" t="n">
        <v>0</v>
      </c>
      <c r="BE12" s="107" t="n">
        <v>0</v>
      </c>
      <c r="BF12" s="107" t="n"/>
      <c r="BG12" s="107" t="e">
        <v>#DIV/0!</v>
      </c>
      <c r="BH12" s="62" t="e">
        <v>#DIV/0!</v>
      </c>
      <c r="BI12" s="62" t="e">
        <v>#DIV/0!</v>
      </c>
      <c r="BJ12" s="62" t="e">
        <v>#DIV/0!</v>
      </c>
      <c r="BK12" s="62" t="e">
        <v>#DIV/0!</v>
      </c>
      <c r="BL12" s="62" t="n"/>
      <c r="BM12" s="62" t="e">
        <v>#DIV/0!</v>
      </c>
      <c r="BN12" s="62" t="e">
        <v>#DIV/0!</v>
      </c>
      <c r="BO12" s="62" t="e">
        <v>#DIV/0!</v>
      </c>
      <c r="BP12" s="62" t="e">
        <v>#DIV/0!</v>
      </c>
      <c r="BQ12" s="57" t="n">
        <v>0</v>
      </c>
      <c r="BR12" s="57" t="n">
        <v>0</v>
      </c>
      <c r="BS12" s="57" t="n">
        <v>0</v>
      </c>
      <c r="BT12" s="107" t="n">
        <v>0</v>
      </c>
      <c r="BU12" s="107" t="n">
        <v>0</v>
      </c>
      <c r="BV12" s="107" t="n">
        <v>0</v>
      </c>
      <c r="BW12" s="57" t="n">
        <v>0</v>
      </c>
      <c r="BX12" s="57" t="n">
        <v>0</v>
      </c>
      <c r="BY12" s="107" t="n">
        <v>138852</v>
      </c>
      <c r="BZ12" s="107" t="n">
        <v>154304</v>
      </c>
      <c r="CA12" s="107" t="n"/>
      <c r="CB12" s="107" t="n">
        <v>44473.2110643512</v>
      </c>
      <c r="CC12" s="107" t="n">
        <v>40507.3491924673</v>
      </c>
      <c r="CD12" s="107" t="n">
        <v>38288.6339320307</v>
      </c>
      <c r="CE12" s="107" t="n">
        <v>232785.210408343</v>
      </c>
      <c r="CF12" s="107" t="n">
        <v>232785.210408343</v>
      </c>
      <c r="CG12" s="107" t="n">
        <v>311581.193532841</v>
      </c>
      <c r="CH12" s="109" t="n">
        <v>0.445636652281983</v>
      </c>
      <c r="CI12" s="107" t="n">
        <v>0</v>
      </c>
      <c r="CJ12" s="107" t="n">
        <v>315547.055404725</v>
      </c>
      <c r="CK12" s="109" t="n">
        <v>0.489004721663739</v>
      </c>
      <c r="CL12" s="107" t="n">
        <v>305383.421472694</v>
      </c>
      <c r="CM12" s="109" t="n">
        <v>0.505279557272225</v>
      </c>
    </row>
    <row r="13" ht="30" customFormat="1" customHeight="1" s="40">
      <c r="A13" t="n">
        <v>46174</v>
      </c>
      <c r="J13" t="n">
        <v>100457.2102744382</v>
      </c>
      <c r="K13" t="n">
        <v>100457.2102744382</v>
      </c>
      <c r="L13" t="n">
        <v>525.953980494441</v>
      </c>
      <c r="M13" t="n">
        <v>191</v>
      </c>
      <c r="N13" t="n">
        <v>71</v>
      </c>
      <c r="P13" t="n">
        <v>83</v>
      </c>
      <c r="Q13" t="n">
        <v>43</v>
      </c>
      <c r="T13" t="n">
        <v>66</v>
      </c>
      <c r="U13" t="n">
        <v>12</v>
      </c>
      <c r="V13" t="n">
        <v>19</v>
      </c>
      <c r="W13" t="n">
        <v>85479.2</v>
      </c>
      <c r="X13" t="n">
        <v>118495.2</v>
      </c>
      <c r="Y13" t="n">
        <v>1</v>
      </c>
      <c r="Z13" t="n">
        <v>6236.58947368421</v>
      </c>
      <c r="AA13" t="n">
        <v>0.3717277486910995</v>
      </c>
      <c r="AB13" t="n">
        <v>1.169014084507042</v>
      </c>
      <c r="AC13" t="n">
        <v>0.4345549738219895</v>
      </c>
      <c r="AD13" t="n">
        <v>0.7951807228915663</v>
      </c>
      <c r="AF13" t="n">
        <v>1</v>
      </c>
      <c r="AG13" t="n">
        <v>0.2790697674418605</v>
      </c>
      <c r="AH13" t="n">
        <v>0.06282722513089005</v>
      </c>
      <c r="AI13" t="n">
        <v>0.09947643979057591</v>
      </c>
      <c r="AJ13" t="n">
        <v>150390.8469104597</v>
      </c>
      <c r="AK13" t="n">
        <v>0.7879149724487563</v>
      </c>
      <c r="AL13" t="n">
        <v>66</v>
      </c>
      <c r="AM13" t="n">
        <v>66</v>
      </c>
      <c r="AN13" t="n">
        <v>69</v>
      </c>
      <c r="AO13" t="n">
        <v>20272.40119814296</v>
      </c>
      <c r="AP13" t="n">
        <v>9389.295139918271</v>
      </c>
      <c r="AQ13" t="n">
        <v>12422.16211267892</v>
      </c>
      <c r="AR13" t="n">
        <v>1910</v>
      </c>
      <c r="AS13" t="n">
        <v>5939.77818528135</v>
      </c>
    </row>
    <row r="14">
      <c r="A14" s="40" t="inlineStr">
        <is>
          <t>钟嘉欣-汇总</t>
        </is>
      </c>
      <c r="B14" s="57" t="n"/>
      <c r="C14" s="57" t="n"/>
      <c r="D14" s="57" t="n"/>
      <c r="E14" s="57" t="n"/>
      <c r="F14" s="57" t="n"/>
      <c r="G14" s="57" t="n"/>
      <c r="H14" s="107">
        <f>SUM(H3:H12)</f>
        <v/>
      </c>
      <c r="I14" s="107">
        <f>SUM(I3:I12)</f>
        <v/>
      </c>
      <c r="J14" s="107">
        <f>SUM(J3:J12)</f>
        <v/>
      </c>
      <c r="K14" s="107">
        <f>SUM(K3:K12)</f>
        <v/>
      </c>
      <c r="L14" s="107">
        <f>K13/M13</f>
        <v/>
      </c>
      <c r="M14" s="57">
        <f>SUM(M3:M12)</f>
        <v/>
      </c>
      <c r="N14" s="57">
        <f>SUM(N3:N12)</f>
        <v/>
      </c>
      <c r="O14" s="57">
        <f>SUM(O3:O12)</f>
        <v/>
      </c>
      <c r="P14" s="57">
        <f>SUM(P3:P12)</f>
        <v/>
      </c>
      <c r="Q14" s="57">
        <f>SUM(Q3:Q12)</f>
        <v/>
      </c>
      <c r="R14" s="57" t="n"/>
      <c r="S14" s="57" t="n"/>
      <c r="T14" s="57">
        <f>SUM(T3:T12)</f>
        <v/>
      </c>
      <c r="U14" s="57">
        <f>SUM(U3:U12)</f>
        <v/>
      </c>
      <c r="V14" s="57">
        <f>SUM(V3:V12)</f>
        <v/>
      </c>
      <c r="W14" s="107">
        <f>SUM(W3:W12)</f>
        <v/>
      </c>
      <c r="X14" s="107">
        <f>SUM(X3:X12)</f>
        <v/>
      </c>
      <c r="Y14" s="57" t="n"/>
      <c r="Z14" s="107">
        <f>X13/V13</f>
        <v/>
      </c>
      <c r="AA14" s="61">
        <f>N13/M13</f>
        <v/>
      </c>
      <c r="AB14" s="61">
        <f>P13/N13</f>
        <v/>
      </c>
      <c r="AC14" s="61">
        <f>P13/M13</f>
        <v/>
      </c>
      <c r="AD14" s="61">
        <f>Q13/P13</f>
        <v/>
      </c>
      <c r="AE14" s="61" t="n"/>
      <c r="AF14" s="61">
        <f>AVERAGE(AF3:AF12)</f>
        <v/>
      </c>
      <c r="AG14" s="61">
        <f>U13/Q13</f>
        <v/>
      </c>
      <c r="AH14" s="61">
        <f>U13/M13</f>
        <v/>
      </c>
      <c r="AI14" s="61">
        <f>V13/M13</f>
        <v/>
      </c>
      <c r="AJ14" s="107">
        <f>SUM(AJ3:AJ12)</f>
        <v/>
      </c>
      <c r="AK14" s="109">
        <f>X13/AJ13</f>
        <v/>
      </c>
      <c r="AL14" s="57">
        <f>SUM(AL3:AL12)</f>
        <v/>
      </c>
      <c r="AM14" s="57">
        <f>SUM(AM3:AM12)</f>
        <v/>
      </c>
      <c r="AN14" s="57">
        <f>SUM(AN3:AN12)</f>
        <v/>
      </c>
      <c r="AO14" s="107">
        <f>SUM(AO3:AO12)</f>
        <v/>
      </c>
      <c r="AP14" s="107">
        <f>SUM(AP3:AP12)</f>
        <v/>
      </c>
      <c r="AQ14" s="107">
        <f>SUM(AQ3:AQ12)</f>
        <v/>
      </c>
      <c r="AR14" s="107">
        <f>SUM(AR3:AR12)</f>
        <v/>
      </c>
      <c r="AS14" s="107">
        <f>SUM(AS3:AS12)</f>
        <v/>
      </c>
      <c r="AT14" s="57">
        <f>SUM(AT3:AT12)</f>
        <v/>
      </c>
      <c r="AU14" s="57">
        <f>SUM(AU3:AU12)</f>
        <v/>
      </c>
      <c r="AV14" s="57" t="n"/>
      <c r="AW14" s="57">
        <f>SUM(AW3:AW12)</f>
        <v/>
      </c>
      <c r="AX14" s="57" t="n"/>
      <c r="AY14" s="57" t="n"/>
      <c r="AZ14" s="57">
        <f>SUM(AZ3:AZ12)</f>
        <v/>
      </c>
      <c r="BA14" s="57">
        <f>SUM(BA3:BA12)</f>
        <v/>
      </c>
      <c r="BB14" s="57">
        <f>SUM(BB3:BB12)</f>
        <v/>
      </c>
      <c r="BC14" s="57">
        <f>SUM(BC3:BC12)</f>
        <v/>
      </c>
      <c r="BD14" s="107">
        <f>SUM(BD3:BD12)</f>
        <v/>
      </c>
      <c r="BE14" s="107">
        <f>SUM(BE3:BE12)</f>
        <v/>
      </c>
      <c r="BF14" s="107" t="n"/>
      <c r="BG14" s="107">
        <f>BE13/BC13</f>
        <v/>
      </c>
      <c r="BH14" s="62">
        <f>AU13/AT13</f>
        <v/>
      </c>
      <c r="BI14" s="62">
        <f>AW13/AU13</f>
        <v/>
      </c>
      <c r="BJ14" s="62">
        <f>AW13/AT13</f>
        <v/>
      </c>
      <c r="BK14" s="62">
        <f>AZ13/AW13</f>
        <v/>
      </c>
      <c r="BL14" s="62" t="n"/>
      <c r="BM14" s="62">
        <f>AVERAGE(BM3:BM12)</f>
        <v/>
      </c>
      <c r="BN14" s="62">
        <f>BB13/AZ13</f>
        <v/>
      </c>
      <c r="BO14" s="62">
        <f>BB13/AT13</f>
        <v/>
      </c>
      <c r="BP14" s="62">
        <f>BC13/AT13</f>
        <v/>
      </c>
      <c r="BQ14" s="57">
        <f>SUM(BQ3:BQ12)</f>
        <v/>
      </c>
      <c r="BR14" s="57">
        <f>SUM(BR3:BR12)</f>
        <v/>
      </c>
      <c r="BS14" s="57">
        <f>SUM(BS3:BS12)</f>
        <v/>
      </c>
      <c r="BT14" s="107">
        <f>SUM(BT3:BT12)</f>
        <v/>
      </c>
      <c r="BU14" s="107">
        <f>SUM(BU3:BU12)</f>
        <v/>
      </c>
      <c r="BV14" s="107">
        <f>SUM(BV3:BV12)</f>
        <v/>
      </c>
      <c r="BW14" s="57">
        <f>SUM(BW3:BW12)</f>
        <v/>
      </c>
      <c r="BX14" s="57">
        <f>SUM(BX3:BX12)</f>
        <v/>
      </c>
      <c r="BY14" s="107">
        <f>SUM(BY3:BY12)</f>
        <v/>
      </c>
      <c r="BZ14" s="107">
        <f>SUM(BZ3:BZ12)</f>
        <v/>
      </c>
      <c r="CA14" s="107" t="n"/>
      <c r="CB14" s="107">
        <f>SUM(CB3:CB12)</f>
        <v/>
      </c>
      <c r="CC14" s="107">
        <f>SUM(CC3:CC12)</f>
        <v/>
      </c>
      <c r="CD14" s="107">
        <f>SUM(CD3:CD12)</f>
        <v/>
      </c>
      <c r="CE14" s="107">
        <f>SUM(CE3:CE12)</f>
        <v/>
      </c>
      <c r="CF14" s="107">
        <f>SUM(CF3:CF12)</f>
        <v/>
      </c>
      <c r="CG14" s="107">
        <f>SUM(CG3:CG12)</f>
        <v/>
      </c>
      <c r="CH14" s="109">
        <f>BY13/CG13</f>
        <v/>
      </c>
      <c r="CI14" s="107">
        <f>SUM(CI3:CI12)</f>
        <v/>
      </c>
      <c r="CJ14" s="107">
        <f>SUM(CJ3:CJ12)</f>
        <v/>
      </c>
      <c r="CK14" s="109">
        <f>BZ13/CJ13</f>
        <v/>
      </c>
      <c r="CL14" s="107">
        <f>SUM(CL3:CL12)</f>
        <v/>
      </c>
      <c r="CM14" s="109">
        <f>BZ13/CL13</f>
        <v/>
      </c>
    </row>
    <row r="15"/>
    <row r="16"/>
    <row r="17"/>
    <row r="18"/>
    <row r="19"/>
    <row r="20"/>
    <row r="21"/>
    <row r="22"/>
    <row r="23"/>
    <row r="24"/>
    <row r="25">
      <c r="J25" s="83" t="n"/>
    </row>
    <row r="26">
      <c r="J26" s="83" t="n"/>
    </row>
    <row r="27">
      <c r="J27" s="83" t="n"/>
    </row>
  </sheetData>
  <mergeCells count="3">
    <mergeCell ref="K1:AK1"/>
    <mergeCell ref="AT1:BP1"/>
    <mergeCell ref="BY1:C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Q6"/>
  <sheetViews>
    <sheetView zoomScale="70" zoomScaleNormal="70" workbookViewId="0">
      <selection activeCell="K8" sqref="K8"/>
    </sheetView>
  </sheetViews>
  <sheetFormatPr baseColWidth="8" defaultColWidth="8.891666666666669" defaultRowHeight="14.25" outlineLevelRow="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应到课数</t>
        </is>
      </c>
      <c r="P2" s="91" t="inlineStr">
        <is>
          <t>滚动应到课数</t>
        </is>
      </c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inlineStr">
        <is>
          <t>应到课率</t>
        </is>
      </c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/>
      <c r="B3" s="67" t="n"/>
      <c r="C3" s="67" t="n"/>
      <c r="D3" s="67" t="n"/>
      <c r="E3" s="67" t="inlineStr">
        <is>
          <t>图片</t>
        </is>
      </c>
      <c r="F3" s="67" t="n"/>
      <c r="G3" s="67" t="n"/>
      <c r="H3" s="107" t="n">
        <v>46805.11952686076</v>
      </c>
      <c r="I3" s="118" t="n">
        <v>46805.11952686076</v>
      </c>
      <c r="J3" s="107" t="n">
        <v>632.5016152278481</v>
      </c>
      <c r="K3" s="57" t="n">
        <v>74</v>
      </c>
      <c r="L3" s="57" t="n">
        <v>40</v>
      </c>
      <c r="M3" s="57" t="n">
        <v>127</v>
      </c>
      <c r="N3" s="57" t="n">
        <v>45</v>
      </c>
      <c r="O3" s="57" t="n">
        <v>38</v>
      </c>
      <c r="P3" s="57" t="n">
        <v>36</v>
      </c>
      <c r="Q3" s="57" t="n">
        <v>22</v>
      </c>
      <c r="R3" s="57" t="n">
        <v>36</v>
      </c>
      <c r="S3" s="57" t="n">
        <v>5</v>
      </c>
      <c r="T3" s="57" t="n">
        <v>11</v>
      </c>
      <c r="U3" s="107" t="n">
        <v>32771.2</v>
      </c>
      <c r="V3" s="107" t="n">
        <v>62099.2</v>
      </c>
      <c r="W3" s="108" t="n">
        <v>1</v>
      </c>
      <c r="X3" s="107" t="n">
        <v>5645.381818181818</v>
      </c>
      <c r="Y3" s="108" t="n">
        <v>0.5405405405405406</v>
      </c>
      <c r="Z3" s="108" t="n">
        <v>1.125</v>
      </c>
      <c r="AA3" s="108" t="n">
        <v>0.6081081081081081</v>
      </c>
      <c r="AB3" s="108" t="n">
        <v>0.4888888888888889</v>
      </c>
      <c r="AC3" s="108" t="n">
        <v>0.5789473684210527</v>
      </c>
      <c r="AD3" s="108" t="n">
        <v>1</v>
      </c>
      <c r="AE3" s="108" t="n">
        <v>0.2272727272727273</v>
      </c>
      <c r="AF3" s="108" t="n">
        <v>0.06756756756756757</v>
      </c>
      <c r="AG3" s="108" t="n">
        <v>0.1486486486486487</v>
      </c>
      <c r="AH3" s="107" t="n">
        <v>70597.45324623323</v>
      </c>
      <c r="AI3" s="109" t="n">
        <v>0.8796237986575435</v>
      </c>
      <c r="AJ3" s="57" t="n">
        <v>36</v>
      </c>
      <c r="AK3" s="57" t="n">
        <v>36</v>
      </c>
      <c r="AL3" s="57" t="n">
        <v>38</v>
      </c>
      <c r="AM3" s="107" t="n">
        <v>7854.228736453294</v>
      </c>
      <c r="AN3" s="107" t="n">
        <v>5416.901042260541</v>
      </c>
      <c r="AO3" s="107" t="n">
        <v>6510.021751663113</v>
      </c>
      <c r="AP3" s="107" t="n">
        <v>740</v>
      </c>
      <c r="AQ3" s="107" t="n">
        <v>3271.182188995525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>
        <v>0</v>
      </c>
      <c r="AW3" s="57" t="n">
        <v>0</v>
      </c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203508</v>
      </c>
      <c r="BX3" s="107" t="n">
        <v>203508</v>
      </c>
      <c r="BY3" s="108" t="n">
        <v>1</v>
      </c>
      <c r="BZ3" s="107" t="n">
        <v>15938.10498291918</v>
      </c>
      <c r="CA3" s="107" t="n">
        <v>11056.52366434027</v>
      </c>
      <c r="CB3" s="107" t="n">
        <v>16124.404163265</v>
      </c>
      <c r="CC3" s="107" t="n">
        <v>138019.647161019</v>
      </c>
      <c r="CD3" s="107" t="n">
        <v>46805.11952686076</v>
      </c>
      <c r="CE3" s="107" t="n">
        <v>65715.87192765433</v>
      </c>
      <c r="CF3" s="109" t="n">
        <v>0.4986801367571801</v>
      </c>
      <c r="CG3" s="118" t="n">
        <v>0</v>
      </c>
      <c r="CH3" s="107" t="n">
        <v>208434.347604439</v>
      </c>
      <c r="CI3" s="109" t="n">
        <v>0.976364991369906</v>
      </c>
      <c r="CJ3" s="107" t="n">
        <v>68293.22450977995</v>
      </c>
      <c r="CK3" s="109" t="n">
        <v>0.9093025032242703</v>
      </c>
    </row>
    <row r="4" ht="16.5" customFormat="1" customHeight="1" s="39">
      <c r="A4" s="63" t="n"/>
      <c r="B4" s="67" t="n"/>
      <c r="C4" s="67" t="n"/>
      <c r="D4" s="67" t="n"/>
      <c r="E4" s="67" t="inlineStr">
        <is>
          <t>视频1</t>
        </is>
      </c>
      <c r="F4" s="67" t="n"/>
      <c r="G4" s="67" t="n"/>
      <c r="H4" s="107" t="n">
        <v>32171.26074757746</v>
      </c>
      <c r="I4" s="118" t="n">
        <v>32171.26074757746</v>
      </c>
      <c r="J4" s="107" t="n">
        <v>518.8913023802817</v>
      </c>
      <c r="K4" s="57" t="n">
        <v>62</v>
      </c>
      <c r="L4" s="57" t="n">
        <v>14</v>
      </c>
      <c r="M4" s="57" t="n">
        <v>40</v>
      </c>
      <c r="N4" s="57" t="n">
        <v>18</v>
      </c>
      <c r="O4" s="57" t="n">
        <v>12</v>
      </c>
      <c r="P4" s="57" t="n">
        <v>18</v>
      </c>
      <c r="Q4" s="57" t="n">
        <v>9</v>
      </c>
      <c r="R4" s="57" t="n">
        <v>18</v>
      </c>
      <c r="S4" s="57" t="n">
        <v>4</v>
      </c>
      <c r="T4" s="57" t="n">
        <v>5</v>
      </c>
      <c r="U4" s="107" t="n">
        <v>24152</v>
      </c>
      <c r="V4" s="107" t="n">
        <v>27840</v>
      </c>
      <c r="W4" s="108" t="n">
        <v>1</v>
      </c>
      <c r="X4" s="107" t="n">
        <v>5568</v>
      </c>
      <c r="Y4" s="108" t="n">
        <v>0.2258064516129032</v>
      </c>
      <c r="Z4" s="108" t="n">
        <v>1.285714285714286</v>
      </c>
      <c r="AA4" s="108" t="n">
        <v>0.2903225806451613</v>
      </c>
      <c r="AB4" s="108" t="n">
        <v>0.5</v>
      </c>
      <c r="AC4" s="108" t="n">
        <v>0.75</v>
      </c>
      <c r="AD4" s="108" t="n">
        <v>1</v>
      </c>
      <c r="AE4" s="108" t="n">
        <v>0.4444444444444444</v>
      </c>
      <c r="AF4" s="108" t="n">
        <v>0.06451612903225806</v>
      </c>
      <c r="AG4" s="108" t="n">
        <v>0.08064516129032258</v>
      </c>
      <c r="AH4" s="107" t="n">
        <v>45851.97122701303</v>
      </c>
      <c r="AI4" s="109" t="n">
        <v>0.6071712786820922</v>
      </c>
      <c r="AJ4" s="57" t="n">
        <v>18</v>
      </c>
      <c r="AK4" s="57" t="n">
        <v>18</v>
      </c>
      <c r="AL4" s="57" t="n">
        <v>19</v>
      </c>
      <c r="AM4" s="107" t="n">
        <v>6580.570022433841</v>
      </c>
      <c r="AN4" s="107" t="n">
        <v>1926.009259470414</v>
      </c>
      <c r="AO4" s="107" t="n">
        <v>2918.540103033551</v>
      </c>
      <c r="AP4" s="107" t="n">
        <v>620</v>
      </c>
      <c r="AQ4" s="107" t="n">
        <v>1635.591094497763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57" t="n">
        <v>0</v>
      </c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53092</v>
      </c>
      <c r="BX4" s="107" t="n">
        <v>53092</v>
      </c>
      <c r="BY4" s="108" t="n">
        <v>1</v>
      </c>
      <c r="BZ4" s="107" t="n">
        <v>7100.140457001728</v>
      </c>
      <c r="CA4" s="107" t="n">
        <v>5611.929183854178</v>
      </c>
      <c r="CB4" s="107" t="n">
        <v>9608.37782331543</v>
      </c>
      <c r="CC4" s="107" t="n">
        <v>33548.3859621748</v>
      </c>
      <c r="CD4" s="107" t="n">
        <v>32171.26074757746</v>
      </c>
      <c r="CE4" s="107" t="n">
        <v>44363.75995386548</v>
      </c>
      <c r="CF4" s="109" t="n">
        <v>0.5444083194282003</v>
      </c>
      <c r="CG4" s="118" t="n">
        <v>0</v>
      </c>
      <c r="CH4" s="107" t="n">
        <v>59238.1913525608</v>
      </c>
      <c r="CI4" s="109" t="n">
        <v>0.896246134255159</v>
      </c>
      <c r="CJ4" s="107" t="n">
        <v>43921.40120457919</v>
      </c>
      <c r="CK4" s="109" t="n">
        <v>0.633859559041059</v>
      </c>
      <c r="CL4" s="40" t="n"/>
      <c r="CM4" s="40" t="n"/>
      <c r="CN4" s="40" t="n"/>
      <c r="CO4" s="40" t="n"/>
      <c r="CP4" s="40" t="n"/>
      <c r="CQ4" s="40" t="n"/>
    </row>
    <row r="5" ht="16.5" customFormat="1" customHeight="1" s="39">
      <c r="A5" s="63" t="n"/>
      <c r="B5" s="67" t="n"/>
      <c r="C5" s="67" t="n"/>
      <c r="D5" s="67" t="n"/>
      <c r="E5" s="67" t="inlineStr">
        <is>
          <t>视频2</t>
        </is>
      </c>
      <c r="F5" s="67" t="n"/>
      <c r="G5" s="67" t="n"/>
      <c r="H5" s="107" t="n">
        <v>21480.83</v>
      </c>
      <c r="I5" s="118" t="n">
        <v>21480.83</v>
      </c>
      <c r="J5" s="107" t="n">
        <v>390.5605454545455</v>
      </c>
      <c r="K5" s="57" t="n">
        <v>55</v>
      </c>
      <c r="L5" s="57" t="n">
        <v>17</v>
      </c>
      <c r="M5" s="57" t="n"/>
      <c r="N5" s="57" t="n">
        <v>20</v>
      </c>
      <c r="O5" s="57" t="n">
        <v>15</v>
      </c>
      <c r="P5" s="57" t="n">
        <v>12</v>
      </c>
      <c r="Q5" s="57" t="n">
        <v>12</v>
      </c>
      <c r="R5" s="57" t="n">
        <v>12</v>
      </c>
      <c r="S5" s="57" t="n">
        <v>3</v>
      </c>
      <c r="T5" s="57" t="n">
        <v>3</v>
      </c>
      <c r="U5" s="107" t="n">
        <v>28556</v>
      </c>
      <c r="V5" s="107" t="n">
        <v>28556</v>
      </c>
      <c r="W5" s="108" t="n">
        <v>1</v>
      </c>
      <c r="X5" s="107" t="n">
        <v>9518.666666666666</v>
      </c>
      <c r="Y5" s="108" t="n">
        <v>0.3090909090909091</v>
      </c>
      <c r="Z5" s="108" t="n">
        <v>1.176470588235294</v>
      </c>
      <c r="AA5" s="108" t="n">
        <v>0.3636363636363636</v>
      </c>
      <c r="AB5" s="108" t="n">
        <v>0.6</v>
      </c>
      <c r="AC5" s="108" t="n">
        <v>0.8</v>
      </c>
      <c r="AD5" s="108" t="n">
        <v>1</v>
      </c>
      <c r="AE5" s="108" t="n">
        <v>0.25</v>
      </c>
      <c r="AF5" s="108" t="n">
        <v>0.05454545454545454</v>
      </c>
      <c r="AG5" s="108" t="n">
        <v>0.05454545454545454</v>
      </c>
      <c r="AH5" s="107" t="n">
        <v>33941.42243721346</v>
      </c>
      <c r="AI5" s="109" t="n">
        <v>0.8413318579333059</v>
      </c>
      <c r="AJ5" s="57" t="n">
        <v>12</v>
      </c>
      <c r="AK5" s="57" t="n">
        <v>12</v>
      </c>
      <c r="AL5" s="57" t="n">
        <v>12</v>
      </c>
      <c r="AM5" s="107" t="n">
        <v>5837.602439255827</v>
      </c>
      <c r="AN5" s="107" t="n">
        <v>2046.384838187315</v>
      </c>
      <c r="AO5" s="107" t="n">
        <v>2993.600257982258</v>
      </c>
      <c r="AP5" s="107" t="n">
        <v>550</v>
      </c>
      <c r="AQ5" s="107" t="n">
        <v>1033.004901788061</v>
      </c>
      <c r="AR5" s="57" t="n"/>
      <c r="AS5" s="57" t="n"/>
      <c r="AT5" s="57" t="n">
        <v>0</v>
      </c>
      <c r="AU5" s="57" t="n"/>
      <c r="AV5" s="57" t="n"/>
      <c r="AW5" s="57" t="n"/>
      <c r="AX5" s="57" t="n"/>
      <c r="AY5" s="57" t="n"/>
      <c r="AZ5" s="57" t="n">
        <v>0</v>
      </c>
      <c r="BA5" s="57" t="n"/>
      <c r="BB5" s="107" t="n"/>
      <c r="BC5" s="107" t="n"/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/>
      <c r="BP5" s="57" t="n"/>
      <c r="BQ5" s="57" t="n"/>
      <c r="BR5" s="107" t="n"/>
      <c r="BS5" s="107" t="n"/>
      <c r="BT5" s="107" t="n"/>
      <c r="BU5" s="107" t="n"/>
      <c r="BV5" s="107" t="n"/>
      <c r="BW5" s="107" t="n"/>
      <c r="BX5" s="107" t="n"/>
      <c r="BY5" s="108" t="n"/>
      <c r="BZ5" s="107" t="n">
        <v>6622.989997957635</v>
      </c>
      <c r="CA5" s="107" t="n">
        <v>6622.989997957635</v>
      </c>
      <c r="CB5" s="107" t="n"/>
      <c r="CC5" s="107" t="n"/>
      <c r="CD5" s="107" t="n">
        <v>21480.83</v>
      </c>
      <c r="CE5" s="107" t="n">
        <v>33941.42243721346</v>
      </c>
      <c r="CF5" s="109" t="n">
        <v>0.8413318579333059</v>
      </c>
      <c r="CG5" s="118" t="n">
        <v>0</v>
      </c>
      <c r="CH5" s="107" t="n"/>
      <c r="CI5" s="109" t="n"/>
      <c r="CJ5" s="107" t="n">
        <v>32228.81999795764</v>
      </c>
      <c r="CK5" s="109" t="n">
        <v>0.8860392655334453</v>
      </c>
    </row>
    <row r="6" ht="30" customFormat="1" customHeight="1" s="40">
      <c r="A6" s="40" t="inlineStr">
        <is>
          <t>钟嘉欣-汇总</t>
        </is>
      </c>
      <c r="B6" s="57" t="n"/>
      <c r="C6" s="57" t="n"/>
      <c r="D6" s="57" t="n"/>
      <c r="E6" s="57" t="inlineStr">
        <is>
          <t>汇总</t>
        </is>
      </c>
      <c r="F6" s="57" t="n"/>
      <c r="G6" s="57" t="n"/>
      <c r="H6" s="107">
        <f>SUM(H3:H5)</f>
        <v/>
      </c>
      <c r="I6" s="107">
        <f>SUM(I3:I5)</f>
        <v/>
      </c>
      <c r="J6" s="107">
        <f>I6/K6</f>
        <v/>
      </c>
      <c r="K6" s="57">
        <f>SUM(K3:K5)</f>
        <v/>
      </c>
      <c r="L6" s="57">
        <f>SUM(L3:L5)</f>
        <v/>
      </c>
      <c r="M6" s="57">
        <f>SUM(M3:M5)</f>
        <v/>
      </c>
      <c r="N6" s="57">
        <f>SUM(N3:N5)</f>
        <v/>
      </c>
      <c r="O6" s="57">
        <f>SUM(O3:O5)</f>
        <v/>
      </c>
      <c r="P6" s="57">
        <f>SUM(P3:P5)</f>
        <v/>
      </c>
      <c r="Q6" s="57">
        <f>SUM(Q3:Q5)</f>
        <v/>
      </c>
      <c r="R6" s="57">
        <f>SUM(R3:R5)</f>
        <v/>
      </c>
      <c r="S6" s="57">
        <f>SUM(S3:S5)</f>
        <v/>
      </c>
      <c r="T6" s="57">
        <f>SUM(T3:T5)</f>
        <v/>
      </c>
      <c r="U6" s="107">
        <f>SUM(U3:U5)</f>
        <v/>
      </c>
      <c r="V6" s="107">
        <f>SUM(V3:V5)</f>
        <v/>
      </c>
      <c r="W6" s="57" t="n"/>
      <c r="X6" s="107">
        <f>V6/T6</f>
        <v/>
      </c>
      <c r="Y6" s="61">
        <f>L6/K6</f>
        <v/>
      </c>
      <c r="Z6" s="61">
        <f>N6/L6</f>
        <v/>
      </c>
      <c r="AA6" s="61">
        <f>N6/K6</f>
        <v/>
      </c>
      <c r="AB6" s="61">
        <f>Q6/N6</f>
        <v/>
      </c>
      <c r="AC6" s="61">
        <f>Q6/O6</f>
        <v/>
      </c>
      <c r="AD6" s="61">
        <f>R6/P6</f>
        <v/>
      </c>
      <c r="AE6" s="61">
        <f>S6/Q6</f>
        <v/>
      </c>
      <c r="AF6" s="61">
        <f>S6/K6</f>
        <v/>
      </c>
      <c r="AG6" s="61">
        <f>T6/K6</f>
        <v/>
      </c>
      <c r="AH6" s="107">
        <f>SUM(AH3:AH5)</f>
        <v/>
      </c>
      <c r="AI6" s="109">
        <f>V6/AH6</f>
        <v/>
      </c>
      <c r="AJ6" s="57">
        <f>SUM(AJ3:AJ5)</f>
        <v/>
      </c>
      <c r="AK6" s="57">
        <f>SUM(AK3:AK5)</f>
        <v/>
      </c>
      <c r="AL6" s="57">
        <f>SUM(AL3:AL5)</f>
        <v/>
      </c>
      <c r="AM6" s="107">
        <f>SUM(AM3:AM5)</f>
        <v/>
      </c>
      <c r="AN6" s="107">
        <f>SUM(AN3:AN5)</f>
        <v/>
      </c>
      <c r="AO6" s="107">
        <f>SUM(AO3:AO5)</f>
        <v/>
      </c>
      <c r="AP6" s="107">
        <f>SUM(AP3:AP5)</f>
        <v/>
      </c>
      <c r="AQ6" s="107">
        <f>SUM(AQ3:AQ5)</f>
        <v/>
      </c>
      <c r="AR6" s="57">
        <f>SUM(AR3:AR5)</f>
        <v/>
      </c>
      <c r="AS6" s="57">
        <f>SUM(AS3:AS5)</f>
        <v/>
      </c>
      <c r="AT6" s="57" t="n"/>
      <c r="AU6" s="57">
        <f>SUM(AU3:AU5)</f>
        <v/>
      </c>
      <c r="AV6" s="57" t="n"/>
      <c r="AW6" s="57" t="n"/>
      <c r="AX6" s="57">
        <f>SUM(AX3:AX5)</f>
        <v/>
      </c>
      <c r="AY6" s="57">
        <f>SUM(AY3:AY5)</f>
        <v/>
      </c>
      <c r="AZ6" s="57">
        <f>SUM(AZ3:AZ5)</f>
        <v/>
      </c>
      <c r="BA6" s="57">
        <f>SUM(BA3:BA5)</f>
        <v/>
      </c>
      <c r="BB6" s="107">
        <f>SUM(BB3:BB5)</f>
        <v/>
      </c>
      <c r="BC6" s="107">
        <f>SUM(BC3:BC5)</f>
        <v/>
      </c>
      <c r="BD6" s="107" t="n"/>
      <c r="BE6" s="107">
        <f>BC6/BA6</f>
        <v/>
      </c>
      <c r="BF6" s="62">
        <f>AS6/AR6</f>
        <v/>
      </c>
      <c r="BG6" s="62">
        <f>AU6/AS6</f>
        <v/>
      </c>
      <c r="BH6" s="62">
        <f>AU6/AR6</f>
        <v/>
      </c>
      <c r="BI6" s="62">
        <f>AX6/AU6</f>
        <v/>
      </c>
      <c r="BJ6" s="62" t="n"/>
      <c r="BK6" s="62">
        <f>AVERAGE(BK3:BK5)</f>
        <v/>
      </c>
      <c r="BL6" s="62">
        <f>AZ6/AX6</f>
        <v/>
      </c>
      <c r="BM6" s="62">
        <f>AZ6/AR6</f>
        <v/>
      </c>
      <c r="BN6" s="62">
        <f>BA6/AR6</f>
        <v/>
      </c>
      <c r="BO6" s="57">
        <f>SUM(BO3:BO5)</f>
        <v/>
      </c>
      <c r="BP6" s="57">
        <f>SUM(BP3:BP5)</f>
        <v/>
      </c>
      <c r="BQ6" s="57">
        <f>SUM(BQ3:BQ5)</f>
        <v/>
      </c>
      <c r="BR6" s="107">
        <f>SUM(BR3:BR5)</f>
        <v/>
      </c>
      <c r="BS6" s="107">
        <f>SUM(BS3:BS5)</f>
        <v/>
      </c>
      <c r="BT6" s="107">
        <f>SUM(BT3:BT5)</f>
        <v/>
      </c>
      <c r="BU6" s="57">
        <f>SUM(BU3:BU5)</f>
        <v/>
      </c>
      <c r="BV6" s="57">
        <f>SUM(BV3:BV5)</f>
        <v/>
      </c>
      <c r="BW6" s="107">
        <f>SUM(BW3:BW5)</f>
        <v/>
      </c>
      <c r="BX6" s="107">
        <f>SUM(BX3:BX5)</f>
        <v/>
      </c>
      <c r="BY6" s="107" t="n"/>
      <c r="BZ6" s="107">
        <f>SUM(BZ3:BZ5)</f>
        <v/>
      </c>
      <c r="CA6" s="107">
        <f>SUM(CA3:CA5)</f>
        <v/>
      </c>
      <c r="CB6" s="107">
        <f>SUM(CB3:CB5)</f>
        <v/>
      </c>
      <c r="CC6" s="107">
        <f>SUM(CC3:CC5)</f>
        <v/>
      </c>
      <c r="CD6" s="107">
        <f>SUM(CD3:CD5)</f>
        <v/>
      </c>
      <c r="CE6" s="107">
        <f>SUM(CE3:CE5)</f>
        <v/>
      </c>
      <c r="CF6" s="109">
        <f>BW6/CE6</f>
        <v/>
      </c>
      <c r="CG6" s="107">
        <f>SUM(CG3:CG5)</f>
        <v/>
      </c>
      <c r="CH6" s="107">
        <f>SUM(CH3:CH5)</f>
        <v/>
      </c>
      <c r="CI6" s="109">
        <f>BX6/CH6</f>
        <v/>
      </c>
      <c r="CJ6" s="107">
        <f>SUM(CJ3:CJ5)</f>
        <v/>
      </c>
      <c r="CK6" s="109">
        <f>BX6/CJ6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L9"/>
  <sheetViews>
    <sheetView zoomScale="70" zoomScaleNormal="70" workbookViewId="0">
      <selection activeCell="K35" sqref="K35"/>
    </sheetView>
  </sheetViews>
  <sheetFormatPr baseColWidth="8" defaultColWidth="8.891666666666669" defaultRowHeight="14.2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45873</v>
      </c>
      <c r="B3" s="67" t="n"/>
      <c r="C3" s="67" t="n"/>
      <c r="D3" s="67" t="n"/>
      <c r="E3" s="67" t="n"/>
      <c r="F3" s="67" t="n"/>
      <c r="G3" s="67" t="n"/>
      <c r="H3" s="67" t="n">
        <v>44422.9465125387</v>
      </c>
      <c r="I3" s="117" t="n">
        <v>43715.6638626833</v>
      </c>
      <c r="J3" s="117" t="n">
        <v>403.844968295807</v>
      </c>
      <c r="K3" s="67" t="n">
        <v>110</v>
      </c>
      <c r="L3" s="67" t="n">
        <v>42</v>
      </c>
      <c r="M3" s="67" t="n">
        <v>42</v>
      </c>
      <c r="N3" s="67" t="n">
        <v>40</v>
      </c>
      <c r="O3" s="67" t="n"/>
      <c r="P3" s="67" t="n"/>
      <c r="Q3" s="67" t="n">
        <v>27</v>
      </c>
      <c r="R3" s="67" t="n">
        <v>27</v>
      </c>
      <c r="S3" s="67" t="n">
        <v>4</v>
      </c>
      <c r="T3" s="67" t="n">
        <v>4</v>
      </c>
      <c r="U3" s="117" t="n">
        <v>19352</v>
      </c>
      <c r="V3" s="117" t="n">
        <v>19352</v>
      </c>
      <c r="W3" s="121" t="n">
        <v>1</v>
      </c>
      <c r="X3" s="117" t="n">
        <v>4838</v>
      </c>
      <c r="Y3" s="121" t="n">
        <v>0.381818181818182</v>
      </c>
      <c r="Z3" s="121" t="n">
        <v>0.952380952380952</v>
      </c>
      <c r="AA3" s="121" t="n">
        <v>0.363636363636364</v>
      </c>
      <c r="AB3" s="121" t="n">
        <v>0.675</v>
      </c>
      <c r="AC3" s="121" t="n"/>
      <c r="AD3" s="121" t="n">
        <v>1</v>
      </c>
      <c r="AE3" s="121" t="n">
        <v>0.148148148148148</v>
      </c>
      <c r="AF3" s="121" t="n">
        <v>0.0363636363636364</v>
      </c>
      <c r="AG3" s="121" t="n">
        <v>0.0363636363636364</v>
      </c>
      <c r="AH3" s="117" t="n">
        <v>65443.605909793</v>
      </c>
      <c r="AI3" s="122" t="n">
        <v>0.295704977300222</v>
      </c>
      <c r="AJ3" s="67" t="n">
        <v>27</v>
      </c>
      <c r="AK3" s="67" t="n">
        <v>27</v>
      </c>
      <c r="AL3" s="67" t="n">
        <v>32</v>
      </c>
      <c r="AM3" s="117" t="n">
        <v>9930.748511314059</v>
      </c>
      <c r="AN3" s="117" t="n">
        <v>5187.77411646121</v>
      </c>
      <c r="AO3" s="117" t="n">
        <v>1981.60778369472</v>
      </c>
      <c r="AP3" s="117" t="n">
        <v>1100</v>
      </c>
      <c r="AQ3" s="67" t="n">
        <v>2820.52898578426</v>
      </c>
      <c r="AR3" s="67" t="n">
        <v>0</v>
      </c>
      <c r="AS3" s="67" t="n">
        <v>0</v>
      </c>
      <c r="AT3" s="67" t="n">
        <v>0</v>
      </c>
      <c r="AU3" s="67" t="n">
        <v>0</v>
      </c>
      <c r="AV3" s="67" t="n"/>
      <c r="AW3" s="67" t="n"/>
      <c r="AX3" s="67" t="n">
        <v>0</v>
      </c>
      <c r="AY3" s="67" t="n">
        <v>0</v>
      </c>
      <c r="AZ3" s="67" t="n">
        <v>0</v>
      </c>
      <c r="BA3" s="117" t="n">
        <v>0</v>
      </c>
      <c r="BB3" s="117" t="n">
        <v>0</v>
      </c>
      <c r="BC3" s="121" t="n">
        <v>0</v>
      </c>
      <c r="BD3" s="117" t="n"/>
      <c r="BE3" s="121" t="n"/>
      <c r="BF3" s="121" t="n"/>
      <c r="BG3" s="121" t="n"/>
      <c r="BH3" s="121" t="n"/>
      <c r="BI3" s="121" t="n"/>
      <c r="BJ3" s="121" t="n"/>
      <c r="BK3" s="121" t="n"/>
      <c r="BL3" s="121" t="n"/>
      <c r="BM3" s="121" t="n"/>
      <c r="BN3" s="67" t="n"/>
      <c r="BO3" s="67" t="n">
        <v>0</v>
      </c>
      <c r="BP3" s="67" t="n">
        <v>0</v>
      </c>
      <c r="BQ3" s="117" t="n">
        <v>0</v>
      </c>
      <c r="BR3" s="117" t="n">
        <v>0</v>
      </c>
      <c r="BS3" s="117" t="n">
        <v>0</v>
      </c>
      <c r="BT3" s="117" t="n">
        <v>0</v>
      </c>
      <c r="BU3" s="117" t="n">
        <v>0</v>
      </c>
      <c r="BV3" s="117" t="n">
        <v>0</v>
      </c>
      <c r="BW3" s="117" t="n">
        <v>19352</v>
      </c>
      <c r="BX3" s="121" t="n">
        <v>19352</v>
      </c>
      <c r="BY3" s="117" t="n">
        <v>1</v>
      </c>
      <c r="BZ3" s="117" t="n">
        <v>11089.9108859402</v>
      </c>
      <c r="CA3" s="117" t="n">
        <v>11089.9108859402</v>
      </c>
      <c r="CB3" s="117" t="n">
        <v>9930.748511314059</v>
      </c>
      <c r="CC3" s="117" t="n">
        <v>44422.9465125387</v>
      </c>
      <c r="CD3" s="117" t="n">
        <v>44422.9465125387</v>
      </c>
      <c r="CE3" s="122" t="n">
        <v>65443.605909793</v>
      </c>
      <c r="CF3" s="122" t="n">
        <v>0.295704977300222</v>
      </c>
      <c r="CG3" s="122" t="n">
        <v>707.282649855485</v>
      </c>
      <c r="CH3" s="122" t="n">
        <v>65443.605909793</v>
      </c>
      <c r="CI3" s="122" t="n">
        <v>0.295704977300222</v>
      </c>
      <c r="CJ3" s="122" t="n">
        <v>63762.8573984789</v>
      </c>
      <c r="CK3" s="39" t="n">
        <v>0.303499573098831</v>
      </c>
    </row>
    <row r="4" ht="16.5" customFormat="1" customHeight="1" s="39">
      <c r="A4" s="63" t="n">
        <v>45904</v>
      </c>
      <c r="B4" s="67" t="n"/>
      <c r="C4" s="67" t="n"/>
      <c r="D4" s="67" t="n"/>
      <c r="E4" s="67" t="n"/>
      <c r="F4" s="67" t="n"/>
      <c r="G4" s="67" t="n"/>
      <c r="H4" s="107" t="n">
        <v>139121.587308414</v>
      </c>
      <c r="I4" s="118">
        <f>H4-CG4</f>
        <v/>
      </c>
      <c r="J4" s="107" t="n">
        <v>547.722784678794</v>
      </c>
      <c r="K4" s="57" t="n">
        <v>254</v>
      </c>
      <c r="L4" s="57" t="n">
        <v>77</v>
      </c>
      <c r="M4" s="57" t="n">
        <v>81</v>
      </c>
      <c r="N4" s="57" t="n">
        <v>76</v>
      </c>
      <c r="O4" s="57" t="n"/>
      <c r="P4" s="57" t="n"/>
      <c r="Q4" s="57" t="n">
        <v>60</v>
      </c>
      <c r="R4" s="57" t="n">
        <v>70</v>
      </c>
      <c r="S4" s="57" t="n">
        <v>19</v>
      </c>
      <c r="T4" s="57" t="n">
        <v>25</v>
      </c>
      <c r="U4" s="107" t="n">
        <v>87372</v>
      </c>
      <c r="V4" s="107" t="n">
        <v>109900</v>
      </c>
      <c r="W4" s="108" t="n">
        <v>1</v>
      </c>
      <c r="X4" s="107" t="n">
        <v>4396</v>
      </c>
      <c r="Y4" s="108" t="n">
        <v>0.303149606299213</v>
      </c>
      <c r="Z4" s="108" t="n">
        <v>0.987012987012987</v>
      </c>
      <c r="AA4" s="108" t="n">
        <v>0.299212598425197</v>
      </c>
      <c r="AB4" s="108" t="n">
        <v>0.789473684210526</v>
      </c>
      <c r="AC4" s="108" t="n"/>
      <c r="AD4" s="108" t="n">
        <v>0.9859154929577461</v>
      </c>
      <c r="AE4" s="108" t="n">
        <v>0.316666666666667</v>
      </c>
      <c r="AF4" s="108" t="n">
        <v>0.0748031496062992</v>
      </c>
      <c r="AG4" s="108" t="n">
        <v>0.09842519685039371</v>
      </c>
      <c r="AH4" s="107" t="n">
        <v>191752.271422915</v>
      </c>
      <c r="AI4" s="109" t="n">
        <v>0.573135322906358</v>
      </c>
      <c r="AJ4" s="57" t="n">
        <v>71</v>
      </c>
      <c r="AK4" s="57" t="n">
        <v>70</v>
      </c>
      <c r="AL4" s="57" t="n">
        <v>80</v>
      </c>
      <c r="AM4" s="107" t="n">
        <v>19245.2846709726</v>
      </c>
      <c r="AN4" s="107" t="n">
        <v>11711.7260159166</v>
      </c>
      <c r="AO4" s="107" t="n">
        <v>12339.3026196838</v>
      </c>
      <c r="AP4" s="107" t="n">
        <v>2540</v>
      </c>
      <c r="AQ4" s="107" t="n">
        <v>6794.37080792834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/>
      <c r="AW4" s="57" t="n"/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87372</v>
      </c>
      <c r="BX4" s="107" t="n">
        <v>109900</v>
      </c>
      <c r="BY4" s="108" t="n">
        <v>1</v>
      </c>
      <c r="BZ4" s="107" t="n">
        <v>33385.3994435287</v>
      </c>
      <c r="CA4" s="107" t="n">
        <v>29088.6390911372</v>
      </c>
      <c r="CB4" s="107" t="n">
        <v>19245.2846709726</v>
      </c>
      <c r="CC4" s="107" t="n">
        <v>139121.587308414</v>
      </c>
      <c r="CD4" s="107" t="n">
        <v>138049.752486012</v>
      </c>
      <c r="CE4" s="107" t="n">
        <v>186383.676248122</v>
      </c>
      <c r="CF4" s="109" t="n">
        <v>0.468774957972642</v>
      </c>
      <c r="CG4" s="118" t="n">
        <v>4465.97842667278</v>
      </c>
      <c r="CH4" s="107" t="n">
        <v>191752.271422915</v>
      </c>
      <c r="CI4" s="109" t="n">
        <v>0.573135322906358</v>
      </c>
      <c r="CJ4" s="107" t="n">
        <v>191556.986751943</v>
      </c>
      <c r="CK4" s="109" t="n">
        <v>0.573719611398541</v>
      </c>
    </row>
    <row r="5" ht="16.5" customFormat="1" customHeight="1" s="39">
      <c r="A5" s="63" t="n">
        <v>45931</v>
      </c>
      <c r="B5" s="67" t="n"/>
      <c r="C5" s="67" t="n"/>
      <c r="D5" s="67" t="n"/>
      <c r="E5" s="67" t="n"/>
      <c r="F5" s="67" t="n"/>
      <c r="G5" s="67" t="n"/>
      <c r="H5" s="107" t="n">
        <v>99219.52227184481</v>
      </c>
      <c r="I5" s="118">
        <f>H5-CG5</f>
        <v/>
      </c>
      <c r="J5" s="107" t="n">
        <v>335.201088756233</v>
      </c>
      <c r="K5" s="57" t="n">
        <v>296</v>
      </c>
      <c r="L5" s="57" t="n">
        <v>25</v>
      </c>
      <c r="M5" s="57" t="n">
        <v>31</v>
      </c>
      <c r="N5" s="57" t="n">
        <v>26</v>
      </c>
      <c r="O5" s="57" t="n"/>
      <c r="P5" s="57" t="n"/>
      <c r="Q5" s="57" t="n">
        <v>18</v>
      </c>
      <c r="R5" s="57" t="n">
        <v>25</v>
      </c>
      <c r="S5" s="57" t="n">
        <v>2</v>
      </c>
      <c r="T5" s="57" t="n">
        <v>4</v>
      </c>
      <c r="U5" s="107" t="n">
        <v>13707</v>
      </c>
      <c r="V5" s="107" t="n">
        <v>23183</v>
      </c>
      <c r="W5" s="108" t="n">
        <v>1</v>
      </c>
      <c r="X5" s="107" t="n">
        <v>5795.75</v>
      </c>
      <c r="Y5" s="108" t="n">
        <v>0.0844594594594595</v>
      </c>
      <c r="Z5" s="108" t="n">
        <v>1.04</v>
      </c>
      <c r="AA5" s="108" t="n">
        <v>0.0878378378378378</v>
      </c>
      <c r="AB5" s="108" t="n">
        <v>0.692307692307692</v>
      </c>
      <c r="AC5" s="108" t="n"/>
      <c r="AD5" s="108" t="n">
        <v>1</v>
      </c>
      <c r="AE5" s="108" t="n">
        <v>0.111111111111111</v>
      </c>
      <c r="AF5" s="108" t="n">
        <v>0.00675675675675676</v>
      </c>
      <c r="AG5" s="108" t="n">
        <v>0.0135135135135135</v>
      </c>
      <c r="AH5" s="107" t="n">
        <v>130262.571008619</v>
      </c>
      <c r="AI5" s="109" t="n">
        <v>0.177971306880363</v>
      </c>
      <c r="AJ5" s="57" t="n">
        <v>25</v>
      </c>
      <c r="AK5" s="57" t="n">
        <v>25</v>
      </c>
      <c r="AL5" s="57" t="n">
        <v>31</v>
      </c>
      <c r="AM5" s="107" t="n">
        <v>18495.4683393457</v>
      </c>
      <c r="AN5" s="107" t="n">
        <v>4409.66819915108</v>
      </c>
      <c r="AO5" s="107" t="n">
        <v>2550.16917059571</v>
      </c>
      <c r="AP5" s="107" t="n">
        <v>2960</v>
      </c>
      <c r="AQ5" s="107" t="n">
        <v>2627.74302768184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/>
      <c r="AW5" s="57" t="n"/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13707</v>
      </c>
      <c r="BX5" s="107" t="n">
        <v>23183</v>
      </c>
      <c r="BY5" s="108" t="n">
        <v>1</v>
      </c>
      <c r="BZ5" s="107" t="n">
        <v>12547.5803974286</v>
      </c>
      <c r="CA5" s="107" t="n">
        <v>9719.295273650139</v>
      </c>
      <c r="CB5" s="107" t="n">
        <v>18495.4683393457</v>
      </c>
      <c r="CC5" s="107" t="n">
        <v>99219.52227184481</v>
      </c>
      <c r="CD5" s="107" t="n">
        <v>98862.243997711</v>
      </c>
      <c r="CE5" s="107" t="n">
        <v>127077.007610707</v>
      </c>
      <c r="CF5" s="109" t="n">
        <v>0.107863729699952</v>
      </c>
      <c r="CG5" s="118" t="n">
        <v>714.556548267645</v>
      </c>
      <c r="CH5" s="107" t="n">
        <v>130262.571008619</v>
      </c>
      <c r="CI5" s="109" t="n">
        <v>0.177971306880363</v>
      </c>
      <c r="CJ5" s="107" t="n">
        <v>133967.102669273</v>
      </c>
      <c r="CK5" s="109" t="n">
        <v>0.173049946875631</v>
      </c>
    </row>
    <row r="6" ht="16.5" customFormat="1" customHeight="1" s="39">
      <c r="A6" s="63" t="n">
        <v>45962</v>
      </c>
      <c r="B6" s="67" t="n"/>
      <c r="C6" s="67" t="n"/>
      <c r="D6" s="67" t="n"/>
      <c r="E6" s="67" t="n"/>
      <c r="F6" s="67" t="n"/>
      <c r="G6" s="67" t="n"/>
      <c r="H6" s="107" t="n">
        <v>40744.1252393683</v>
      </c>
      <c r="I6" s="118">
        <f>H6-CG6</f>
        <v/>
      </c>
      <c r="J6" s="107" t="n">
        <v>714.809214725759</v>
      </c>
      <c r="K6" s="57" t="n">
        <v>57</v>
      </c>
      <c r="L6" s="57" t="n">
        <v>26</v>
      </c>
      <c r="M6" s="57" t="n">
        <v>29</v>
      </c>
      <c r="N6" s="57" t="n">
        <v>25</v>
      </c>
      <c r="O6" s="57" t="n"/>
      <c r="P6" s="57" t="n"/>
      <c r="Q6" s="57" t="n">
        <v>16</v>
      </c>
      <c r="R6" s="57" t="n">
        <v>18</v>
      </c>
      <c r="S6" s="57" t="n">
        <v>7</v>
      </c>
      <c r="T6" s="57" t="n">
        <v>8</v>
      </c>
      <c r="U6" s="107" t="n">
        <v>34802</v>
      </c>
      <c r="V6" s="107" t="n">
        <v>40101</v>
      </c>
      <c r="W6" s="108" t="n">
        <v>1</v>
      </c>
      <c r="X6" s="107" t="n">
        <v>5012.625</v>
      </c>
      <c r="Y6" s="108" t="n">
        <v>0.456140350877193</v>
      </c>
      <c r="Z6" s="108" t="n">
        <v>0.961538461538462</v>
      </c>
      <c r="AA6" s="108" t="n">
        <v>0.43859649122807</v>
      </c>
      <c r="AB6" s="108" t="n">
        <v>0.64</v>
      </c>
      <c r="AC6" s="108" t="n"/>
      <c r="AD6" s="108" t="n">
        <v>0.947368421052632</v>
      </c>
      <c r="AE6" s="108" t="n">
        <v>0.4375</v>
      </c>
      <c r="AF6" s="108" t="n">
        <v>0.12280701754386</v>
      </c>
      <c r="AG6" s="108" t="n">
        <v>0.140350877192982</v>
      </c>
      <c r="AH6" s="107" t="n">
        <v>54471.3163180277</v>
      </c>
      <c r="AI6" s="109" t="n">
        <v>0.736185624115867</v>
      </c>
      <c r="AJ6" s="57" t="n">
        <v>19</v>
      </c>
      <c r="AK6" s="57" t="n">
        <v>18</v>
      </c>
      <c r="AL6" s="57" t="n">
        <v>19</v>
      </c>
      <c r="AM6" s="107" t="n">
        <v>3710.33017615296</v>
      </c>
      <c r="AN6" s="107" t="n">
        <v>3425.13096856428</v>
      </c>
      <c r="AO6" s="107" t="n">
        <v>4411.17775568556</v>
      </c>
      <c r="AP6" s="107" t="n">
        <v>570</v>
      </c>
      <c r="AQ6" s="107" t="n">
        <v>1610.55217825661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/>
      <c r="AW6" s="57" t="n"/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8" t="n"/>
      <c r="BE6" s="107" t="n"/>
      <c r="BF6" s="108" t="n"/>
      <c r="BG6" s="108" t="n"/>
      <c r="BH6" s="108" t="n"/>
      <c r="BI6" s="108" t="n"/>
      <c r="BJ6" s="108" t="n"/>
      <c r="BK6" s="108" t="n"/>
      <c r="BL6" s="108" t="n"/>
      <c r="BM6" s="108" t="n"/>
      <c r="BN6" s="108" t="n"/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107" t="n">
        <v>0</v>
      </c>
      <c r="BV6" s="107" t="n">
        <v>0</v>
      </c>
      <c r="BW6" s="107" t="n">
        <v>34802</v>
      </c>
      <c r="BX6" s="107" t="n">
        <v>40101</v>
      </c>
      <c r="BY6" s="108" t="n">
        <v>1</v>
      </c>
      <c r="BZ6" s="107" t="n">
        <v>10016.8609025065</v>
      </c>
      <c r="CA6" s="107" t="n">
        <v>8825.340343523099</v>
      </c>
      <c r="CB6" s="107" t="n">
        <v>3710.33017615296</v>
      </c>
      <c r="CC6" s="107" t="n">
        <v>40744.1252393683</v>
      </c>
      <c r="CD6" s="107" t="n">
        <v>40565.4028852776</v>
      </c>
      <c r="CE6" s="107" t="n">
        <v>53101.0734049537</v>
      </c>
      <c r="CF6" s="109" t="n">
        <v>0.6553916478221961</v>
      </c>
      <c r="CG6" s="118" t="n">
        <v>1429.77883272526</v>
      </c>
      <c r="CH6" s="107" t="n">
        <v>54471.3163180277</v>
      </c>
      <c r="CI6" s="109" t="n">
        <v>0.736185624115867</v>
      </c>
      <c r="CJ6" s="107" t="n">
        <v>55035.9861418747</v>
      </c>
      <c r="CK6" s="109" t="n">
        <v>0.728632351505894</v>
      </c>
    </row>
    <row r="7" ht="16.5" customFormat="1" customHeight="1" s="39">
      <c r="A7" s="63" t="n">
        <v>45992</v>
      </c>
      <c r="B7" s="67" t="n"/>
      <c r="C7" s="67" t="n"/>
      <c r="D7" s="67" t="n"/>
      <c r="E7" s="67" t="n"/>
      <c r="F7" s="67" t="n"/>
      <c r="G7" s="67" t="n"/>
      <c r="H7" s="107" t="n">
        <v>54031.119898365</v>
      </c>
      <c r="I7" s="118">
        <f>H7-CG7</f>
        <v/>
      </c>
      <c r="J7" s="107" t="n">
        <v>885.756063907622</v>
      </c>
      <c r="K7" s="57" t="n">
        <v>61</v>
      </c>
      <c r="L7" s="57" t="n">
        <v>33</v>
      </c>
      <c r="M7" s="57" t="n">
        <v>33</v>
      </c>
      <c r="N7" s="57" t="n">
        <v>31</v>
      </c>
      <c r="O7" s="57" t="n">
        <v>30</v>
      </c>
      <c r="P7" s="57" t="n">
        <v>25</v>
      </c>
      <c r="Q7" s="57" t="n">
        <v>20</v>
      </c>
      <c r="R7" s="57" t="n">
        <v>25</v>
      </c>
      <c r="S7" s="57" t="n">
        <v>9</v>
      </c>
      <c r="T7" s="57" t="n">
        <v>10</v>
      </c>
      <c r="U7" s="107" t="n">
        <v>44689</v>
      </c>
      <c r="V7" s="107" t="n">
        <v>49988</v>
      </c>
      <c r="W7" s="108" t="n">
        <v>1</v>
      </c>
      <c r="X7" s="107" t="n">
        <v>4998.8</v>
      </c>
      <c r="Y7" s="108" t="n">
        <v>0.540983606557377</v>
      </c>
      <c r="Z7" s="108" t="n">
        <v>0.939393939393939</v>
      </c>
      <c r="AA7" s="108" t="n">
        <v>0.508196721311475</v>
      </c>
      <c r="AB7" s="108" t="n">
        <v>0.645161290322581</v>
      </c>
      <c r="AC7" s="108" t="n">
        <v>0.666666666666667</v>
      </c>
      <c r="AD7" s="108" t="n">
        <v>1</v>
      </c>
      <c r="AE7" s="108" t="n">
        <v>0.45</v>
      </c>
      <c r="AF7" s="108" t="n">
        <v>0.147540983606557</v>
      </c>
      <c r="AG7" s="108" t="n">
        <v>0.163934426229508</v>
      </c>
      <c r="AH7" s="107" t="n">
        <v>72759.5485326866</v>
      </c>
      <c r="AI7" s="109" t="n">
        <v>0.687030101314377</v>
      </c>
      <c r="AJ7" s="57" t="n">
        <v>25</v>
      </c>
      <c r="AK7" s="57" t="n">
        <v>25</v>
      </c>
      <c r="AL7" s="57" t="n">
        <v>30</v>
      </c>
      <c r="AM7" s="107" t="n">
        <v>4551.60983081444</v>
      </c>
      <c r="AN7" s="107" t="n">
        <v>4858.51973553279</v>
      </c>
      <c r="AO7" s="107" t="n">
        <v>6183.38398725532</v>
      </c>
      <c r="AP7" s="107" t="n">
        <v>610</v>
      </c>
      <c r="AQ7" s="107" t="n">
        <v>2524.91508071912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57" t="n">
        <v>0</v>
      </c>
      <c r="AX7" s="57" t="n">
        <v>0</v>
      </c>
      <c r="AY7" s="57" t="n">
        <v>0</v>
      </c>
      <c r="AZ7" s="57" t="n">
        <v>0</v>
      </c>
      <c r="BA7" s="57" t="n">
        <v>0</v>
      </c>
      <c r="BB7" s="107" t="n">
        <v>0</v>
      </c>
      <c r="BC7" s="107" t="n">
        <v>0</v>
      </c>
      <c r="BD7" s="108" t="n"/>
      <c r="BE7" s="107" t="n"/>
      <c r="BF7" s="108" t="n"/>
      <c r="BG7" s="108" t="n"/>
      <c r="BH7" s="108" t="n"/>
      <c r="BI7" s="108" t="n"/>
      <c r="BJ7" s="108" t="n"/>
      <c r="BK7" s="108" t="n"/>
      <c r="BL7" s="108" t="n"/>
      <c r="BM7" s="108" t="n"/>
      <c r="BN7" s="108" t="n"/>
      <c r="BO7" s="57" t="n">
        <v>0</v>
      </c>
      <c r="BP7" s="57" t="n">
        <v>0</v>
      </c>
      <c r="BQ7" s="57" t="n">
        <v>0</v>
      </c>
      <c r="BR7" s="107" t="n">
        <v>0</v>
      </c>
      <c r="BS7" s="107" t="n">
        <v>0</v>
      </c>
      <c r="BT7" s="107" t="n">
        <v>0</v>
      </c>
      <c r="BU7" s="107" t="n">
        <v>0</v>
      </c>
      <c r="BV7" s="107" t="n">
        <v>0</v>
      </c>
      <c r="BW7" s="107" t="n">
        <v>44689</v>
      </c>
      <c r="BX7" s="107" t="n">
        <v>49988</v>
      </c>
      <c r="BY7" s="108" t="n">
        <v>1</v>
      </c>
      <c r="BZ7" s="107" t="n">
        <v>14176.8188035072</v>
      </c>
      <c r="CA7" s="107" t="n">
        <v>13100.5272750545</v>
      </c>
      <c r="CB7" s="107" t="n">
        <v>4551.60983081444</v>
      </c>
      <c r="CC7" s="107" t="n">
        <v>54031.119898365</v>
      </c>
      <c r="CD7" s="107" t="n">
        <v>53835.9805914553</v>
      </c>
      <c r="CE7" s="107" t="n">
        <v>71488.1176973242</v>
      </c>
      <c r="CF7" s="109" t="n">
        <v>0.625124866054107</v>
      </c>
      <c r="CG7" s="118" t="n">
        <v>1951.39306909666</v>
      </c>
      <c r="CH7" s="107" t="n">
        <v>72759.5485326866</v>
      </c>
      <c r="CI7" s="109" t="n">
        <v>0.687030101314377</v>
      </c>
      <c r="CJ7" s="107" t="n">
        <v>72782.9387018722</v>
      </c>
      <c r="CK7" s="109" t="n">
        <v>0.686809311241979</v>
      </c>
    </row>
    <row r="8" ht="16.5" customFormat="1" customHeight="1" s="39">
      <c r="A8" s="63" t="n">
        <v>46023</v>
      </c>
      <c r="B8" s="67" t="n"/>
      <c r="C8" s="67" t="n"/>
      <c r="D8" s="67" t="n"/>
      <c r="E8" s="67" t="n"/>
      <c r="F8" s="67" t="n"/>
      <c r="G8" s="67" t="n"/>
      <c r="H8" s="107" t="n">
        <v>14181.2203252032</v>
      </c>
      <c r="I8" s="118">
        <f>H8-CG8</f>
        <v/>
      </c>
      <c r="J8" s="107" t="n">
        <v>616.574796747967</v>
      </c>
      <c r="K8" s="57" t="n">
        <v>23</v>
      </c>
      <c r="L8" s="57" t="n">
        <v>11</v>
      </c>
      <c r="M8" s="57" t="n">
        <v>11</v>
      </c>
      <c r="N8" s="57" t="n">
        <v>11</v>
      </c>
      <c r="O8" s="57" t="n">
        <v>11</v>
      </c>
      <c r="P8" s="57" t="n">
        <v>10</v>
      </c>
      <c r="Q8" s="57" t="n">
        <v>7</v>
      </c>
      <c r="R8" s="57" t="n">
        <v>10</v>
      </c>
      <c r="S8" s="57" t="n">
        <v>1</v>
      </c>
      <c r="T8" s="57" t="n">
        <v>2</v>
      </c>
      <c r="U8" s="107" t="n">
        <v>5888</v>
      </c>
      <c r="V8" s="107" t="n">
        <v>9776</v>
      </c>
      <c r="W8" s="108" t="n">
        <v>1</v>
      </c>
      <c r="X8" s="107" t="n">
        <v>4888</v>
      </c>
      <c r="Y8" s="108" t="n">
        <v>0.478260869565217</v>
      </c>
      <c r="Z8" s="108" t="n">
        <v>1</v>
      </c>
      <c r="AA8" s="108" t="n">
        <v>0.478260869565217</v>
      </c>
      <c r="AB8" s="108" t="n">
        <v>0.636363636363636</v>
      </c>
      <c r="AC8" s="108" t="n">
        <v>0.636363636363636</v>
      </c>
      <c r="AD8" s="108" t="n">
        <v>1</v>
      </c>
      <c r="AE8" s="108" t="n">
        <v>0.142857142857143</v>
      </c>
      <c r="AF8" s="108" t="n">
        <v>0.0434782608695652</v>
      </c>
      <c r="AG8" s="108" t="n">
        <v>0.0869565217391304</v>
      </c>
      <c r="AH8" s="107" t="n">
        <v>20504.024830395</v>
      </c>
      <c r="AI8" s="109" t="n">
        <v>0.476784440170407</v>
      </c>
      <c r="AJ8" s="57" t="n">
        <v>10</v>
      </c>
      <c r="AK8" s="57" t="n">
        <v>10</v>
      </c>
      <c r="AL8" s="57" t="n">
        <v>12</v>
      </c>
      <c r="AM8" s="107" t="n">
        <v>2153.91501274987</v>
      </c>
      <c r="AN8" s="107" t="n">
        <v>1719.65799925545</v>
      </c>
      <c r="AO8" s="107" t="n">
        <v>1209.26546089878</v>
      </c>
      <c r="AP8" s="107" t="n">
        <v>230</v>
      </c>
      <c r="AQ8" s="107" t="n">
        <v>1009.96603228765</v>
      </c>
      <c r="AR8" s="57" t="n">
        <v>0</v>
      </c>
      <c r="AS8" s="57" t="n">
        <v>0</v>
      </c>
      <c r="AT8" s="57" t="n">
        <v>0</v>
      </c>
      <c r="AU8" s="57" t="n">
        <v>0</v>
      </c>
      <c r="AV8" s="57" t="n">
        <v>0</v>
      </c>
      <c r="AW8" s="57" t="n">
        <v>0</v>
      </c>
      <c r="AX8" s="57" t="n">
        <v>0</v>
      </c>
      <c r="AY8" s="57" t="n">
        <v>0</v>
      </c>
      <c r="AZ8" s="57" t="n">
        <v>0</v>
      </c>
      <c r="BA8" s="57" t="n">
        <v>0</v>
      </c>
      <c r="BB8" s="107" t="n">
        <v>0</v>
      </c>
      <c r="BC8" s="107" t="n">
        <v>0</v>
      </c>
      <c r="BD8" s="108" t="n"/>
      <c r="BE8" s="107" t="n"/>
      <c r="BF8" s="108" t="n"/>
      <c r="BG8" s="108" t="n"/>
      <c r="BH8" s="108" t="n"/>
      <c r="BI8" s="108" t="n"/>
      <c r="BJ8" s="108" t="n"/>
      <c r="BK8" s="108" t="n"/>
      <c r="BL8" s="108" t="n"/>
      <c r="BM8" s="108" t="n"/>
      <c r="BN8" s="108" t="n"/>
      <c r="BO8" s="57" t="n">
        <v>0</v>
      </c>
      <c r="BP8" s="57" t="n">
        <v>0</v>
      </c>
      <c r="BQ8" s="57" t="n">
        <v>0</v>
      </c>
      <c r="BR8" s="107" t="n">
        <v>0</v>
      </c>
      <c r="BS8" s="107" t="n">
        <v>0</v>
      </c>
      <c r="BT8" s="107" t="n">
        <v>0</v>
      </c>
      <c r="BU8" s="107" t="n">
        <v>0</v>
      </c>
      <c r="BV8" s="107" t="n">
        <v>0</v>
      </c>
      <c r="BW8" s="107" t="n">
        <v>5888</v>
      </c>
      <c r="BX8" s="107" t="n">
        <v>9776</v>
      </c>
      <c r="BY8" s="108" t="n">
        <v>1</v>
      </c>
      <c r="BZ8" s="107" t="n">
        <v>4168.88949244187</v>
      </c>
      <c r="CA8" s="107" t="n">
        <v>3267.13494898584</v>
      </c>
      <c r="CB8" s="107" t="n">
        <v>2153.91501274987</v>
      </c>
      <c r="CC8" s="107" t="n">
        <v>14181.2203252032</v>
      </c>
      <c r="CD8" s="107" t="n">
        <v>14181.2203252032</v>
      </c>
      <c r="CE8" s="107" t="n">
        <v>19602.270286939</v>
      </c>
      <c r="CF8" s="109" t="n">
        <v>0.300373370727532</v>
      </c>
      <c r="CG8" s="118" t="n">
        <v>0</v>
      </c>
      <c r="CH8" s="107" t="n">
        <v>20504.024830395</v>
      </c>
      <c r="CI8" s="109" t="n">
        <v>0.476784440170407</v>
      </c>
      <c r="CJ8" s="107" t="n">
        <v>20075.1098176451</v>
      </c>
      <c r="CK8" s="109" t="n">
        <v>0.486971184157974</v>
      </c>
    </row>
    <row r="9" ht="30" customFormat="1" customHeight="1" s="40">
      <c r="A9" s="40" t="inlineStr">
        <is>
          <t>蔡雪莹-汇总</t>
        </is>
      </c>
      <c r="B9" s="57" t="n"/>
      <c r="C9" s="57" t="n"/>
      <c r="D9" s="57" t="n"/>
      <c r="E9" s="57" t="n"/>
      <c r="F9" s="57" t="n"/>
      <c r="G9" s="57" t="n"/>
      <c r="H9" s="107">
        <f>SUM(H3:H8)</f>
        <v/>
      </c>
      <c r="I9" s="107">
        <f>SUM(I3:I8)</f>
        <v/>
      </c>
      <c r="J9" s="107">
        <f>I9/K9</f>
        <v/>
      </c>
      <c r="K9" s="57">
        <f>SUM(K3:K8)</f>
        <v/>
      </c>
      <c r="L9" s="57">
        <f>SUM(L3:L8)</f>
        <v/>
      </c>
      <c r="M9" s="57">
        <f>SUM(M3:M8)</f>
        <v/>
      </c>
      <c r="N9" s="57">
        <f>SUM(N3:N8)</f>
        <v/>
      </c>
      <c r="O9" s="57" t="n"/>
      <c r="P9" s="57" t="n"/>
      <c r="Q9" s="57">
        <f>SUM(Q3:Q8)</f>
        <v/>
      </c>
      <c r="R9" s="57">
        <f>SUM(R3:R8)</f>
        <v/>
      </c>
      <c r="S9" s="57">
        <f>SUM(S3:S8)</f>
        <v/>
      </c>
      <c r="T9" s="57">
        <f>SUM(T3:T8)</f>
        <v/>
      </c>
      <c r="U9" s="107">
        <f>SUM(U3:U8)</f>
        <v/>
      </c>
      <c r="V9" s="107">
        <f>SUM(V3:V8)</f>
        <v/>
      </c>
      <c r="W9" s="57" t="n"/>
      <c r="X9" s="107">
        <f>V9/T9</f>
        <v/>
      </c>
      <c r="Y9" s="61">
        <f>L9/K9</f>
        <v/>
      </c>
      <c r="Z9" s="61">
        <f>N9/L9</f>
        <v/>
      </c>
      <c r="AA9" s="61">
        <f>N9/K9</f>
        <v/>
      </c>
      <c r="AB9" s="61">
        <f>Q9/N9</f>
        <v/>
      </c>
      <c r="AC9" s="61" t="n"/>
      <c r="AD9" s="61">
        <f>AVERAGE(AD3:AD8)</f>
        <v/>
      </c>
      <c r="AE9" s="61">
        <f>S9/Q9</f>
        <v/>
      </c>
      <c r="AF9" s="61">
        <f>S9/K9</f>
        <v/>
      </c>
      <c r="AG9" s="61">
        <f>T9/K9</f>
        <v/>
      </c>
      <c r="AH9" s="107">
        <f>SUM(AH3:AH8)</f>
        <v/>
      </c>
      <c r="AI9" s="109">
        <f>V9/AH9</f>
        <v/>
      </c>
      <c r="AJ9" s="57">
        <f>SUM(AJ3:AJ8)</f>
        <v/>
      </c>
      <c r="AK9" s="57">
        <f>SUM(AK3:AK8)</f>
        <v/>
      </c>
      <c r="AL9" s="57">
        <f>SUM(AL3:AL8)</f>
        <v/>
      </c>
      <c r="AM9" s="107">
        <f>SUM(AM3:AM8)</f>
        <v/>
      </c>
      <c r="AN9" s="107">
        <f>SUM(AN3:AN8)</f>
        <v/>
      </c>
      <c r="AO9" s="107">
        <f>SUM(AO3:AO8)</f>
        <v/>
      </c>
      <c r="AP9" s="107">
        <f>SUM(AP3:AP8)</f>
        <v/>
      </c>
      <c r="AQ9" s="107">
        <f>SUM(AQ3:AQ8)</f>
        <v/>
      </c>
      <c r="AR9" s="57">
        <f>SUM(AR3:AR8)</f>
        <v/>
      </c>
      <c r="AS9" s="57">
        <f>SUM(AS3:AS8)</f>
        <v/>
      </c>
      <c r="AT9" s="57" t="n"/>
      <c r="AU9" s="57">
        <f>SUM(AU3:AU8)</f>
        <v/>
      </c>
      <c r="AV9" s="57" t="n"/>
      <c r="AW9" s="57" t="n"/>
      <c r="AX9" s="57">
        <f>SUM(AX3:AX8)</f>
        <v/>
      </c>
      <c r="AY9" s="57">
        <f>SUM(AY3:AY8)</f>
        <v/>
      </c>
      <c r="AZ9" s="57">
        <f>SUM(AZ3:AZ8)</f>
        <v/>
      </c>
      <c r="BA9" s="57">
        <f>SUM(BA3:BA8)</f>
        <v/>
      </c>
      <c r="BB9" s="107">
        <f>SUM(BB3:BB8)</f>
        <v/>
      </c>
      <c r="BC9" s="107">
        <f>SUM(BC3:BC8)</f>
        <v/>
      </c>
      <c r="BD9" s="107" t="n"/>
      <c r="BE9" s="107">
        <f>BC9/BA9</f>
        <v/>
      </c>
      <c r="BF9" s="62">
        <f>AS9/AR9</f>
        <v/>
      </c>
      <c r="BG9" s="62">
        <f>AU9/AS9</f>
        <v/>
      </c>
      <c r="BH9" s="62">
        <f>AU9/AR9</f>
        <v/>
      </c>
      <c r="BI9" s="62">
        <f>AX9/AU9</f>
        <v/>
      </c>
      <c r="BJ9" s="62" t="n"/>
      <c r="BK9" s="62">
        <f>AVERAGE(BK3:BK8)</f>
        <v/>
      </c>
      <c r="BL9" s="62">
        <f>AZ9/AX9</f>
        <v/>
      </c>
      <c r="BM9" s="62">
        <f>AZ9/AR9</f>
        <v/>
      </c>
      <c r="BN9" s="62">
        <f>BA9/AR9</f>
        <v/>
      </c>
      <c r="BO9" s="57">
        <f>SUM(BO3:BO8)</f>
        <v/>
      </c>
      <c r="BP9" s="57">
        <f>SUM(BP3:BP8)</f>
        <v/>
      </c>
      <c r="BQ9" s="57">
        <f>SUM(BQ3:BQ8)</f>
        <v/>
      </c>
      <c r="BR9" s="107">
        <f>SUM(BR3:BR8)</f>
        <v/>
      </c>
      <c r="BS9" s="107">
        <f>SUM(BS3:BS8)</f>
        <v/>
      </c>
      <c r="BT9" s="107">
        <f>SUM(BT3:BT8)</f>
        <v/>
      </c>
      <c r="BU9" s="57">
        <f>SUM(BU3:BU8)</f>
        <v/>
      </c>
      <c r="BV9" s="57">
        <f>SUM(BV3:BV8)</f>
        <v/>
      </c>
      <c r="BW9" s="107">
        <f>SUM(BW3:BW8)</f>
        <v/>
      </c>
      <c r="BX9" s="107">
        <f>SUM(BX3:BX8)</f>
        <v/>
      </c>
      <c r="BY9" s="107" t="n"/>
      <c r="BZ9" s="107">
        <f>SUM(BZ3:BZ8)</f>
        <v/>
      </c>
      <c r="CA9" s="107">
        <f>SUM(CA3:CA8)</f>
        <v/>
      </c>
      <c r="CB9" s="107">
        <f>SUM(CB3:CB8)</f>
        <v/>
      </c>
      <c r="CC9" s="107">
        <f>SUM(CC3:CC8)</f>
        <v/>
      </c>
      <c r="CD9" s="107">
        <f>SUM(CD3:CD8)</f>
        <v/>
      </c>
      <c r="CE9" s="107">
        <f>SUM(CE3:CE8)</f>
        <v/>
      </c>
      <c r="CF9" s="109">
        <f>BW9/CE9</f>
        <v/>
      </c>
      <c r="CG9" s="107">
        <f>SUM(CG3:CG8)</f>
        <v/>
      </c>
      <c r="CH9" s="107">
        <f>SUM(CH3:CH8)</f>
        <v/>
      </c>
      <c r="CI9" s="109">
        <f>BX9/CH9</f>
        <v/>
      </c>
      <c r="CJ9" s="107">
        <f>SUM(CJ3:CJ8)</f>
        <v/>
      </c>
      <c r="CK9" s="109">
        <f>BX9/CJ9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L8"/>
  <sheetViews>
    <sheetView zoomScale="70" zoomScaleNormal="70" workbookViewId="0">
      <selection activeCell="M28" sqref="M28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127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分发数
(剔除毛例子)</t>
        </is>
      </c>
      <c r="N2" s="91" t="inlineStr">
        <is>
          <t>约课数</t>
        </is>
      </c>
      <c r="O2" s="91" t="inlineStr">
        <is>
          <t>应到课数</t>
        </is>
      </c>
      <c r="P2" s="91" t="inlineStr">
        <is>
          <t>滚动应到课数</t>
        </is>
      </c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inlineStr">
        <is>
          <t>应到课率</t>
        </is>
      </c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inlineStr">
        <is>
          <t>应到课数</t>
        </is>
      </c>
      <c r="AW2" s="91" t="inlineStr">
        <is>
          <t>滚动应到课数</t>
        </is>
      </c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inlineStr">
        <is>
          <t>应到课率</t>
        </is>
      </c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91" t="inlineStr">
        <is>
          <t>当月ROI2</t>
        </is>
      </c>
      <c r="CG2" s="127" t="inlineStr">
        <is>
          <t>滚动赠课成本</t>
        </is>
      </c>
      <c r="CH2" s="91" t="inlineStr">
        <is>
          <t>滚动ROI2总成本</t>
        </is>
      </c>
      <c r="CI2" s="91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45904</v>
      </c>
      <c r="B3" s="67" t="n"/>
      <c r="C3" s="67" t="n"/>
      <c r="D3" s="67" t="n"/>
      <c r="E3" s="67" t="n"/>
      <c r="F3" s="67" t="n"/>
      <c r="G3" s="67" t="n"/>
      <c r="H3" s="107" t="n">
        <v>74915.3518746193</v>
      </c>
      <c r="I3" s="118">
        <f>H3-CG3</f>
        <v/>
      </c>
      <c r="J3" s="107" t="n">
        <v>604.156063504994</v>
      </c>
      <c r="K3" s="57" t="n">
        <v>124</v>
      </c>
      <c r="L3" s="57" t="n">
        <v>47</v>
      </c>
      <c r="M3" s="57" t="n">
        <v>47</v>
      </c>
      <c r="N3" s="57" t="n">
        <v>48</v>
      </c>
      <c r="O3" s="57" t="n"/>
      <c r="P3" s="57" t="n"/>
      <c r="Q3" s="57" t="n">
        <v>30</v>
      </c>
      <c r="R3" s="57" t="n">
        <v>30</v>
      </c>
      <c r="S3" s="57" t="n">
        <v>6</v>
      </c>
      <c r="T3" s="57" t="n">
        <v>6</v>
      </c>
      <c r="U3" s="107" t="n">
        <v>24828</v>
      </c>
      <c r="V3" s="107" t="n">
        <v>24828</v>
      </c>
      <c r="W3" s="108" t="n">
        <v>1</v>
      </c>
      <c r="X3" s="107" t="n">
        <v>4138</v>
      </c>
      <c r="Y3" s="108" t="n">
        <v>0.379032258064516</v>
      </c>
      <c r="Z3" s="108" t="n">
        <v>1.02127659574468</v>
      </c>
      <c r="AA3" s="108" t="n">
        <v>0.387096774193548</v>
      </c>
      <c r="AB3" s="108" t="n">
        <v>0.625</v>
      </c>
      <c r="AC3" s="108" t="n"/>
      <c r="AD3" s="108" t="n">
        <v>0.967741935483871</v>
      </c>
      <c r="AE3" s="108" t="n">
        <v>0.2</v>
      </c>
      <c r="AF3" s="108" t="n">
        <v>0.0483870967741935</v>
      </c>
      <c r="AG3" s="108" t="n">
        <v>0.0483870967741935</v>
      </c>
      <c r="AH3" s="107" t="n">
        <v>97851.75587793739</v>
      </c>
      <c r="AI3" s="109" t="n">
        <v>0.253730756052769</v>
      </c>
      <c r="AJ3" s="57" t="n">
        <v>31</v>
      </c>
      <c r="AK3" s="57" t="n">
        <v>30</v>
      </c>
      <c r="AL3" s="57" t="n">
        <v>32</v>
      </c>
      <c r="AM3" s="107" t="n">
        <v>9395.335823624429</v>
      </c>
      <c r="AN3" s="107" t="n">
        <v>6795.69287343307</v>
      </c>
      <c r="AO3" s="107" t="n">
        <v>2787.62698308926</v>
      </c>
      <c r="AP3" s="107" t="n">
        <v>1240</v>
      </c>
      <c r="AQ3" s="107" t="n">
        <v>2717.74832317134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/>
      <c r="AW3" s="57" t="n"/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24828</v>
      </c>
      <c r="BX3" s="107" t="n">
        <v>24828</v>
      </c>
      <c r="BY3" s="108" t="n">
        <v>1</v>
      </c>
      <c r="BZ3" s="107" t="n">
        <v>13541.0681796937</v>
      </c>
      <c r="CA3" s="107" t="n">
        <v>13541.0681796937</v>
      </c>
      <c r="CB3" s="107" t="n">
        <v>9395.335823624429</v>
      </c>
      <c r="CC3" s="107" t="n">
        <v>74915.3518746193</v>
      </c>
      <c r="CD3" s="107" t="n">
        <v>74915.3518746193</v>
      </c>
      <c r="CE3" s="107" t="n">
        <v>97851.75587793739</v>
      </c>
      <c r="CF3" s="109" t="n">
        <v>0.253730756052769</v>
      </c>
      <c r="CG3" s="118" t="n">
        <v>1071.83482240147</v>
      </c>
      <c r="CH3" s="107" t="n">
        <v>97851.75587793739</v>
      </c>
      <c r="CI3" s="109" t="n">
        <v>0.253730756052769</v>
      </c>
      <c r="CJ3" s="107" t="n">
        <v>97756.4200543129</v>
      </c>
      <c r="CK3" s="109" t="n">
        <v>0.253978204052539</v>
      </c>
    </row>
    <row r="4" ht="16.5" customFormat="1" customHeight="1" s="39">
      <c r="A4" s="63" t="n">
        <v>45931</v>
      </c>
      <c r="B4" s="67" t="n"/>
      <c r="C4" s="67" t="n"/>
      <c r="D4" s="67" t="n"/>
      <c r="E4" s="67" t="n"/>
      <c r="F4" s="67" t="n"/>
      <c r="G4" s="67" t="n"/>
      <c r="H4" s="107" t="n">
        <v>178123.870160828</v>
      </c>
      <c r="I4" s="118">
        <f>H4-CG4</f>
        <v/>
      </c>
      <c r="J4" s="107" t="n">
        <v>522.3573905009609</v>
      </c>
      <c r="K4" s="57" t="n">
        <v>341</v>
      </c>
      <c r="L4" s="57" t="n">
        <v>68</v>
      </c>
      <c r="M4" s="57" t="n">
        <v>71</v>
      </c>
      <c r="N4" s="57" t="n">
        <v>68</v>
      </c>
      <c r="O4" s="57" t="n"/>
      <c r="P4" s="57" t="n"/>
      <c r="Q4" s="57" t="n">
        <v>47</v>
      </c>
      <c r="R4" s="57" t="n">
        <v>57</v>
      </c>
      <c r="S4" s="57" t="n">
        <v>13</v>
      </c>
      <c r="T4" s="57" t="n">
        <v>16</v>
      </c>
      <c r="U4" s="107" t="n">
        <v>85686</v>
      </c>
      <c r="V4" s="107" t="n">
        <v>104150</v>
      </c>
      <c r="W4" s="108" t="n">
        <v>1</v>
      </c>
      <c r="X4" s="107" t="n">
        <v>6509.375</v>
      </c>
      <c r="Y4" s="108" t="n">
        <v>0.19941348973607</v>
      </c>
      <c r="Z4" s="108" t="n">
        <v>1</v>
      </c>
      <c r="AA4" s="108" t="n">
        <v>0.19941348973607</v>
      </c>
      <c r="AB4" s="108" t="n">
        <v>0.6911764705882349</v>
      </c>
      <c r="AC4" s="108" t="n"/>
      <c r="AD4" s="108" t="n">
        <v>0.982758620689655</v>
      </c>
      <c r="AE4" s="108" t="n">
        <v>0.276595744680851</v>
      </c>
      <c r="AF4" s="108" t="n">
        <v>0.0381231671554252</v>
      </c>
      <c r="AG4" s="108" t="n">
        <v>0.0469208211143695</v>
      </c>
      <c r="AH4" s="107" t="n">
        <v>229652.874244839</v>
      </c>
      <c r="AI4" s="109" t="n">
        <v>0.453510544305066</v>
      </c>
      <c r="AJ4" s="57" t="n">
        <v>58</v>
      </c>
      <c r="AK4" s="57" t="n">
        <v>57</v>
      </c>
      <c r="AL4" s="57" t="n">
        <v>62</v>
      </c>
      <c r="AM4" s="107" t="n">
        <v>21307.2794044489</v>
      </c>
      <c r="AN4" s="107" t="n">
        <v>10099.5626496686</v>
      </c>
      <c r="AO4" s="107" t="n">
        <v>11456.6759745306</v>
      </c>
      <c r="AP4" s="107" t="n">
        <v>3410</v>
      </c>
      <c r="AQ4" s="107" t="n">
        <v>5255.48605536368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/>
      <c r="AW4" s="57" t="n"/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85686</v>
      </c>
      <c r="BX4" s="107" t="n">
        <v>104150</v>
      </c>
      <c r="BY4" s="108" t="n">
        <v>1</v>
      </c>
      <c r="BZ4" s="107" t="n">
        <v>30221.7246795629</v>
      </c>
      <c r="CA4" s="107" t="n">
        <v>26831.4864532162</v>
      </c>
      <c r="CB4" s="107" t="n">
        <v>21307.2794044489</v>
      </c>
      <c r="CC4" s="107" t="n">
        <v>178123.870160828</v>
      </c>
      <c r="CD4" s="107" t="n">
        <v>177587.952749627</v>
      </c>
      <c r="CE4" s="107" t="n">
        <v>225726.718607292</v>
      </c>
      <c r="CF4" s="109" t="n">
        <v>0.379600609660535</v>
      </c>
      <c r="CG4" s="118" t="n">
        <v>2858.22619307058</v>
      </c>
      <c r="CH4" s="107" t="n">
        <v>229652.874244839</v>
      </c>
      <c r="CI4" s="109" t="n">
        <v>0.453510544305066</v>
      </c>
      <c r="CJ4" s="107" t="n">
        <v>233920.59484039</v>
      </c>
      <c r="CK4" s="109" t="n">
        <v>0.445236555896517</v>
      </c>
    </row>
    <row r="5" ht="16.5" customFormat="1" customHeight="1" s="39">
      <c r="A5" s="63" t="n">
        <v>45962</v>
      </c>
      <c r="B5" s="67" t="n"/>
      <c r="C5" s="67" t="n"/>
      <c r="D5" s="67" t="n"/>
      <c r="E5" s="67" t="n"/>
      <c r="F5" s="67" t="n"/>
      <c r="G5" s="67" t="n"/>
      <c r="H5" s="107" t="n">
        <v>187458.018612585</v>
      </c>
      <c r="I5" s="118">
        <f>H5-CG5</f>
        <v/>
      </c>
      <c r="J5" s="107" t="n">
        <v>1225.21580792539</v>
      </c>
      <c r="K5" s="57" t="n">
        <v>153</v>
      </c>
      <c r="L5" s="57" t="n">
        <v>71</v>
      </c>
      <c r="M5" s="57" t="n">
        <v>77</v>
      </c>
      <c r="N5" s="57" t="n">
        <v>73</v>
      </c>
      <c r="O5" s="57" t="n"/>
      <c r="P5" s="57" t="n"/>
      <c r="Q5" s="57" t="n">
        <v>47</v>
      </c>
      <c r="R5" s="57" t="n">
        <v>62</v>
      </c>
      <c r="S5" s="57" t="n">
        <v>15</v>
      </c>
      <c r="T5" s="57" t="n">
        <v>18</v>
      </c>
      <c r="U5" s="107" t="n">
        <v>88994</v>
      </c>
      <c r="V5" s="107" t="n">
        <v>101291</v>
      </c>
      <c r="W5" s="108" t="n">
        <v>1</v>
      </c>
      <c r="X5" s="107" t="n">
        <v>5627.27777777778</v>
      </c>
      <c r="Y5" s="108" t="n">
        <v>0.464052287581699</v>
      </c>
      <c r="Z5" s="108" t="n">
        <v>1.02816901408451</v>
      </c>
      <c r="AA5" s="108" t="n">
        <v>0.477124183006536</v>
      </c>
      <c r="AB5" s="108" t="n">
        <v>0.643835616438356</v>
      </c>
      <c r="AC5" s="108" t="n"/>
      <c r="AD5" s="108" t="n">
        <v>0.984126984126984</v>
      </c>
      <c r="AE5" s="108" t="n">
        <v>0.319148936170213</v>
      </c>
      <c r="AF5" s="108" t="n">
        <v>0.09803921568627449</v>
      </c>
      <c r="AG5" s="108" t="n">
        <v>0.117647058823529</v>
      </c>
      <c r="AH5" s="107" t="n">
        <v>224947.901812849</v>
      </c>
      <c r="AI5" s="109" t="n">
        <v>0.450286484931394</v>
      </c>
      <c r="AJ5" s="57" t="n">
        <v>63</v>
      </c>
      <c r="AK5" s="57" t="n">
        <v>62</v>
      </c>
      <c r="AL5" s="57" t="n">
        <v>68</v>
      </c>
      <c r="AM5" s="107" t="n">
        <v>9959.307314936899</v>
      </c>
      <c r="AN5" s="107" t="n">
        <v>9094.31326136033</v>
      </c>
      <c r="AO5" s="107" t="n">
        <v>11142.1811438903</v>
      </c>
      <c r="AP5" s="107" t="n">
        <v>1530</v>
      </c>
      <c r="AQ5" s="107" t="n">
        <v>5764.08148007629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/>
      <c r="AW5" s="57" t="n"/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88994</v>
      </c>
      <c r="BX5" s="107" t="n">
        <v>101291</v>
      </c>
      <c r="BY5" s="108" t="n">
        <v>1</v>
      </c>
      <c r="BZ5" s="107" t="n">
        <v>27530.575885327</v>
      </c>
      <c r="CA5" s="107" t="n">
        <v>24028.2169513795</v>
      </c>
      <c r="CB5" s="107" t="n">
        <v>9959.307314936899</v>
      </c>
      <c r="CC5" s="107" t="n">
        <v>187458.018612585</v>
      </c>
      <c r="CD5" s="107" t="n">
        <v>186921.851550313</v>
      </c>
      <c r="CE5" s="107" t="n">
        <v>220909.375816629</v>
      </c>
      <c r="CF5" s="109" t="n">
        <v>0.402852978380924</v>
      </c>
      <c r="CG5" s="118" t="n">
        <v>3217.00237363184</v>
      </c>
      <c r="CH5" s="107" t="n">
        <v>224947.901812849</v>
      </c>
      <c r="CI5" s="109" t="n">
        <v>0.450286484931394</v>
      </c>
      <c r="CJ5" s="107" t="n">
        <v>226463.594497912</v>
      </c>
      <c r="CK5" s="109" t="n">
        <v>0.447272773465291</v>
      </c>
    </row>
    <row r="6" ht="16.5" customFormat="1" customHeight="1" s="39">
      <c r="A6" s="63" t="n">
        <v>45992</v>
      </c>
      <c r="B6" s="67" t="n"/>
      <c r="C6" s="67" t="n"/>
      <c r="D6" s="67" t="n"/>
      <c r="E6" s="67" t="n"/>
      <c r="F6" s="67" t="n"/>
      <c r="G6" s="67" t="n"/>
      <c r="H6" s="107" t="n">
        <v>90191.3030901001</v>
      </c>
      <c r="I6" s="118">
        <f>H6-CG6</f>
        <v/>
      </c>
      <c r="J6" s="107" t="n">
        <v>1218.80139310946</v>
      </c>
      <c r="K6" s="57" t="n">
        <v>74</v>
      </c>
      <c r="L6" s="57" t="n">
        <v>44</v>
      </c>
      <c r="M6" s="57" t="n">
        <v>46</v>
      </c>
      <c r="N6" s="57" t="n">
        <v>43</v>
      </c>
      <c r="O6" s="57" t="n">
        <v>41</v>
      </c>
      <c r="P6" s="57" t="n">
        <v>34</v>
      </c>
      <c r="Q6" s="57" t="n">
        <v>28</v>
      </c>
      <c r="R6" s="57" t="n">
        <v>34</v>
      </c>
      <c r="S6" s="57" t="n">
        <v>6</v>
      </c>
      <c r="T6" s="57" t="n">
        <v>8</v>
      </c>
      <c r="U6" s="107" t="n">
        <v>30003</v>
      </c>
      <c r="V6" s="107" t="n">
        <v>37001</v>
      </c>
      <c r="W6" s="108" t="n">
        <v>1</v>
      </c>
      <c r="X6" s="107" t="n">
        <v>4625.125</v>
      </c>
      <c r="Y6" s="108" t="n">
        <v>0.594594594594595</v>
      </c>
      <c r="Z6" s="108" t="n">
        <v>0.977272727272727</v>
      </c>
      <c r="AA6" s="108" t="n">
        <v>0.581081081081081</v>
      </c>
      <c r="AB6" s="108" t="n">
        <v>0.651162790697674</v>
      </c>
      <c r="AC6" s="108" t="n">
        <v>0.682926829268293</v>
      </c>
      <c r="AD6" s="108" t="n">
        <v>1</v>
      </c>
      <c r="AE6" s="108" t="n">
        <v>0.214285714285714</v>
      </c>
      <c r="AF6" s="108" t="n">
        <v>0.0810810810810811</v>
      </c>
      <c r="AG6" s="108" t="n">
        <v>0.108108108108108</v>
      </c>
      <c r="AH6" s="107" t="n">
        <v>110832.23456377</v>
      </c>
      <c r="AI6" s="109" t="n">
        <v>0.333846918684207</v>
      </c>
      <c r="AJ6" s="57" t="n">
        <v>34</v>
      </c>
      <c r="AK6" s="57" t="n">
        <v>34</v>
      </c>
      <c r="AL6" s="57" t="n">
        <v>36</v>
      </c>
      <c r="AM6" s="107" t="n">
        <v>5521.62504066014</v>
      </c>
      <c r="AN6" s="107" t="n">
        <v>6772.48205559117</v>
      </c>
      <c r="AO6" s="107" t="n">
        <v>4576.92628055601</v>
      </c>
      <c r="AP6" s="107" t="n">
        <v>740</v>
      </c>
      <c r="AQ6" s="107" t="n">
        <v>3029.89809686295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57" t="n">
        <v>0</v>
      </c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8" t="n"/>
      <c r="BE6" s="107" t="n"/>
      <c r="BF6" s="108" t="n"/>
      <c r="BG6" s="108" t="n"/>
      <c r="BH6" s="108" t="n"/>
      <c r="BI6" s="108" t="n"/>
      <c r="BJ6" s="108" t="n"/>
      <c r="BK6" s="108" t="n"/>
      <c r="BL6" s="108" t="n"/>
      <c r="BM6" s="108" t="n"/>
      <c r="BN6" s="108" t="n"/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107" t="n">
        <v>0</v>
      </c>
      <c r="BV6" s="107" t="n">
        <v>0</v>
      </c>
      <c r="BW6" s="107" t="n">
        <v>30003</v>
      </c>
      <c r="BX6" s="107" t="n">
        <v>37001</v>
      </c>
      <c r="BY6" s="108" t="n">
        <v>1</v>
      </c>
      <c r="BZ6" s="107" t="n">
        <v>15119.3064330101</v>
      </c>
      <c r="CA6" s="107" t="n">
        <v>13370.0696642366</v>
      </c>
      <c r="CB6" s="107" t="n">
        <v>5521.62504066014</v>
      </c>
      <c r="CC6" s="107" t="n">
        <v>90191.3030901001</v>
      </c>
      <c r="CD6" s="107" t="n">
        <v>89801.0244762808</v>
      </c>
      <c r="CE6" s="107" t="n">
        <v>108692.719181178</v>
      </c>
      <c r="CF6" s="109" t="n">
        <v>0.276035048400884</v>
      </c>
      <c r="CG6" s="118" t="n">
        <v>1561.11445527732</v>
      </c>
      <c r="CH6" s="107" t="n">
        <v>110832.23456377</v>
      </c>
      <c r="CI6" s="109" t="n">
        <v>0.333846918684207</v>
      </c>
      <c r="CJ6" s="107" t="n">
        <v>110860.60952311</v>
      </c>
      <c r="CK6" s="109" t="n">
        <v>0.333761470004246</v>
      </c>
    </row>
    <row r="7" ht="16.5" customFormat="1" customHeight="1" s="39">
      <c r="A7" s="63" t="n">
        <v>46023</v>
      </c>
      <c r="B7" s="67" t="n"/>
      <c r="C7" s="67" t="n"/>
      <c r="D7" s="67" t="n"/>
      <c r="E7" s="67" t="n"/>
      <c r="F7" s="67" t="n"/>
      <c r="G7" s="67" t="n"/>
      <c r="H7" s="107" t="n">
        <v>36728.556097561</v>
      </c>
      <c r="I7" s="118">
        <f>H7-CG7</f>
        <v/>
      </c>
      <c r="J7" s="107" t="n">
        <v>941.75784865541</v>
      </c>
      <c r="K7" s="57" t="n">
        <v>39</v>
      </c>
      <c r="L7" s="57" t="n">
        <v>22</v>
      </c>
      <c r="M7" s="57" t="n">
        <v>24</v>
      </c>
      <c r="N7" s="57" t="n">
        <v>22</v>
      </c>
      <c r="O7" s="57" t="n">
        <v>22</v>
      </c>
      <c r="P7" s="57" t="n">
        <v>21</v>
      </c>
      <c r="Q7" s="57" t="n">
        <v>17</v>
      </c>
      <c r="R7" s="57" t="n">
        <v>21</v>
      </c>
      <c r="S7" s="57" t="n">
        <v>6</v>
      </c>
      <c r="T7" s="57" t="n">
        <v>8</v>
      </c>
      <c r="U7" s="107" t="n">
        <v>26728</v>
      </c>
      <c r="V7" s="107" t="n">
        <v>39304</v>
      </c>
      <c r="W7" s="108" t="n">
        <v>1</v>
      </c>
      <c r="X7" s="107" t="n">
        <v>4913</v>
      </c>
      <c r="Y7" s="108" t="n">
        <v>0.564102564102564</v>
      </c>
      <c r="Z7" s="108" t="n">
        <v>1</v>
      </c>
      <c r="AA7" s="108" t="n">
        <v>0.564102564102564</v>
      </c>
      <c r="AB7" s="108" t="n">
        <v>0.772727272727273</v>
      </c>
      <c r="AC7" s="108" t="n">
        <v>0.772727272727273</v>
      </c>
      <c r="AD7" s="108" t="n">
        <v>1</v>
      </c>
      <c r="AE7" s="108" t="n">
        <v>0.352941176470588</v>
      </c>
      <c r="AF7" s="108" t="n">
        <v>0.153846153846154</v>
      </c>
      <c r="AG7" s="108" t="n">
        <v>0.205128205128205</v>
      </c>
      <c r="AH7" s="107" t="n">
        <v>51404.5612422319</v>
      </c>
      <c r="AI7" s="109" t="n">
        <v>0.7646014098785739</v>
      </c>
      <c r="AJ7" s="57" t="n">
        <v>21</v>
      </c>
      <c r="AK7" s="57" t="n">
        <v>21</v>
      </c>
      <c r="AL7" s="57" t="n">
        <v>24</v>
      </c>
      <c r="AM7" s="107" t="n">
        <v>3652.29067379326</v>
      </c>
      <c r="AN7" s="107" t="n">
        <v>3751.98108928462</v>
      </c>
      <c r="AO7" s="107" t="n">
        <v>4861.80131701774</v>
      </c>
      <c r="AP7" s="107" t="n">
        <v>390</v>
      </c>
      <c r="AQ7" s="107" t="n">
        <v>2019.9320645753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57" t="n">
        <v>0</v>
      </c>
      <c r="AX7" s="57" t="n">
        <v>0</v>
      </c>
      <c r="AY7" s="57" t="n">
        <v>0</v>
      </c>
      <c r="AZ7" s="57" t="n">
        <v>0</v>
      </c>
      <c r="BA7" s="57" t="n">
        <v>0</v>
      </c>
      <c r="BB7" s="107" t="n">
        <v>0</v>
      </c>
      <c r="BC7" s="107" t="n">
        <v>0</v>
      </c>
      <c r="BD7" s="108" t="n"/>
      <c r="BE7" s="107" t="n"/>
      <c r="BF7" s="108" t="n"/>
      <c r="BG7" s="108" t="n"/>
      <c r="BH7" s="108" t="n"/>
      <c r="BI7" s="108" t="n"/>
      <c r="BJ7" s="108" t="n"/>
      <c r="BK7" s="108" t="n"/>
      <c r="BL7" s="108" t="n"/>
      <c r="BM7" s="108" t="n"/>
      <c r="BN7" s="108" t="n"/>
      <c r="BO7" s="57" t="n">
        <v>0</v>
      </c>
      <c r="BP7" s="57" t="n">
        <v>0</v>
      </c>
      <c r="BQ7" s="57" t="n">
        <v>0</v>
      </c>
      <c r="BR7" s="107" t="n">
        <v>0</v>
      </c>
      <c r="BS7" s="107" t="n">
        <v>0</v>
      </c>
      <c r="BT7" s="107" t="n">
        <v>0</v>
      </c>
      <c r="BU7" s="107" t="n">
        <v>0</v>
      </c>
      <c r="BV7" s="107" t="n">
        <v>0</v>
      </c>
      <c r="BW7" s="107" t="n">
        <v>26728</v>
      </c>
      <c r="BX7" s="107" t="n">
        <v>39304</v>
      </c>
      <c r="BY7" s="108" t="n">
        <v>1</v>
      </c>
      <c r="BZ7" s="107" t="n">
        <v>11023.7144708777</v>
      </c>
      <c r="CA7" s="107" t="n">
        <v>8734.61211116831</v>
      </c>
      <c r="CB7" s="107" t="n">
        <v>3652.29067379326</v>
      </c>
      <c r="CC7" s="107" t="n">
        <v>36728.556097561</v>
      </c>
      <c r="CD7" s="107" t="n">
        <v>36728.556097561</v>
      </c>
      <c r="CE7" s="107" t="n">
        <v>49115.4588825226</v>
      </c>
      <c r="CF7" s="109" t="n">
        <v>0.5441871176227771</v>
      </c>
      <c r="CG7" s="118" t="n">
        <v>0</v>
      </c>
      <c r="CH7" s="107" t="n">
        <v>51404.5612422319</v>
      </c>
      <c r="CI7" s="109" t="n">
        <v>0.7646014098785739</v>
      </c>
      <c r="CJ7" s="107" t="n">
        <v>50677.2705684387</v>
      </c>
      <c r="CK7" s="109" t="n">
        <v>0.775574524024942</v>
      </c>
    </row>
    <row r="8" ht="30" customFormat="1" customHeight="1" s="40">
      <c r="A8" s="40" t="inlineStr">
        <is>
          <t>陈展鹏-汇总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 t="n"/>
      <c r="P8" s="57" t="n"/>
      <c r="Q8" s="57">
        <f>SUM(Q3:Q7)</f>
        <v/>
      </c>
      <c r="R8" s="57">
        <f>SUM(R3:R7)</f>
        <v/>
      </c>
      <c r="S8" s="57">
        <f>SUM(S3:S7)</f>
        <v/>
      </c>
      <c r="T8" s="57">
        <f>SUM(T3:T7)</f>
        <v/>
      </c>
      <c r="U8" s="107">
        <f>SUM(U3:U7)</f>
        <v/>
      </c>
      <c r="V8" s="107">
        <f>SUM(V3:V7)</f>
        <v/>
      </c>
      <c r="W8" s="57" t="n"/>
      <c r="X8" s="107">
        <f>V8/T8</f>
        <v/>
      </c>
      <c r="Y8" s="61">
        <f>L8/K8</f>
        <v/>
      </c>
      <c r="Z8" s="61">
        <f>N8/L8</f>
        <v/>
      </c>
      <c r="AA8" s="61">
        <f>N8/K8</f>
        <v/>
      </c>
      <c r="AB8" s="61">
        <f>Q8/N8</f>
        <v/>
      </c>
      <c r="AC8" s="61" t="n"/>
      <c r="AD8" s="61">
        <f>AVERAGE(AD3:AD7)</f>
        <v/>
      </c>
      <c r="AE8" s="61">
        <f>S8/Q8</f>
        <v/>
      </c>
      <c r="AF8" s="61">
        <f>S8/K8</f>
        <v/>
      </c>
      <c r="AG8" s="61">
        <f>T8/K8</f>
        <v/>
      </c>
      <c r="AH8" s="107">
        <f>SUM(AH3:AH7)</f>
        <v/>
      </c>
      <c r="AI8" s="109">
        <f>V8/AH8</f>
        <v/>
      </c>
      <c r="AJ8" s="57">
        <f>SUM(AJ3:AJ7)</f>
        <v/>
      </c>
      <c r="AK8" s="57">
        <f>SUM(AK3:AK7)</f>
        <v/>
      </c>
      <c r="AL8" s="57">
        <f>SUM(AL3:AL7)</f>
        <v/>
      </c>
      <c r="AM8" s="107">
        <f>SUM(AM3:AM7)</f>
        <v/>
      </c>
      <c r="AN8" s="107">
        <f>SUM(AN3:AN7)</f>
        <v/>
      </c>
      <c r="AO8" s="107">
        <f>SUM(AO3:AO7)</f>
        <v/>
      </c>
      <c r="AP8" s="107">
        <f>SUM(AP3:AP7)</f>
        <v/>
      </c>
      <c r="AQ8" s="107">
        <f>SUM(AQ3:AQ7)</f>
        <v/>
      </c>
      <c r="AR8" s="57">
        <f>SUM(AR3:AR7)</f>
        <v/>
      </c>
      <c r="AS8" s="57">
        <f>SUM(AS3:AS7)</f>
        <v/>
      </c>
      <c r="AT8" s="57" t="n"/>
      <c r="AU8" s="57">
        <f>SUM(AU3:AU7)</f>
        <v/>
      </c>
      <c r="AV8" s="57" t="n"/>
      <c r="AW8" s="57" t="n"/>
      <c r="AX8" s="57">
        <f>SUM(AX3:AX7)</f>
        <v/>
      </c>
      <c r="AY8" s="57">
        <f>SUM(AY3:AY7)</f>
        <v/>
      </c>
      <c r="AZ8" s="57">
        <f>SUM(AZ3:AZ7)</f>
        <v/>
      </c>
      <c r="BA8" s="57">
        <f>SUM(BA3:BA7)</f>
        <v/>
      </c>
      <c r="BB8" s="107">
        <f>SUM(BB3:BB7)</f>
        <v/>
      </c>
      <c r="BC8" s="107">
        <f>SUM(BC3:BC7)</f>
        <v/>
      </c>
      <c r="BD8" s="107" t="n"/>
      <c r="BE8" s="107">
        <f>BC8/BA8</f>
        <v/>
      </c>
      <c r="BF8" s="62">
        <f>AS8/AR8</f>
        <v/>
      </c>
      <c r="BG8" s="62">
        <f>AU8/AS8</f>
        <v/>
      </c>
      <c r="BH8" s="62">
        <f>AU8/AR8</f>
        <v/>
      </c>
      <c r="BI8" s="62">
        <f>AX8/AU8</f>
        <v/>
      </c>
      <c r="BJ8" s="62" t="n"/>
      <c r="BK8" s="62">
        <f>AVERAGE(BK3:BK7)</f>
        <v/>
      </c>
      <c r="BL8" s="62">
        <f>AZ8/AX8</f>
        <v/>
      </c>
      <c r="BM8" s="62">
        <f>AZ8/AR8</f>
        <v/>
      </c>
      <c r="BN8" s="62">
        <f>BA8/AR8</f>
        <v/>
      </c>
      <c r="BO8" s="57">
        <f>SUM(BO3:BO7)</f>
        <v/>
      </c>
      <c r="BP8" s="57">
        <f>SUM(BP3:BP7)</f>
        <v/>
      </c>
      <c r="BQ8" s="57">
        <f>SUM(BQ3:BQ7)</f>
        <v/>
      </c>
      <c r="BR8" s="107">
        <f>SUM(BR3:BR7)</f>
        <v/>
      </c>
      <c r="BS8" s="107">
        <f>SUM(BS3:BS7)</f>
        <v/>
      </c>
      <c r="BT8" s="107">
        <f>SUM(BT3:BT7)</f>
        <v/>
      </c>
      <c r="BU8" s="57">
        <f>SUM(BU3:BU7)</f>
        <v/>
      </c>
      <c r="BV8" s="57">
        <f>SUM(BV3:BV7)</f>
        <v/>
      </c>
      <c r="BW8" s="107">
        <f>SUM(BW3:BW7)</f>
        <v/>
      </c>
      <c r="BX8" s="107">
        <f>SUM(BX3:BX7)</f>
        <v/>
      </c>
      <c r="BY8" s="107" t="n"/>
      <c r="BZ8" s="107">
        <f>SUM(BZ3:BZ7)</f>
        <v/>
      </c>
      <c r="CA8" s="107">
        <f>SUM(CA3:CA7)</f>
        <v/>
      </c>
      <c r="CB8" s="107">
        <f>SUM(CB3:CB7)</f>
        <v/>
      </c>
      <c r="CC8" s="107">
        <f>SUM(CC3:CC7)</f>
        <v/>
      </c>
      <c r="CD8" s="107">
        <f>SUM(CD3:CD7)</f>
        <v/>
      </c>
      <c r="CE8" s="107">
        <f>SUM(CE3:CE7)</f>
        <v/>
      </c>
      <c r="CF8" s="109">
        <f>BW8/CE8</f>
        <v/>
      </c>
      <c r="CG8" s="107">
        <f>SUM(CG3:CG7)</f>
        <v/>
      </c>
      <c r="CH8" s="107">
        <f>SUM(CH3:CH7)</f>
        <v/>
      </c>
      <c r="CI8" s="109">
        <f>BX8/CH8</f>
        <v/>
      </c>
      <c r="CJ8" s="107">
        <f>SUM(CJ3:CJ7)</f>
        <v/>
      </c>
      <c r="CK8" s="109">
        <f>BX8/CJ8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L7"/>
  <sheetViews>
    <sheetView topLeftCell="BM1" zoomScale="70" zoomScaleNormal="70" workbookViewId="0">
      <selection activeCell="H6" sqref="H6:CK7"/>
    </sheetView>
  </sheetViews>
  <sheetFormatPr baseColWidth="8" defaultColWidth="8.891666666666669" defaultRowHeight="14.25" outlineLevelRow="6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45931</v>
      </c>
      <c r="B3" s="67" t="n"/>
      <c r="C3" s="67" t="n"/>
      <c r="D3" s="67" t="n"/>
      <c r="E3" s="67" t="n"/>
      <c r="F3" s="67" t="n"/>
      <c r="G3" s="67" t="n"/>
      <c r="H3" s="107" t="n">
        <v>100241.815310137</v>
      </c>
      <c r="I3" s="107" t="n">
        <v>99169.9804877354</v>
      </c>
      <c r="J3" s="107" t="n">
        <v>481.40767227056</v>
      </c>
      <c r="K3" s="57" t="n">
        <v>206</v>
      </c>
      <c r="L3" s="57" t="n">
        <v>43</v>
      </c>
      <c r="M3" s="57" t="n">
        <v>43</v>
      </c>
      <c r="N3" s="57" t="n">
        <v>42</v>
      </c>
      <c r="O3" s="57" t="n"/>
      <c r="P3" s="57" t="n"/>
      <c r="Q3" s="57" t="n">
        <v>33</v>
      </c>
      <c r="R3" s="57" t="n">
        <v>33</v>
      </c>
      <c r="S3" s="57" t="n">
        <v>6</v>
      </c>
      <c r="T3" s="57" t="n">
        <v>6</v>
      </c>
      <c r="U3" s="107" t="n">
        <v>24550</v>
      </c>
      <c r="V3" s="107" t="n">
        <v>24550</v>
      </c>
      <c r="W3" s="57" t="n"/>
      <c r="X3" s="107" t="n">
        <v>4091.66666666667</v>
      </c>
      <c r="Y3" s="61" t="n">
        <v>0.20873786407767</v>
      </c>
      <c r="Z3" s="61" t="n">
        <v>0.976744186046512</v>
      </c>
      <c r="AA3" s="61" t="n">
        <v>0.203883495145631</v>
      </c>
      <c r="AB3" s="61" t="n">
        <v>0.785714285714286</v>
      </c>
      <c r="AC3" s="61" t="n"/>
      <c r="AD3" s="61" t="n">
        <v>1</v>
      </c>
      <c r="AE3" s="61" t="n">
        <v>0.181818181818182</v>
      </c>
      <c r="AF3" s="61" t="n">
        <v>0.029126213592233</v>
      </c>
      <c r="AG3" s="61" t="n">
        <v>0.029126213592233</v>
      </c>
      <c r="AH3" s="107" t="n">
        <v>118376.511638109</v>
      </c>
      <c r="AI3" s="109" t="n">
        <v>0.207389115123212</v>
      </c>
      <c r="AJ3" s="57" t="n">
        <v>33</v>
      </c>
      <c r="AK3" s="57" t="n">
        <v>33</v>
      </c>
      <c r="AL3" s="57" t="n">
        <v>33</v>
      </c>
      <c r="AM3" s="107" t="n">
        <v>12871.8462091392</v>
      </c>
      <c r="AN3" s="107" t="n">
        <v>6116.63653430633</v>
      </c>
      <c r="AO3" s="107" t="n">
        <v>2700.54148031422</v>
      </c>
      <c r="AP3" s="107" t="n">
        <v>2060</v>
      </c>
      <c r="AQ3" s="107" t="n">
        <v>2797.27483591938</v>
      </c>
      <c r="AR3" s="57" t="n">
        <v>0</v>
      </c>
      <c r="AS3" s="57" t="n">
        <v>0</v>
      </c>
      <c r="AT3" s="57" t="n"/>
      <c r="AU3" s="57" t="n">
        <v>0</v>
      </c>
      <c r="AV3" s="57" t="n"/>
      <c r="AW3" s="57" t="n"/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7" t="n"/>
      <c r="BE3" s="107" t="e">
        <v>#DIV/0!</v>
      </c>
      <c r="BF3" s="62" t="e">
        <v>#DIV/0!</v>
      </c>
      <c r="BG3" s="62" t="e">
        <v>#DIV/0!</v>
      </c>
      <c r="BH3" s="62" t="e">
        <v>#DIV/0!</v>
      </c>
      <c r="BI3" s="62" t="e">
        <v>#DIV/0!</v>
      </c>
      <c r="BJ3" s="62" t="n"/>
      <c r="BK3" s="62" t="e">
        <v>#DIV/0!</v>
      </c>
      <c r="BL3" s="62" t="e">
        <v>#DIV/0!</v>
      </c>
      <c r="BM3" s="62" t="e">
        <v>#DIV/0!</v>
      </c>
      <c r="BN3" s="62" t="e">
        <v>#DIV/0!</v>
      </c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57" t="n">
        <v>0</v>
      </c>
      <c r="BV3" s="57" t="n">
        <v>0</v>
      </c>
      <c r="BW3" s="107" t="n">
        <v>24550</v>
      </c>
      <c r="BX3" s="107" t="n">
        <v>24550</v>
      </c>
      <c r="BY3" s="107" t="n"/>
      <c r="BZ3" s="107" t="n">
        <v>13674.4528505399</v>
      </c>
      <c r="CA3" s="107" t="n">
        <v>13674.4528505399</v>
      </c>
      <c r="CB3" s="107" t="n">
        <v>12871.8462091392</v>
      </c>
      <c r="CC3" s="107" t="n">
        <v>100241.815310137</v>
      </c>
      <c r="CD3" s="107" t="n">
        <v>100241.815310137</v>
      </c>
      <c r="CE3" s="107" t="n">
        <v>118376.511638109</v>
      </c>
      <c r="CF3" s="109" t="n">
        <v>0.207389115123212</v>
      </c>
      <c r="CG3" s="107" t="n">
        <v>1071.83482240147</v>
      </c>
      <c r="CH3" s="107" t="n">
        <v>118376.511638109</v>
      </c>
      <c r="CI3" s="109" t="n">
        <v>0.207389115123212</v>
      </c>
      <c r="CJ3" s="107" t="n">
        <v>120954.665428969</v>
      </c>
      <c r="CK3" s="109" t="n">
        <v>0.202968607394619</v>
      </c>
    </row>
    <row r="4" ht="16.5" customFormat="1" customHeight="1" s="39">
      <c r="A4" s="63" t="n">
        <v>45962</v>
      </c>
      <c r="B4" s="67" t="n"/>
      <c r="C4" s="67" t="n"/>
      <c r="D4" s="67" t="n"/>
      <c r="E4" s="67" t="n"/>
      <c r="F4" s="67" t="n"/>
      <c r="G4" s="67" t="n"/>
      <c r="H4" s="107" t="n">
        <v>108116.396752977</v>
      </c>
      <c r="I4" s="107" t="n">
        <v>104363.227317073</v>
      </c>
      <c r="J4" s="107" t="n">
        <v>719.74639529016</v>
      </c>
      <c r="K4" s="57" t="n">
        <v>145</v>
      </c>
      <c r="L4" s="57" t="n">
        <v>61</v>
      </c>
      <c r="M4" s="57" t="n">
        <v>63</v>
      </c>
      <c r="N4" s="57" t="n">
        <v>61</v>
      </c>
      <c r="O4" s="57" t="n"/>
      <c r="P4" s="57" t="n"/>
      <c r="Q4" s="57" t="n">
        <v>40</v>
      </c>
      <c r="R4" s="57" t="n">
        <v>47</v>
      </c>
      <c r="S4" s="57" t="n">
        <v>15</v>
      </c>
      <c r="T4" s="57" t="n">
        <v>21</v>
      </c>
      <c r="U4" s="107" t="n">
        <v>86834</v>
      </c>
      <c r="V4" s="107" t="n">
        <v>116468</v>
      </c>
      <c r="W4" s="57" t="n"/>
      <c r="X4" s="107" t="n">
        <v>5546.09523809524</v>
      </c>
      <c r="Y4" s="61" t="n">
        <v>0.420689655172414</v>
      </c>
      <c r="Z4" s="61" t="n">
        <v>1</v>
      </c>
      <c r="AA4" s="61" t="n">
        <v>0.420689655172414</v>
      </c>
      <c r="AB4" s="61" t="n">
        <v>0.655737704918033</v>
      </c>
      <c r="AC4" s="61" t="n"/>
      <c r="AD4" s="61" t="n">
        <v>0.984848484848485</v>
      </c>
      <c r="AE4" s="61" t="n">
        <v>0.375</v>
      </c>
      <c r="AF4" s="61" t="n">
        <v>0.103448275862069</v>
      </c>
      <c r="AG4" s="61" t="n">
        <v>0.144827586206897</v>
      </c>
      <c r="AH4" s="107" t="n">
        <v>143580.495629709</v>
      </c>
      <c r="AI4" s="109" t="n">
        <v>0.8111686722433979</v>
      </c>
      <c r="AJ4" s="57" t="n">
        <v>48</v>
      </c>
      <c r="AK4" s="57" t="n">
        <v>47</v>
      </c>
      <c r="AL4" s="57" t="n">
        <v>51</v>
      </c>
      <c r="AM4" s="107" t="n">
        <v>9438.55922003824</v>
      </c>
      <c r="AN4" s="107" t="n">
        <v>7440.80175929481</v>
      </c>
      <c r="AO4" s="107" t="n">
        <v>12811.6767873416</v>
      </c>
      <c r="AP4" s="107" t="n">
        <v>1450</v>
      </c>
      <c r="AQ4" s="107" t="n">
        <v>4323.06111005722</v>
      </c>
      <c r="AR4" s="57" t="n">
        <v>0</v>
      </c>
      <c r="AS4" s="57" t="n">
        <v>0</v>
      </c>
      <c r="AT4" s="57" t="n"/>
      <c r="AU4" s="57" t="n">
        <v>0</v>
      </c>
      <c r="AV4" s="57" t="n"/>
      <c r="AW4" s="57" t="n"/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7" t="n"/>
      <c r="BE4" s="107" t="e">
        <v>#DIV/0!</v>
      </c>
      <c r="BF4" s="62" t="e">
        <v>#DIV/0!</v>
      </c>
      <c r="BG4" s="62" t="e">
        <v>#DIV/0!</v>
      </c>
      <c r="BH4" s="62" t="e">
        <v>#DIV/0!</v>
      </c>
      <c r="BI4" s="62" t="e">
        <v>#DIV/0!</v>
      </c>
      <c r="BJ4" s="62" t="n"/>
      <c r="BK4" s="62" t="e">
        <v>#DIV/0!</v>
      </c>
      <c r="BL4" s="62" t="e">
        <v>#DIV/0!</v>
      </c>
      <c r="BM4" s="62" t="e">
        <v>#DIV/0!</v>
      </c>
      <c r="BN4" s="62" t="e">
        <v>#DIV/0!</v>
      </c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57" t="n">
        <v>0</v>
      </c>
      <c r="BV4" s="57" t="n">
        <v>0</v>
      </c>
      <c r="BW4" s="107" t="n">
        <v>86834</v>
      </c>
      <c r="BX4" s="107" t="n">
        <v>116468</v>
      </c>
      <c r="BY4" s="107" t="n"/>
      <c r="BZ4" s="107" t="n">
        <v>26025.5396566937</v>
      </c>
      <c r="CA4" s="107" t="n">
        <v>21851.406424505</v>
      </c>
      <c r="CB4" s="107" t="n">
        <v>9438.55922003824</v>
      </c>
      <c r="CC4" s="107" t="n">
        <v>108116.396752977</v>
      </c>
      <c r="CD4" s="107" t="n">
        <v>107044.062628433</v>
      </c>
      <c r="CE4" s="107" t="n">
        <v>138334.028272976</v>
      </c>
      <c r="CF4" s="109" t="n">
        <v>0.627712509236334</v>
      </c>
      <c r="CG4" s="107" t="n">
        <v>3753.16943590381</v>
      </c>
      <c r="CH4" s="107" t="n">
        <v>143580.495629709</v>
      </c>
      <c r="CI4" s="109" t="n">
        <v>0.8111686722433979</v>
      </c>
      <c r="CJ4" s="107" t="n">
        <v>145016.936409671</v>
      </c>
      <c r="CK4" s="109" t="n">
        <v>0.80313377791253</v>
      </c>
    </row>
    <row r="5" ht="16.5" customFormat="1" customHeight="1" s="39">
      <c r="A5" s="63" t="n">
        <v>45992</v>
      </c>
      <c r="B5" s="67" t="n"/>
      <c r="C5" s="67" t="n"/>
      <c r="D5" s="67" t="n"/>
      <c r="E5" s="67" t="n"/>
      <c r="F5" s="67" t="n"/>
      <c r="G5" s="67" t="n"/>
      <c r="H5" s="107" t="n">
        <v>87014.3916394843</v>
      </c>
      <c r="I5" s="107" t="n">
        <v>84477.5806496586</v>
      </c>
      <c r="J5" s="107" t="n">
        <v>993.853889995984</v>
      </c>
      <c r="K5" s="57" t="n">
        <v>85</v>
      </c>
      <c r="L5" s="57" t="n">
        <v>46</v>
      </c>
      <c r="M5" s="57" t="n">
        <v>48</v>
      </c>
      <c r="N5" s="57" t="n">
        <v>47</v>
      </c>
      <c r="O5" s="57" t="n">
        <v>47</v>
      </c>
      <c r="P5" s="57" t="n">
        <v>43</v>
      </c>
      <c r="Q5" s="57" t="n">
        <v>35</v>
      </c>
      <c r="R5" s="57" t="n">
        <v>43</v>
      </c>
      <c r="S5" s="57" t="n">
        <v>12</v>
      </c>
      <c r="T5" s="57" t="n">
        <v>13</v>
      </c>
      <c r="U5" s="107" t="n">
        <v>60348</v>
      </c>
      <c r="V5" s="107" t="n">
        <v>65647</v>
      </c>
      <c r="W5" s="57" t="n"/>
      <c r="X5" s="107" t="n">
        <v>5049.76923076923</v>
      </c>
      <c r="Y5" s="61" t="n">
        <v>0.541176470588235</v>
      </c>
      <c r="Z5" s="61" t="n">
        <v>1.02173913043478</v>
      </c>
      <c r="AA5" s="61" t="n">
        <v>0.552941176470588</v>
      </c>
      <c r="AB5" s="61" t="n">
        <v>0.74468085106383</v>
      </c>
      <c r="AC5" s="61" t="n">
        <v>0.74468085106383</v>
      </c>
      <c r="AD5" s="61" t="n">
        <v>1</v>
      </c>
      <c r="AE5" s="61" t="n">
        <v>0.342857142857143</v>
      </c>
      <c r="AF5" s="61" t="n">
        <v>0.141176470588235</v>
      </c>
      <c r="AG5" s="61" t="n">
        <v>0.152941176470588</v>
      </c>
      <c r="AH5" s="107" t="n">
        <v>113433.961765953</v>
      </c>
      <c r="AI5" s="109" t="n">
        <v>0.57872438710594</v>
      </c>
      <c r="AJ5" s="57" t="n">
        <v>43</v>
      </c>
      <c r="AK5" s="57" t="n">
        <v>43</v>
      </c>
      <c r="AL5" s="57" t="n">
        <v>48</v>
      </c>
      <c r="AM5" s="107" t="n">
        <v>6342.40714129881</v>
      </c>
      <c r="AN5" s="107" t="n">
        <v>7066.93779713861</v>
      </c>
      <c r="AO5" s="107" t="n">
        <v>8120.36105888113</v>
      </c>
      <c r="AP5" s="107" t="n">
        <v>850</v>
      </c>
      <c r="AQ5" s="107" t="n">
        <v>4039.86412915059</v>
      </c>
      <c r="AR5" s="57" t="n">
        <v>0</v>
      </c>
      <c r="AS5" s="57" t="n">
        <v>0</v>
      </c>
      <c r="AT5" s="57" t="n"/>
      <c r="AU5" s="57" t="n">
        <v>0</v>
      </c>
      <c r="AV5" s="57" t="n"/>
      <c r="AW5" s="57" t="n"/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7" t="n"/>
      <c r="BE5" s="107" t="e">
        <v>#DIV/0!</v>
      </c>
      <c r="BF5" s="62" t="e">
        <v>#DIV/0!</v>
      </c>
      <c r="BG5" s="62" t="e">
        <v>#DIV/0!</v>
      </c>
      <c r="BH5" s="62" t="e">
        <v>#DIV/0!</v>
      </c>
      <c r="BI5" s="62" t="e">
        <v>#DIV/0!</v>
      </c>
      <c r="BJ5" s="62" t="n"/>
      <c r="BK5" s="62" t="e">
        <v>#DIV/0!</v>
      </c>
      <c r="BL5" s="62" t="e">
        <v>#DIV/0!</v>
      </c>
      <c r="BM5" s="62" t="e">
        <v>#DIV/0!</v>
      </c>
      <c r="BN5" s="62" t="e">
        <v>#DIV/0!</v>
      </c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57" t="n">
        <v>0</v>
      </c>
      <c r="BV5" s="57" t="n">
        <v>0</v>
      </c>
      <c r="BW5" s="107" t="n">
        <v>60348</v>
      </c>
      <c r="BX5" s="107" t="n">
        <v>65647</v>
      </c>
      <c r="BY5" s="107" t="n"/>
      <c r="BZ5" s="107" t="n">
        <v>20077.1629851703</v>
      </c>
      <c r="CA5" s="107" t="n">
        <v>18453.9242070982</v>
      </c>
      <c r="CB5" s="107" t="n">
        <v>6342.40714129881</v>
      </c>
      <c r="CC5" s="107" t="n">
        <v>87014.3916394843</v>
      </c>
      <c r="CD5" s="107" t="n">
        <v>86819.2523325746</v>
      </c>
      <c r="CE5" s="107" t="n">
        <v>111615.583680972</v>
      </c>
      <c r="CF5" s="109" t="n">
        <v>0.540677188702353</v>
      </c>
      <c r="CG5" s="107" t="n">
        <v>2536.81098982565</v>
      </c>
      <c r="CH5" s="107" t="n">
        <v>113433.961765953</v>
      </c>
      <c r="CI5" s="109" t="n">
        <v>0.57872438710594</v>
      </c>
      <c r="CJ5" s="107" t="n">
        <v>113466.554624655</v>
      </c>
      <c r="CK5" s="109" t="n">
        <v>0.578558150612391</v>
      </c>
    </row>
    <row r="6" ht="16.5" customFormat="1" customHeight="1" s="39">
      <c r="A6" s="63" t="n">
        <v>46023</v>
      </c>
      <c r="B6" s="67" t="n"/>
      <c r="C6" s="67" t="n"/>
      <c r="D6" s="67" t="n"/>
      <c r="E6" s="67" t="n"/>
      <c r="F6" s="67" t="n"/>
      <c r="G6" s="67" t="n"/>
      <c r="H6" s="107" t="n">
        <v>23325.7808434972</v>
      </c>
      <c r="I6" s="107" t="n">
        <v>23325.7808434972</v>
      </c>
      <c r="J6" s="107" t="n">
        <v>777.526028116573</v>
      </c>
      <c r="K6" s="57" t="n">
        <v>30</v>
      </c>
      <c r="L6" s="57" t="n">
        <v>15</v>
      </c>
      <c r="M6" s="57" t="n">
        <v>15</v>
      </c>
      <c r="N6" s="57" t="n">
        <v>13</v>
      </c>
      <c r="O6" s="57" t="n">
        <v>13</v>
      </c>
      <c r="P6" s="57" t="n">
        <v>12</v>
      </c>
      <c r="Q6" s="57" t="n">
        <v>9</v>
      </c>
      <c r="R6" s="57" t="n">
        <v>12</v>
      </c>
      <c r="S6" s="57" t="n">
        <v>2</v>
      </c>
      <c r="T6" s="57" t="n">
        <v>2</v>
      </c>
      <c r="U6" s="107" t="n">
        <v>12576</v>
      </c>
      <c r="V6" s="107" t="n">
        <v>12576</v>
      </c>
      <c r="W6" s="57" t="n"/>
      <c r="X6" s="107" t="n">
        <v>6288</v>
      </c>
      <c r="Y6" s="61" t="n">
        <v>0.5</v>
      </c>
      <c r="Z6" s="61" t="n">
        <v>0.866666666666667</v>
      </c>
      <c r="AA6" s="61" t="n">
        <v>0.433333333333333</v>
      </c>
      <c r="AB6" s="61" t="n">
        <v>0.692307692307692</v>
      </c>
      <c r="AC6" s="61" t="n">
        <v>0.692307692307692</v>
      </c>
      <c r="AD6" s="61" t="n">
        <v>1</v>
      </c>
      <c r="AE6" s="61" t="n">
        <v>0.222222222222222</v>
      </c>
      <c r="AF6" s="61" t="n">
        <v>0.06666666666666669</v>
      </c>
      <c r="AG6" s="61" t="n">
        <v>0.06666666666666669</v>
      </c>
      <c r="AH6" s="107" t="n">
        <v>18916.3291053871</v>
      </c>
      <c r="AI6" s="109" t="n">
        <v>0.664822436210341</v>
      </c>
      <c r="AJ6" s="57" t="n">
        <v>12</v>
      </c>
      <c r="AK6" s="57" t="n">
        <v>12</v>
      </c>
      <c r="AL6" s="57" t="n">
        <v>12</v>
      </c>
      <c r="AM6" s="107" t="n">
        <v>2809.45436445635</v>
      </c>
      <c r="AN6" s="107" t="n">
        <v>2344.98818080288</v>
      </c>
      <c r="AO6" s="107" t="n">
        <v>1555.61808881577</v>
      </c>
      <c r="AP6" s="107" t="n">
        <v>300</v>
      </c>
      <c r="AQ6" s="107" t="n">
        <v>1009.96603228765</v>
      </c>
      <c r="AR6" s="57" t="n">
        <v>0</v>
      </c>
      <c r="AS6" s="57" t="n">
        <v>0</v>
      </c>
      <c r="AT6" s="57" t="n"/>
      <c r="AU6" s="57" t="n">
        <v>0</v>
      </c>
      <c r="AV6" s="57" t="n"/>
      <c r="AW6" s="57" t="n"/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7" t="n"/>
      <c r="BE6" s="107" t="e">
        <v>#DIV/0!</v>
      </c>
      <c r="BF6" s="62" t="e">
        <v>#DIV/0!</v>
      </c>
      <c r="BG6" s="62" t="e">
        <v>#DIV/0!</v>
      </c>
      <c r="BH6" s="62" t="e">
        <v>#DIV/0!</v>
      </c>
      <c r="BI6" s="62" t="e">
        <v>#DIV/0!</v>
      </c>
      <c r="BJ6" s="62" t="n"/>
      <c r="BK6" s="62" t="e">
        <v>#DIV/0!</v>
      </c>
      <c r="BL6" s="62" t="e">
        <v>#DIV/0!</v>
      </c>
      <c r="BM6" s="62" t="e">
        <v>#DIV/0!</v>
      </c>
      <c r="BN6" s="62" t="e">
        <v>#DIV/0!</v>
      </c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57" t="n">
        <v>0</v>
      </c>
      <c r="BV6" s="57" t="n">
        <v>0</v>
      </c>
      <c r="BW6" s="107" t="n">
        <v>12576</v>
      </c>
      <c r="BX6" s="107" t="n">
        <v>12576</v>
      </c>
      <c r="BY6" s="107" t="n"/>
      <c r="BZ6" s="107" t="n">
        <v>5210.57230190631</v>
      </c>
      <c r="CA6" s="107" t="n">
        <v>4958.08079383439</v>
      </c>
      <c r="CB6" s="107" t="n">
        <v>2809.45436445635</v>
      </c>
      <c r="CC6" s="107" t="n">
        <v>23325.7808434972</v>
      </c>
      <c r="CD6" s="107" t="n">
        <v>23325.7808434972</v>
      </c>
      <c r="CE6" s="107" t="n">
        <v>18663.8375973151</v>
      </c>
      <c r="CF6" s="109" t="n">
        <v>0.673816407500733</v>
      </c>
      <c r="CG6" s="107" t="n">
        <v>0</v>
      </c>
      <c r="CH6" s="107" t="n">
        <v>18916.3291053871</v>
      </c>
      <c r="CI6" s="109" t="n">
        <v>0.664822436210341</v>
      </c>
      <c r="CJ6" s="107" t="n">
        <v>18356.8747409307</v>
      </c>
      <c r="CK6" s="109" t="n">
        <v>0.6850839359904241</v>
      </c>
    </row>
    <row r="7" ht="30" customFormat="1" customHeight="1" s="40">
      <c r="A7" s="40" t="inlineStr">
        <is>
          <t>專家鄧明儀-汇总</t>
        </is>
      </c>
      <c r="B7" s="57" t="n"/>
      <c r="C7" s="57" t="n"/>
      <c r="D7" s="57" t="n"/>
      <c r="E7" s="57" t="n"/>
      <c r="F7" s="57" t="n"/>
      <c r="G7" s="57" t="n"/>
      <c r="H7" s="107">
        <f>SUM(H3:H6)</f>
        <v/>
      </c>
      <c r="I7" s="107">
        <f>SUM(I3:I6)</f>
        <v/>
      </c>
      <c r="J7" s="107">
        <f>I7/K7</f>
        <v/>
      </c>
      <c r="K7" s="57">
        <f>SUM(K3:K6)</f>
        <v/>
      </c>
      <c r="L7" s="57">
        <f>SUM(L3:L6)</f>
        <v/>
      </c>
      <c r="M7" s="57">
        <f>SUM(M3:M6)</f>
        <v/>
      </c>
      <c r="N7" s="57">
        <f>SUM(N3:N6)</f>
        <v/>
      </c>
      <c r="O7" s="57" t="n"/>
      <c r="P7" s="57" t="n"/>
      <c r="Q7" s="57">
        <f>SUM(Q3:Q6)</f>
        <v/>
      </c>
      <c r="R7" s="57">
        <f>SUM(R3:R6)</f>
        <v/>
      </c>
      <c r="S7" s="57">
        <f>SUM(S3:S6)</f>
        <v/>
      </c>
      <c r="T7" s="57">
        <f>SUM(T3:T6)</f>
        <v/>
      </c>
      <c r="U7" s="107">
        <f>SUM(U3:U6)</f>
        <v/>
      </c>
      <c r="V7" s="107">
        <f>SUM(V3:V6)</f>
        <v/>
      </c>
      <c r="W7" s="57" t="n"/>
      <c r="X7" s="107">
        <f>V7/T7</f>
        <v/>
      </c>
      <c r="Y7" s="61">
        <f>L7/K7</f>
        <v/>
      </c>
      <c r="Z7" s="61">
        <f>N7/L7</f>
        <v/>
      </c>
      <c r="AA7" s="61">
        <f>N7/K7</f>
        <v/>
      </c>
      <c r="AB7" s="61">
        <f>Q7/N7</f>
        <v/>
      </c>
      <c r="AC7" s="61" t="n"/>
      <c r="AD7" s="61">
        <f>AVERAGE(AD3:AD6)</f>
        <v/>
      </c>
      <c r="AE7" s="61">
        <f>S7/Q7</f>
        <v/>
      </c>
      <c r="AF7" s="61">
        <f>S7/K7</f>
        <v/>
      </c>
      <c r="AG7" s="61">
        <f>T7/K7</f>
        <v/>
      </c>
      <c r="AH7" s="107">
        <f>SUM(AH3:AH6)</f>
        <v/>
      </c>
      <c r="AI7" s="109">
        <f>V7/AH7</f>
        <v/>
      </c>
      <c r="AJ7" s="57">
        <f>SUM(AJ3:AJ6)</f>
        <v/>
      </c>
      <c r="AK7" s="57">
        <f>SUM(AK3:AK6)</f>
        <v/>
      </c>
      <c r="AL7" s="57">
        <f>SUM(AL3:AL6)</f>
        <v/>
      </c>
      <c r="AM7" s="107">
        <f>SUM(AM3:AM6)</f>
        <v/>
      </c>
      <c r="AN7" s="107">
        <f>SUM(AN3:AN6)</f>
        <v/>
      </c>
      <c r="AO7" s="107">
        <f>SUM(AO3:AO6)</f>
        <v/>
      </c>
      <c r="AP7" s="107">
        <f>SUM(AP3:AP6)</f>
        <v/>
      </c>
      <c r="AQ7" s="107">
        <f>SUM(AQ3:AQ6)</f>
        <v/>
      </c>
      <c r="AR7" s="57">
        <f>SUM(AR3:AR6)</f>
        <v/>
      </c>
      <c r="AS7" s="57">
        <f>SUM(AS3:AS6)</f>
        <v/>
      </c>
      <c r="AT7" s="57" t="n"/>
      <c r="AU7" s="57">
        <f>SUM(AU3:AU6)</f>
        <v/>
      </c>
      <c r="AV7" s="57" t="n"/>
      <c r="AW7" s="57" t="n"/>
      <c r="AX7" s="57">
        <f>SUM(AX3:AX6)</f>
        <v/>
      </c>
      <c r="AY7" s="57">
        <f>SUM(AY3:AY6)</f>
        <v/>
      </c>
      <c r="AZ7" s="57">
        <f>SUM(AZ3:AZ6)</f>
        <v/>
      </c>
      <c r="BA7" s="57">
        <f>SUM(BA3:BA6)</f>
        <v/>
      </c>
      <c r="BB7" s="107">
        <f>SUM(BB3:BB6)</f>
        <v/>
      </c>
      <c r="BC7" s="107">
        <f>SUM(BC3:BC6)</f>
        <v/>
      </c>
      <c r="BD7" s="107" t="n"/>
      <c r="BE7" s="107">
        <f>BC7/BA7</f>
        <v/>
      </c>
      <c r="BF7" s="62">
        <f>AS7/AR7</f>
        <v/>
      </c>
      <c r="BG7" s="62">
        <f>AU7/AS7</f>
        <v/>
      </c>
      <c r="BH7" s="62">
        <f>AU7/AR7</f>
        <v/>
      </c>
      <c r="BI7" s="62">
        <f>AX7/AU7</f>
        <v/>
      </c>
      <c r="BJ7" s="62" t="n"/>
      <c r="BK7" s="62">
        <f>AVERAGE(BK3:BK6)</f>
        <v/>
      </c>
      <c r="BL7" s="62">
        <f>AZ7/AX7</f>
        <v/>
      </c>
      <c r="BM7" s="62">
        <f>AZ7/AR7</f>
        <v/>
      </c>
      <c r="BN7" s="62">
        <f>BA7/AR7</f>
        <v/>
      </c>
      <c r="BO7" s="57">
        <f>SUM(BO3:BO6)</f>
        <v/>
      </c>
      <c r="BP7" s="57">
        <f>SUM(BP3:BP6)</f>
        <v/>
      </c>
      <c r="BQ7" s="57">
        <f>SUM(BQ3:BQ6)</f>
        <v/>
      </c>
      <c r="BR7" s="107">
        <f>SUM(BR3:BR6)</f>
        <v/>
      </c>
      <c r="BS7" s="107">
        <f>SUM(BS3:BS6)</f>
        <v/>
      </c>
      <c r="BT7" s="107">
        <f>SUM(BT3:BT6)</f>
        <v/>
      </c>
      <c r="BU7" s="57">
        <f>SUM(BU3:BU6)</f>
        <v/>
      </c>
      <c r="BV7" s="57">
        <f>SUM(BV3:BV6)</f>
        <v/>
      </c>
      <c r="BW7" s="107">
        <f>SUM(BW3:BW6)</f>
        <v/>
      </c>
      <c r="BX7" s="107">
        <f>SUM(BX3:BX6)</f>
        <v/>
      </c>
      <c r="BY7" s="107" t="n"/>
      <c r="BZ7" s="107">
        <f>SUM(BZ3:BZ6)</f>
        <v/>
      </c>
      <c r="CA7" s="107">
        <f>SUM(CA3:CA6)</f>
        <v/>
      </c>
      <c r="CB7" s="107">
        <f>SUM(CB3:CB6)</f>
        <v/>
      </c>
      <c r="CC7" s="107">
        <f>SUM(CC3:CC6)</f>
        <v/>
      </c>
      <c r="CD7" s="107">
        <f>SUM(CD3:CD6)</f>
        <v/>
      </c>
      <c r="CE7" s="107">
        <f>SUM(CE3:CE6)</f>
        <v/>
      </c>
      <c r="CF7" s="109">
        <f>BW7/CE7</f>
        <v/>
      </c>
      <c r="CG7" s="107">
        <f>SUM(CG3:CG6)</f>
        <v/>
      </c>
      <c r="CH7" s="107">
        <f>SUM(CH3:CH6)</f>
        <v/>
      </c>
      <c r="CI7" s="109">
        <f>BX7/CH7</f>
        <v/>
      </c>
      <c r="CJ7" s="107">
        <f>SUM(CJ3:CJ6)</f>
        <v/>
      </c>
      <c r="CK7" s="109">
        <f>BX7/CJ7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L5"/>
  <sheetViews>
    <sheetView topLeftCell="BM1" zoomScale="70" zoomScaleNormal="70" workbookViewId="0">
      <selection activeCell="H5" sqref="H5:CK5"/>
    </sheetView>
  </sheetViews>
  <sheetFormatPr baseColWidth="8" defaultColWidth="8.891666666666669" defaultRowHeight="14.25" outlineLevelRow="4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/>
      <c r="B3" s="67" t="n"/>
      <c r="C3" s="67" t="n"/>
      <c r="D3" s="67" t="n"/>
      <c r="E3" s="67" t="inlineStr">
        <is>
          <t>图片</t>
        </is>
      </c>
      <c r="F3" s="67" t="n"/>
      <c r="G3" s="67" t="n"/>
      <c r="H3" s="107" t="n">
        <v>12429.4784044728</v>
      </c>
      <c r="I3" s="118">
        <f>H3-CG3</f>
        <v/>
      </c>
      <c r="J3" s="107" t="n">
        <v>1035.7898670394</v>
      </c>
      <c r="K3" s="57" t="n">
        <v>12</v>
      </c>
      <c r="L3" s="57" t="n">
        <v>4</v>
      </c>
      <c r="M3" s="57" t="n">
        <v>4</v>
      </c>
      <c r="N3" s="57" t="n">
        <v>3</v>
      </c>
      <c r="O3" s="57" t="n">
        <v>3</v>
      </c>
      <c r="P3" s="57" t="n">
        <v>4</v>
      </c>
      <c r="Q3" s="57" t="n">
        <v>2</v>
      </c>
      <c r="R3" s="57" t="n">
        <v>4</v>
      </c>
      <c r="S3" s="57" t="n">
        <v>0</v>
      </c>
      <c r="T3" s="57" t="n">
        <v>0</v>
      </c>
      <c r="U3" s="107" t="n">
        <v>0</v>
      </c>
      <c r="V3" s="107" t="n">
        <v>0</v>
      </c>
      <c r="W3" s="108" t="n"/>
      <c r="X3" s="107" t="n"/>
      <c r="Y3" s="108" t="n">
        <v>0.333333333333333</v>
      </c>
      <c r="Z3" s="108" t="n">
        <v>0.75</v>
      </c>
      <c r="AA3" s="108" t="n">
        <v>0.25</v>
      </c>
      <c r="AB3" s="108" t="n">
        <v>0.666666666666667</v>
      </c>
      <c r="AC3" s="108" t="n">
        <v>0.666666666666667</v>
      </c>
      <c r="AD3" s="108" t="n">
        <v>1</v>
      </c>
      <c r="AE3" s="108" t="n">
        <v>0</v>
      </c>
      <c r="AF3" s="108" t="n">
        <v>0</v>
      </c>
      <c r="AG3" s="108" t="n">
        <v>0</v>
      </c>
      <c r="AH3" s="107" t="n">
        <v>2205.76727142586</v>
      </c>
      <c r="AI3" s="109" t="n">
        <v>0</v>
      </c>
      <c r="AJ3" s="57" t="n">
        <v>4</v>
      </c>
      <c r="AK3" s="57" t="n">
        <v>4</v>
      </c>
      <c r="AL3" s="57" t="n">
        <v>4</v>
      </c>
      <c r="AM3" s="107" t="n">
        <v>1123.78174578254</v>
      </c>
      <c r="AN3" s="107" t="n">
        <v>625.330181547436</v>
      </c>
      <c r="AO3" s="107" t="n">
        <v>0</v>
      </c>
      <c r="AP3" s="107" t="n">
        <v>120</v>
      </c>
      <c r="AQ3" s="107" t="n">
        <v>336.655344095883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>
        <v>0</v>
      </c>
      <c r="AW3" s="57" t="n">
        <v>0</v>
      </c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0</v>
      </c>
      <c r="BX3" s="107" t="n">
        <v>0</v>
      </c>
      <c r="BY3" s="108" t="n"/>
      <c r="BZ3" s="107" t="n">
        <v>1081.98552564332</v>
      </c>
      <c r="CA3" s="107" t="n">
        <v>913.657853595377</v>
      </c>
      <c r="CB3" s="107" t="n">
        <v>1123.78174578254</v>
      </c>
      <c r="CC3" s="107" t="n">
        <v>12429.4784044728</v>
      </c>
      <c r="CD3" s="107" t="n">
        <v>12429.4784044728</v>
      </c>
      <c r="CE3" s="107" t="n">
        <v>2037.43959937792</v>
      </c>
      <c r="CF3" s="109" t="n">
        <v>0</v>
      </c>
      <c r="CG3" s="118" t="n">
        <v>0</v>
      </c>
      <c r="CH3" s="107" t="n">
        <v>2205.76727142586</v>
      </c>
      <c r="CI3" s="109" t="n">
        <v>0</v>
      </c>
      <c r="CJ3" s="107" t="n">
        <v>1981.98552564332</v>
      </c>
      <c r="CK3" s="109" t="n">
        <v>0</v>
      </c>
    </row>
    <row r="4" ht="16.5" customFormat="1" customHeight="1" s="39">
      <c r="A4" s="63" t="n">
        <v>45904</v>
      </c>
      <c r="B4" s="67" t="n"/>
      <c r="C4" s="67" t="n"/>
      <c r="D4" s="67" t="n"/>
      <c r="E4" s="67" t="inlineStr">
        <is>
          <t>视频</t>
        </is>
      </c>
      <c r="F4" s="67" t="n"/>
      <c r="G4" s="67" t="n"/>
      <c r="H4" s="107" t="n">
        <v>10896.3024390244</v>
      </c>
      <c r="I4" s="118">
        <f>H4-CG4</f>
        <v/>
      </c>
      <c r="J4" s="107" t="n">
        <v>605.350135501356</v>
      </c>
      <c r="K4" s="57" t="n">
        <v>18</v>
      </c>
      <c r="L4" s="57" t="n">
        <v>11</v>
      </c>
      <c r="M4" s="57" t="n">
        <v>11</v>
      </c>
      <c r="N4" s="57" t="n">
        <v>10</v>
      </c>
      <c r="O4" s="57" t="n">
        <v>10</v>
      </c>
      <c r="P4" s="57" t="n">
        <v>8</v>
      </c>
      <c r="Q4" s="57" t="n">
        <v>7</v>
      </c>
      <c r="R4" s="57" t="n">
        <v>8</v>
      </c>
      <c r="S4" s="57" t="n">
        <v>2</v>
      </c>
      <c r="T4" s="57" t="n">
        <v>2</v>
      </c>
      <c r="U4" s="107" t="n">
        <v>12576</v>
      </c>
      <c r="V4" s="107" t="n">
        <v>12576</v>
      </c>
      <c r="W4" s="108" t="n">
        <v>1</v>
      </c>
      <c r="X4" s="107" t="n">
        <v>6288</v>
      </c>
      <c r="Y4" s="108" t="n">
        <v>0.611111111111111</v>
      </c>
      <c r="Z4" s="108" t="n">
        <v>0.9090909090909089</v>
      </c>
      <c r="AA4" s="108" t="n">
        <v>0.555555555555556</v>
      </c>
      <c r="AB4" s="108" t="n">
        <v>0.7</v>
      </c>
      <c r="AC4" s="108" t="n">
        <v>0.7</v>
      </c>
      <c r="AD4" s="108" t="n">
        <v>1</v>
      </c>
      <c r="AE4" s="108" t="n">
        <v>0.285714285714286</v>
      </c>
      <c r="AF4" s="108" t="n">
        <v>0.111111111111111</v>
      </c>
      <c r="AG4" s="108" t="n">
        <v>0.111111111111111</v>
      </c>
      <c r="AH4" s="107" t="n">
        <v>16710.5618339612</v>
      </c>
      <c r="AI4" s="109" t="n">
        <v>0.752577927957009</v>
      </c>
      <c r="AJ4" s="57" t="n">
        <v>8</v>
      </c>
      <c r="AK4" s="57" t="n">
        <v>8</v>
      </c>
      <c r="AL4" s="57" t="n">
        <v>8</v>
      </c>
      <c r="AM4" s="107" t="n">
        <v>1685.67261867381</v>
      </c>
      <c r="AN4" s="107" t="n">
        <v>1719.65799925545</v>
      </c>
      <c r="AO4" s="107" t="n">
        <v>1555.61808881577</v>
      </c>
      <c r="AP4" s="107" t="n">
        <v>180</v>
      </c>
      <c r="AQ4" s="107" t="n">
        <v>673.310688191766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57" t="n">
        <v>0</v>
      </c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12576</v>
      </c>
      <c r="BX4" s="107" t="n">
        <v>12576</v>
      </c>
      <c r="BY4" s="108" t="n">
        <v>1</v>
      </c>
      <c r="BZ4" s="107" t="n">
        <v>4128.58677626299</v>
      </c>
      <c r="CA4" s="107" t="n">
        <v>4044.42294023902</v>
      </c>
      <c r="CB4" s="107" t="n">
        <v>1685.67261867381</v>
      </c>
      <c r="CC4" s="107" t="n">
        <v>10896.3024390244</v>
      </c>
      <c r="CD4" s="107" t="n">
        <v>10896.3024390244</v>
      </c>
      <c r="CE4" s="107" t="n">
        <v>16626.3979979372</v>
      </c>
      <c r="CF4" s="109" t="n">
        <v>0.756387523115966</v>
      </c>
      <c r="CG4" s="118" t="n">
        <v>0</v>
      </c>
      <c r="CH4" s="107" t="n">
        <v>16710.5618339612</v>
      </c>
      <c r="CI4" s="109" t="n">
        <v>0.752577927957009</v>
      </c>
      <c r="CJ4" s="107" t="n">
        <v>16374.8892152874</v>
      </c>
      <c r="CK4" s="109" t="n">
        <v>0.768005195922743</v>
      </c>
    </row>
    <row r="5" ht="30" customFormat="1" customHeight="1" s="40">
      <c r="A5" s="40" t="inlineStr">
        <is>
          <t>專家鄧明儀-汇总</t>
        </is>
      </c>
      <c r="B5" s="57" t="n"/>
      <c r="C5" s="57" t="n"/>
      <c r="D5" s="57" t="n"/>
      <c r="E5" s="57" t="n"/>
      <c r="F5" s="57" t="n"/>
      <c r="G5" s="57" t="n"/>
      <c r="H5" s="107">
        <f>SUM(H3:H4)</f>
        <v/>
      </c>
      <c r="I5" s="107">
        <f>SUM(I3:I4)</f>
        <v/>
      </c>
      <c r="J5" s="107">
        <f>I5/K5</f>
        <v/>
      </c>
      <c r="K5" s="57">
        <f>SUM(K3:K4)</f>
        <v/>
      </c>
      <c r="L5" s="57">
        <f>SUM(L3:L4)</f>
        <v/>
      </c>
      <c r="M5" s="57">
        <f>SUM(M3:M4)</f>
        <v/>
      </c>
      <c r="N5" s="57">
        <f>SUM(N3:N4)</f>
        <v/>
      </c>
      <c r="O5" s="57">
        <f>SUM(O3:O4)</f>
        <v/>
      </c>
      <c r="P5" s="57">
        <f>SUM(P3:P4)</f>
        <v/>
      </c>
      <c r="Q5" s="57">
        <f>SUM(Q3:Q4)</f>
        <v/>
      </c>
      <c r="R5" s="57">
        <f>SUM(R3:R4)</f>
        <v/>
      </c>
      <c r="S5" s="57">
        <f>SUM(S3:S4)</f>
        <v/>
      </c>
      <c r="T5" s="57">
        <f>SUM(T3:T4)</f>
        <v/>
      </c>
      <c r="U5" s="107">
        <f>SUM(U3:U4)</f>
        <v/>
      </c>
      <c r="V5" s="107">
        <f>SUM(V3:V4)</f>
        <v/>
      </c>
      <c r="W5" s="57" t="n"/>
      <c r="X5" s="107">
        <f>V5/T5</f>
        <v/>
      </c>
      <c r="Y5" s="61">
        <f>L5/K5</f>
        <v/>
      </c>
      <c r="Z5" s="61">
        <f>N5/L5</f>
        <v/>
      </c>
      <c r="AA5" s="61">
        <f>N5/K5</f>
        <v/>
      </c>
      <c r="AB5" s="61">
        <f>Q5/N5</f>
        <v/>
      </c>
      <c r="AC5" s="61">
        <f>Q5/O5</f>
        <v/>
      </c>
      <c r="AD5" s="61">
        <f>AVERAGE(AD3:AD4)</f>
        <v/>
      </c>
      <c r="AE5" s="61">
        <f>S5/Q5</f>
        <v/>
      </c>
      <c r="AF5" s="61">
        <f>S5/K5</f>
        <v/>
      </c>
      <c r="AG5" s="61">
        <f>T5/K5</f>
        <v/>
      </c>
      <c r="AH5" s="107">
        <f>SUM(AH3:AH4)</f>
        <v/>
      </c>
      <c r="AI5" s="109">
        <f>V5/AH5</f>
        <v/>
      </c>
      <c r="AJ5" s="57">
        <f>SUM(AJ3:AJ4)</f>
        <v/>
      </c>
      <c r="AK5" s="57">
        <f>SUM(AK3:AK4)</f>
        <v/>
      </c>
      <c r="AL5" s="57">
        <f>SUM(AL3:AL4)</f>
        <v/>
      </c>
      <c r="AM5" s="107">
        <f>SUM(AM3:AM4)</f>
        <v/>
      </c>
      <c r="AN5" s="107">
        <f>SUM(AN3:AN4)</f>
        <v/>
      </c>
      <c r="AO5" s="107">
        <f>SUM(AO3:AO4)</f>
        <v/>
      </c>
      <c r="AP5" s="107">
        <f>SUM(AP3:AP4)</f>
        <v/>
      </c>
      <c r="AQ5" s="107">
        <f>SUM(AQ3:AQ4)</f>
        <v/>
      </c>
      <c r="AR5" s="57">
        <f>SUM(AR3:AR4)</f>
        <v/>
      </c>
      <c r="AS5" s="57">
        <f>SUM(AS3:AS4)</f>
        <v/>
      </c>
      <c r="AT5" s="57" t="n"/>
      <c r="AU5" s="57">
        <f>SUM(AU3:AU4)</f>
        <v/>
      </c>
      <c r="AV5" s="57" t="n"/>
      <c r="AW5" s="57" t="n"/>
      <c r="AX5" s="57">
        <f>SUM(AX3:AX4)</f>
        <v/>
      </c>
      <c r="AY5" s="57">
        <f>SUM(AY3:AY4)</f>
        <v/>
      </c>
      <c r="AZ5" s="57">
        <f>SUM(AZ3:AZ4)</f>
        <v/>
      </c>
      <c r="BA5" s="57">
        <f>SUM(BA3:BA4)</f>
        <v/>
      </c>
      <c r="BB5" s="107">
        <f>SUM(BB3:BB4)</f>
        <v/>
      </c>
      <c r="BC5" s="107">
        <f>SUM(BC3:BC4)</f>
        <v/>
      </c>
      <c r="BD5" s="107" t="n"/>
      <c r="BE5" s="107">
        <f>BC5/BA5</f>
        <v/>
      </c>
      <c r="BF5" s="62">
        <f>AS5/AR5</f>
        <v/>
      </c>
      <c r="BG5" s="62">
        <f>AU5/AS5</f>
        <v/>
      </c>
      <c r="BH5" s="62">
        <f>AU5/AR5</f>
        <v/>
      </c>
      <c r="BI5" s="62">
        <f>AX5/AU5</f>
        <v/>
      </c>
      <c r="BJ5" s="62" t="n"/>
      <c r="BK5" s="62">
        <f>AVERAGE(BK3:BK4)</f>
        <v/>
      </c>
      <c r="BL5" s="62">
        <f>AZ5/AX5</f>
        <v/>
      </c>
      <c r="BM5" s="62">
        <f>AZ5/AR5</f>
        <v/>
      </c>
      <c r="BN5" s="62">
        <f>BA5/AR5</f>
        <v/>
      </c>
      <c r="BO5" s="57">
        <f>SUM(BO3:BO4)</f>
        <v/>
      </c>
      <c r="BP5" s="57">
        <f>SUM(BP3:BP4)</f>
        <v/>
      </c>
      <c r="BQ5" s="57">
        <f>SUM(BQ3:BQ4)</f>
        <v/>
      </c>
      <c r="BR5" s="107">
        <f>SUM(BR3:BR4)</f>
        <v/>
      </c>
      <c r="BS5" s="107">
        <f>SUM(BS3:BS4)</f>
        <v/>
      </c>
      <c r="BT5" s="107">
        <f>SUM(BT3:BT4)</f>
        <v/>
      </c>
      <c r="BU5" s="57">
        <f>SUM(BU3:BU4)</f>
        <v/>
      </c>
      <c r="BV5" s="57">
        <f>SUM(BV3:BV4)</f>
        <v/>
      </c>
      <c r="BW5" s="107">
        <f>SUM(BW3:BW4)</f>
        <v/>
      </c>
      <c r="BX5" s="107">
        <f>SUM(BX3:BX4)</f>
        <v/>
      </c>
      <c r="BY5" s="107" t="n"/>
      <c r="BZ5" s="107">
        <f>SUM(BZ3:BZ4)</f>
        <v/>
      </c>
      <c r="CA5" s="107">
        <f>SUM(CA3:CA4)</f>
        <v/>
      </c>
      <c r="CB5" s="107">
        <f>SUM(CB3:CB4)</f>
        <v/>
      </c>
      <c r="CC5" s="107">
        <f>SUM(CC3:CC4)</f>
        <v/>
      </c>
      <c r="CD5" s="107">
        <f>SUM(CD3:CD4)</f>
        <v/>
      </c>
      <c r="CE5" s="107">
        <f>SUM(CE3:CE4)</f>
        <v/>
      </c>
      <c r="CF5" s="109">
        <f>BW5/CE5</f>
        <v/>
      </c>
      <c r="CG5" s="107">
        <f>SUM(CG3:CG4)</f>
        <v/>
      </c>
      <c r="CH5" s="107">
        <f>SUM(CH3:CH4)</f>
        <v/>
      </c>
      <c r="CI5" s="109">
        <f>BX5/CH5</f>
        <v/>
      </c>
      <c r="CJ5" s="107">
        <f>SUM(CJ3:CJ4)</f>
        <v/>
      </c>
      <c r="CK5" s="109">
        <f>BX5/CJ5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L8"/>
  <sheetViews>
    <sheetView zoomScale="70" zoomScaleNormal="70" workbookViewId="0">
      <selection activeCell="N40" sqref="N40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45931</v>
      </c>
      <c r="B3" s="67" t="n"/>
      <c r="C3" s="67" t="n"/>
      <c r="D3" s="67" t="n"/>
      <c r="E3" s="67" t="n"/>
      <c r="F3" s="67" t="n"/>
      <c r="G3" s="67" t="n"/>
      <c r="H3" s="107" t="n">
        <v>78812.3763856661</v>
      </c>
      <c r="I3" s="118">
        <f>H3-CG3</f>
        <v/>
      </c>
      <c r="J3" s="107" t="n">
        <v>685.32501204927</v>
      </c>
      <c r="K3" s="57" t="n">
        <v>115</v>
      </c>
      <c r="L3" s="57" t="n">
        <v>15</v>
      </c>
      <c r="M3" s="57" t="n">
        <v>15</v>
      </c>
      <c r="N3" s="57" t="n">
        <v>14</v>
      </c>
      <c r="O3" s="57" t="n"/>
      <c r="P3" s="57" t="n"/>
      <c r="Q3" s="57" t="n">
        <v>11</v>
      </c>
      <c r="R3" s="57" t="n">
        <v>11</v>
      </c>
      <c r="S3" s="57" t="n">
        <v>4</v>
      </c>
      <c r="T3" s="57" t="n">
        <v>4</v>
      </c>
      <c r="U3" s="107" t="n">
        <v>21483</v>
      </c>
      <c r="V3" s="107" t="n">
        <v>21483</v>
      </c>
      <c r="W3" s="108" t="n">
        <v>1</v>
      </c>
      <c r="X3" s="107" t="n">
        <v>5370.75</v>
      </c>
      <c r="Y3" s="108" t="n">
        <v>0.130434782608696</v>
      </c>
      <c r="Z3" s="108" t="n">
        <v>0.933333333333333</v>
      </c>
      <c r="AA3" s="108" t="n">
        <v>0.121739130434783</v>
      </c>
      <c r="AB3" s="108" t="n">
        <v>0.785714285714286</v>
      </c>
      <c r="AC3" s="108" t="n"/>
      <c r="AD3" s="108" t="n">
        <v>1</v>
      </c>
      <c r="AE3" s="108" t="n">
        <v>0.363636363636364</v>
      </c>
      <c r="AF3" s="108" t="n">
        <v>0.0347826086956522</v>
      </c>
      <c r="AG3" s="108" t="n">
        <v>0.0347826086956522</v>
      </c>
      <c r="AH3" s="107" t="n">
        <v>92577.4174367455</v>
      </c>
      <c r="AI3" s="109" t="n">
        <v>0.232054431791408</v>
      </c>
      <c r="AJ3" s="57" t="n">
        <v>11</v>
      </c>
      <c r="AK3" s="57" t="n">
        <v>11</v>
      </c>
      <c r="AL3" s="57" t="n">
        <v>11</v>
      </c>
      <c r="AM3" s="107" t="n">
        <v>7185.73938859713</v>
      </c>
      <c r="AN3" s="107" t="n">
        <v>2133.71041894407</v>
      </c>
      <c r="AO3" s="107" t="n">
        <v>2363.16629823179</v>
      </c>
      <c r="AP3" s="107" t="n">
        <v>1150</v>
      </c>
      <c r="AQ3" s="107" t="n">
        <v>932.424945306459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/>
      <c r="AW3" s="57" t="n"/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21483</v>
      </c>
      <c r="BX3" s="107" t="n">
        <v>21483</v>
      </c>
      <c r="BY3" s="108" t="n">
        <v>1</v>
      </c>
      <c r="BZ3" s="107" t="n">
        <v>6579.30166248232</v>
      </c>
      <c r="CA3" s="107" t="n">
        <v>6579.30166248232</v>
      </c>
      <c r="CB3" s="107" t="n">
        <v>7185.73938859713</v>
      </c>
      <c r="CC3" s="107" t="n">
        <v>78812.3763856661</v>
      </c>
      <c r="CD3" s="107" t="n">
        <v>78812.3763856661</v>
      </c>
      <c r="CE3" s="107" t="n">
        <v>92577.4174367455</v>
      </c>
      <c r="CF3" s="109" t="n">
        <v>0.232054431791408</v>
      </c>
      <c r="CG3" s="118" t="n">
        <v>714.556548267645</v>
      </c>
      <c r="CH3" s="107" t="n">
        <v>92577.4174367455</v>
      </c>
      <c r="CI3" s="109" t="n">
        <v>0.232054431791408</v>
      </c>
      <c r="CJ3" s="107" t="n">
        <v>94016.6780481484</v>
      </c>
      <c r="CK3" s="109" t="n">
        <v>0.228502010983604</v>
      </c>
    </row>
    <row r="4" ht="16.5" customFormat="1" customHeight="1" s="39">
      <c r="A4" s="63" t="n">
        <v>45962</v>
      </c>
      <c r="B4" s="67" t="n"/>
      <c r="C4" s="67" t="n"/>
      <c r="D4" s="67" t="n"/>
      <c r="E4" s="67" t="n"/>
      <c r="F4" s="67" t="n"/>
      <c r="G4" s="67" t="n"/>
      <c r="H4" s="107" t="n">
        <v>136770.304931945</v>
      </c>
      <c r="I4" s="118">
        <f>H4-CG4</f>
        <v/>
      </c>
      <c r="J4" s="107" t="n">
        <v>1953.86149902778</v>
      </c>
      <c r="K4" s="57" t="n">
        <v>70</v>
      </c>
      <c r="L4" s="57" t="n">
        <v>36</v>
      </c>
      <c r="M4" s="57" t="n">
        <v>39</v>
      </c>
      <c r="N4" s="57" t="n">
        <v>37</v>
      </c>
      <c r="O4" s="57" t="n"/>
      <c r="P4" s="57" t="n"/>
      <c r="Q4" s="57" t="n">
        <v>29</v>
      </c>
      <c r="R4" s="57" t="n">
        <v>33</v>
      </c>
      <c r="S4" s="57" t="n">
        <v>10</v>
      </c>
      <c r="T4" s="57" t="n">
        <v>12</v>
      </c>
      <c r="U4" s="107" t="n">
        <v>42910</v>
      </c>
      <c r="V4" s="107" t="n">
        <v>54228</v>
      </c>
      <c r="W4" s="108" t="n">
        <v>1</v>
      </c>
      <c r="X4" s="107" t="n">
        <v>4519</v>
      </c>
      <c r="Y4" s="108" t="n">
        <v>0.514285714285714</v>
      </c>
      <c r="Z4" s="108" t="n">
        <v>1.02777777777778</v>
      </c>
      <c r="AA4" s="108" t="n">
        <v>0.528571428571429</v>
      </c>
      <c r="AB4" s="108" t="n">
        <v>0.783783783783784</v>
      </c>
      <c r="AC4" s="108" t="n"/>
      <c r="AD4" s="108" t="n">
        <v>1</v>
      </c>
      <c r="AE4" s="108" t="n">
        <v>0.344827586206897</v>
      </c>
      <c r="AF4" s="108" t="n">
        <v>0.142857142857143</v>
      </c>
      <c r="AG4" s="108" t="n">
        <v>0.171428571428571</v>
      </c>
      <c r="AH4" s="107" t="n">
        <v>155734.571452629</v>
      </c>
      <c r="AI4" s="109" t="n">
        <v>0.348207848098101</v>
      </c>
      <c r="AJ4" s="57" t="n">
        <v>33</v>
      </c>
      <c r="AK4" s="57" t="n">
        <v>33</v>
      </c>
      <c r="AL4" s="57" t="n">
        <v>37</v>
      </c>
      <c r="AM4" s="107" t="n">
        <v>4556.54583036329</v>
      </c>
      <c r="AN4" s="107" t="n">
        <v>4606.21061289679</v>
      </c>
      <c r="AO4" s="107" t="n">
        <v>5965.17162502972</v>
      </c>
      <c r="AP4" s="107" t="n">
        <v>700</v>
      </c>
      <c r="AQ4" s="107" t="n">
        <v>3136.33845239445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/>
      <c r="AW4" s="57" t="n"/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42910</v>
      </c>
      <c r="BX4" s="107" t="n">
        <v>54228</v>
      </c>
      <c r="BY4" s="108" t="n">
        <v>1</v>
      </c>
      <c r="BZ4" s="107" t="n">
        <v>14407.720690321</v>
      </c>
      <c r="CA4" s="107" t="n">
        <v>12469.3340573609</v>
      </c>
      <c r="CB4" s="107" t="n">
        <v>4556.54583036329</v>
      </c>
      <c r="CC4" s="107" t="n">
        <v>136770.304931945</v>
      </c>
      <c r="CD4" s="107" t="n">
        <v>136412.860223764</v>
      </c>
      <c r="CE4" s="107" t="n">
        <v>153438.740111488</v>
      </c>
      <c r="CF4" s="109" t="n">
        <v>0.279655580910152</v>
      </c>
      <c r="CG4" s="118" t="n">
        <v>2144.66824908789</v>
      </c>
      <c r="CH4" s="107" t="n">
        <v>155734.571452629</v>
      </c>
      <c r="CI4" s="109" t="n">
        <v>0.348207848098101</v>
      </c>
      <c r="CJ4" s="107" t="n">
        <v>156428.025622266</v>
      </c>
      <c r="CK4" s="109" t="n">
        <v>0.346664223269984</v>
      </c>
    </row>
    <row r="5" ht="16.5" customFormat="1" customHeight="1" s="39">
      <c r="A5" s="63" t="n">
        <v>45992</v>
      </c>
      <c r="B5" s="67" t="n"/>
      <c r="C5" s="67" t="n"/>
      <c r="D5" s="67" t="n"/>
      <c r="E5" s="67" t="n"/>
      <c r="F5" s="67" t="n"/>
      <c r="G5" s="67" t="n"/>
      <c r="H5" s="107" t="n">
        <v>95287.02949768931</v>
      </c>
      <c r="I5" s="118">
        <f>H5-CG5</f>
        <v/>
      </c>
      <c r="J5" s="107" t="n">
        <v>6352.46863317929</v>
      </c>
      <c r="K5" s="57" t="n">
        <v>15</v>
      </c>
      <c r="L5" s="57" t="n">
        <v>9</v>
      </c>
      <c r="M5" s="57" t="n">
        <v>9</v>
      </c>
      <c r="N5" s="57" t="n">
        <v>8</v>
      </c>
      <c r="O5" s="57" t="n">
        <v>8</v>
      </c>
      <c r="P5" s="57" t="n">
        <v>9</v>
      </c>
      <c r="Q5" s="57" t="n">
        <v>7</v>
      </c>
      <c r="R5" s="57" t="n">
        <v>9</v>
      </c>
      <c r="S5" s="57" t="n">
        <v>2</v>
      </c>
      <c r="T5" s="57" t="n">
        <v>3</v>
      </c>
      <c r="U5" s="107" t="n">
        <v>16548.1</v>
      </c>
      <c r="V5" s="107" t="n">
        <v>20047.1</v>
      </c>
      <c r="W5" s="108" t="n">
        <v>1</v>
      </c>
      <c r="X5" s="107" t="n">
        <v>6682.36666666667</v>
      </c>
      <c r="Y5" s="108" t="n">
        <v>0.6</v>
      </c>
      <c r="Z5" s="108" t="n">
        <v>0.888888888888889</v>
      </c>
      <c r="AA5" s="108" t="n">
        <v>0.533333333333333</v>
      </c>
      <c r="AB5" s="108" t="n">
        <v>0.875</v>
      </c>
      <c r="AC5" s="108" t="n">
        <v>0.875</v>
      </c>
      <c r="AD5" s="108" t="n">
        <v>1</v>
      </c>
      <c r="AE5" s="108" t="n">
        <v>0.285714285714286</v>
      </c>
      <c r="AF5" s="108" t="n">
        <v>0.133333333333333</v>
      </c>
      <c r="AG5" s="108" t="n">
        <v>0.2</v>
      </c>
      <c r="AH5" s="107" t="n">
        <v>101202.740502201</v>
      </c>
      <c r="AI5" s="109" t="n">
        <v>0.198088509268819</v>
      </c>
      <c r="AJ5" s="57" t="n">
        <v>9</v>
      </c>
      <c r="AK5" s="57" t="n">
        <v>9</v>
      </c>
      <c r="AL5" s="57" t="n">
        <v>10</v>
      </c>
      <c r="AM5" s="107" t="n">
        <v>1119.24831905273</v>
      </c>
      <c r="AN5" s="107" t="n">
        <v>1325.05083696349</v>
      </c>
      <c r="AO5" s="107" t="n">
        <v>2479.7734882553</v>
      </c>
      <c r="AP5" s="107" t="n">
        <v>150</v>
      </c>
      <c r="AQ5" s="107" t="n">
        <v>841.638360239707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>
        <v>0</v>
      </c>
      <c r="AW5" s="57" t="n">
        <v>0</v>
      </c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16548.1</v>
      </c>
      <c r="BX5" s="107" t="n">
        <v>20047.1</v>
      </c>
      <c r="BY5" s="108" t="n">
        <v>1</v>
      </c>
      <c r="BZ5" s="107" t="n">
        <v>4796.4626854585</v>
      </c>
      <c r="CA5" s="107" t="n">
        <v>4195.31792588142</v>
      </c>
      <c r="CB5" s="107" t="n">
        <v>1119.24831905273</v>
      </c>
      <c r="CC5" s="107" t="n">
        <v>95287.02949768931</v>
      </c>
      <c r="CD5" s="107" t="n">
        <v>95091.8901907796</v>
      </c>
      <c r="CE5" s="107" t="n">
        <v>100406.456435714</v>
      </c>
      <c r="CF5" s="109" t="n">
        <v>0.164811114617864</v>
      </c>
      <c r="CG5" s="118" t="n">
        <v>585.417920728997</v>
      </c>
      <c r="CH5" s="107" t="n">
        <v>101202.740502201</v>
      </c>
      <c r="CI5" s="109" t="n">
        <v>0.198088509268819</v>
      </c>
      <c r="CJ5" s="107" t="n">
        <v>101208.492183148</v>
      </c>
      <c r="CK5" s="109" t="n">
        <v>0.198077251894264</v>
      </c>
    </row>
    <row r="6" ht="16.5" customFormat="1" customHeight="1" s="39">
      <c r="A6" s="63" t="n">
        <v>46023</v>
      </c>
      <c r="B6" s="67" t="n"/>
      <c r="C6" s="67" t="n"/>
      <c r="D6" s="67" t="n"/>
      <c r="E6" s="67" t="n"/>
      <c r="F6" s="67" t="n"/>
      <c r="G6" s="67" t="n"/>
      <c r="H6" s="107" t="n">
        <v>61494.9235772358</v>
      </c>
      <c r="I6" s="118">
        <f>H6-CG6</f>
        <v/>
      </c>
      <c r="J6" s="107" t="n">
        <v>1708.19232158988</v>
      </c>
      <c r="K6" s="57" t="n">
        <v>36</v>
      </c>
      <c r="L6" s="57" t="n">
        <v>29</v>
      </c>
      <c r="M6" s="57" t="n">
        <v>30</v>
      </c>
      <c r="N6" s="57" t="n">
        <v>29</v>
      </c>
      <c r="O6" s="57" t="n">
        <v>28</v>
      </c>
      <c r="P6" s="57" t="n">
        <v>23</v>
      </c>
      <c r="Q6" s="57" t="n">
        <v>21</v>
      </c>
      <c r="R6" s="57" t="n">
        <v>23</v>
      </c>
      <c r="S6" s="57" t="n">
        <v>6</v>
      </c>
      <c r="T6" s="57" t="n">
        <v>6</v>
      </c>
      <c r="U6" s="107" t="n">
        <v>31928</v>
      </c>
      <c r="V6" s="107" t="n">
        <v>31928</v>
      </c>
      <c r="W6" s="108" t="n">
        <v>1</v>
      </c>
      <c r="X6" s="107" t="n">
        <v>5321.33333333333</v>
      </c>
      <c r="Y6" s="108" t="n">
        <v>0.805555555555556</v>
      </c>
      <c r="Z6" s="108" t="n">
        <v>1</v>
      </c>
      <c r="AA6" s="108" t="n">
        <v>0.805555555555556</v>
      </c>
      <c r="AB6" s="108" t="n">
        <v>0.724137931034483</v>
      </c>
      <c r="AC6" s="108" t="n">
        <v>0.75</v>
      </c>
      <c r="AD6" s="108" t="n">
        <v>1</v>
      </c>
      <c r="AE6" s="108" t="n">
        <v>0.285714285714286</v>
      </c>
      <c r="AF6" s="108" t="n">
        <v>0.166666666666667</v>
      </c>
      <c r="AG6" s="108" t="n">
        <v>0.166666666666667</v>
      </c>
      <c r="AH6" s="107" t="n">
        <v>77731.3250902259</v>
      </c>
      <c r="AI6" s="109" t="n">
        <v>0.410748176014495</v>
      </c>
      <c r="AJ6" s="57" t="n">
        <v>23</v>
      </c>
      <c r="AK6" s="57" t="n">
        <v>23</v>
      </c>
      <c r="AL6" s="57" t="n">
        <v>24</v>
      </c>
      <c r="AM6" s="107" t="n">
        <v>3915.61953014615</v>
      </c>
      <c r="AN6" s="107" t="n">
        <v>5808.22018928869</v>
      </c>
      <c r="AO6" s="107" t="n">
        <v>4185.50237184118</v>
      </c>
      <c r="AP6" s="107" t="n">
        <v>360</v>
      </c>
      <c r="AQ6" s="107" t="n">
        <v>1967.05942171407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57" t="n">
        <v>0</v>
      </c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8" t="n"/>
      <c r="BE6" s="107" t="n"/>
      <c r="BF6" s="108" t="n"/>
      <c r="BG6" s="108" t="n"/>
      <c r="BH6" s="108" t="n"/>
      <c r="BI6" s="108" t="n"/>
      <c r="BJ6" s="108" t="n"/>
      <c r="BK6" s="108" t="n"/>
      <c r="BL6" s="108" t="n"/>
      <c r="BM6" s="108" t="n"/>
      <c r="BN6" s="108" t="n"/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107" t="n">
        <v>0</v>
      </c>
      <c r="BV6" s="107" t="n">
        <v>0</v>
      </c>
      <c r="BW6" s="107" t="n">
        <v>31928</v>
      </c>
      <c r="BX6" s="107" t="n">
        <v>31928</v>
      </c>
      <c r="BY6" s="108" t="n">
        <v>1</v>
      </c>
      <c r="BZ6" s="107" t="n">
        <v>12320.7819828439</v>
      </c>
      <c r="CA6" s="107" t="n">
        <v>11963.2530247248</v>
      </c>
      <c r="CB6" s="107" t="n">
        <v>3915.61953014615</v>
      </c>
      <c r="CC6" s="107" t="n">
        <v>61494.9235772358</v>
      </c>
      <c r="CD6" s="107" t="n">
        <v>61494.9235772358</v>
      </c>
      <c r="CE6" s="107" t="n">
        <v>77373.7961321068</v>
      </c>
      <c r="CF6" s="109" t="n">
        <v>0.41264616182831</v>
      </c>
      <c r="CG6" s="118" t="n">
        <v>0</v>
      </c>
      <c r="CH6" s="107" t="n">
        <v>77731.3250902259</v>
      </c>
      <c r="CI6" s="109" t="n">
        <v>0.410748176014495</v>
      </c>
      <c r="CJ6" s="107" t="n">
        <v>76515.7055600797</v>
      </c>
      <c r="CK6" s="109" t="n">
        <v>0.41727381021051</v>
      </c>
    </row>
    <row r="7" ht="16.5" customFormat="1" customHeight="1" s="39">
      <c r="A7" s="63" t="n">
        <v>46054</v>
      </c>
      <c r="B7" s="67" t="n"/>
      <c r="C7" s="67" t="n"/>
      <c r="D7" s="67" t="n"/>
      <c r="E7" s="67" t="n"/>
      <c r="F7" s="67" t="n"/>
      <c r="G7" s="67" t="n"/>
      <c r="H7" s="107" t="n">
        <v>4957.23005268292</v>
      </c>
      <c r="I7" s="118">
        <f>H7-CG7</f>
        <v/>
      </c>
      <c r="J7" s="107" t="n">
        <v>826.205008780487</v>
      </c>
      <c r="K7" s="57" t="n">
        <v>6</v>
      </c>
      <c r="L7" s="57" t="n">
        <v>2</v>
      </c>
      <c r="M7" s="57" t="n">
        <v>3</v>
      </c>
      <c r="N7" s="57" t="n">
        <v>3</v>
      </c>
      <c r="O7" s="57" t="n">
        <v>3</v>
      </c>
      <c r="P7" s="57" t="n">
        <v>5</v>
      </c>
      <c r="Q7" s="57" t="n">
        <v>1</v>
      </c>
      <c r="R7" s="57" t="n">
        <v>5</v>
      </c>
      <c r="S7" s="57" t="n">
        <v>1</v>
      </c>
      <c r="T7" s="57" t="n">
        <v>1</v>
      </c>
      <c r="U7" s="107" t="n">
        <v>4588</v>
      </c>
      <c r="V7" s="107" t="n">
        <v>4588</v>
      </c>
      <c r="W7" s="108" t="n">
        <v>1</v>
      </c>
      <c r="X7" s="107" t="n">
        <v>4588</v>
      </c>
      <c r="Y7" s="108" t="n">
        <v>0.333333333333333</v>
      </c>
      <c r="Z7" s="108" t="n">
        <v>1.5</v>
      </c>
      <c r="AA7" s="108" t="n">
        <v>0.5</v>
      </c>
      <c r="AB7" s="108" t="n">
        <v>0.333333333333333</v>
      </c>
      <c r="AC7" s="108" t="n">
        <v>0.333333333333333</v>
      </c>
      <c r="AD7" s="108" t="n">
        <v>1</v>
      </c>
      <c r="AE7" s="108" t="n">
        <v>1</v>
      </c>
      <c r="AF7" s="108" t="n">
        <v>0.166666666666667</v>
      </c>
      <c r="AG7" s="108" t="n">
        <v>0.166666666666667</v>
      </c>
      <c r="AH7" s="107" t="n">
        <v>7401.00024630881</v>
      </c>
      <c r="AI7" s="109" t="n">
        <v>0.619916206905712</v>
      </c>
      <c r="AJ7" s="57" t="n">
        <v>5</v>
      </c>
      <c r="AK7" s="57" t="n">
        <v>5</v>
      </c>
      <c r="AL7" s="57" t="n">
        <v>5</v>
      </c>
      <c r="AM7" s="107" t="n">
        <v>790.807025186054</v>
      </c>
      <c r="AN7" s="107" t="n">
        <v>581.709457941983</v>
      </c>
      <c r="AO7" s="107" t="n">
        <v>601.449664307421</v>
      </c>
      <c r="AP7" s="107" t="n">
        <v>60</v>
      </c>
      <c r="AQ7" s="107" t="n">
        <v>409.804046190432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57" t="n">
        <v>0</v>
      </c>
      <c r="AX7" s="57" t="n">
        <v>0</v>
      </c>
      <c r="AY7" s="57" t="n">
        <v>0</v>
      </c>
      <c r="AZ7" s="57" t="n">
        <v>0</v>
      </c>
      <c r="BA7" s="57" t="n">
        <v>0</v>
      </c>
      <c r="BB7" s="107" t="n">
        <v>0</v>
      </c>
      <c r="BC7" s="107" t="n">
        <v>0</v>
      </c>
      <c r="BD7" s="108" t="n"/>
      <c r="BE7" s="107" t="n"/>
      <c r="BF7" s="108" t="n"/>
      <c r="BG7" s="108" t="n"/>
      <c r="BH7" s="108" t="n"/>
      <c r="BI7" s="108" t="n"/>
      <c r="BJ7" s="108" t="n"/>
      <c r="BK7" s="108" t="n"/>
      <c r="BL7" s="108" t="n"/>
      <c r="BM7" s="108" t="n"/>
      <c r="BN7" s="108" t="n"/>
      <c r="BO7" s="57" t="n">
        <v>0</v>
      </c>
      <c r="BP7" s="57" t="n">
        <v>0</v>
      </c>
      <c r="BQ7" s="57" t="n">
        <v>0</v>
      </c>
      <c r="BR7" s="107" t="n">
        <v>0</v>
      </c>
      <c r="BS7" s="107" t="n">
        <v>0</v>
      </c>
      <c r="BT7" s="107" t="n">
        <v>0</v>
      </c>
      <c r="BU7" s="107" t="n">
        <v>0</v>
      </c>
      <c r="BV7" s="107" t="n">
        <v>0</v>
      </c>
      <c r="BW7" s="107" t="n">
        <v>4588</v>
      </c>
      <c r="BX7" s="107" t="n">
        <v>4588</v>
      </c>
      <c r="BY7" s="108" t="n">
        <v>1</v>
      </c>
      <c r="BZ7" s="107" t="n">
        <v>1652.96316843984</v>
      </c>
      <c r="CA7" s="107" t="n">
        <v>1131.21677884016</v>
      </c>
      <c r="CB7" s="107" t="n">
        <v>790.807025186054</v>
      </c>
      <c r="CC7" s="107" t="n">
        <v>4957.23005268292</v>
      </c>
      <c r="CD7" s="107" t="n">
        <v>4957.23005268292</v>
      </c>
      <c r="CE7" s="107" t="n">
        <v>6879.25385670914</v>
      </c>
      <c r="CF7" s="109" t="n">
        <v>0.666932794684624</v>
      </c>
      <c r="CG7" s="118" t="n">
        <v>0</v>
      </c>
      <c r="CH7" s="107" t="n">
        <v>7401.00024630881</v>
      </c>
      <c r="CI7" s="109" t="n">
        <v>0.619916206905712</v>
      </c>
      <c r="CJ7" s="107" t="n">
        <v>7060.19322112276</v>
      </c>
      <c r="CK7" s="109" t="n">
        <v>0.6498405718236691</v>
      </c>
    </row>
    <row r="8" ht="30" customFormat="1" customHeight="1" s="40">
      <c r="A8" s="40" t="inlineStr">
        <is>
          <t>陈凯琳-汇总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 t="n"/>
      <c r="P8" s="57" t="n"/>
      <c r="Q8" s="57">
        <f>SUM(Q3:Q7)</f>
        <v/>
      </c>
      <c r="R8" s="57">
        <f>SUM(R3:R7)</f>
        <v/>
      </c>
      <c r="S8" s="57">
        <f>SUM(S3:S7)</f>
        <v/>
      </c>
      <c r="T8" s="57">
        <f>SUM(T3:T7)</f>
        <v/>
      </c>
      <c r="U8" s="107">
        <f>SUM(U3:U7)</f>
        <v/>
      </c>
      <c r="V8" s="107">
        <f>SUM(V3:V7)</f>
        <v/>
      </c>
      <c r="W8" s="57" t="n"/>
      <c r="X8" s="107">
        <f>V8/T8</f>
        <v/>
      </c>
      <c r="Y8" s="61">
        <f>L8/K8</f>
        <v/>
      </c>
      <c r="Z8" s="61">
        <f>N8/L8</f>
        <v/>
      </c>
      <c r="AA8" s="61">
        <f>N8/K8</f>
        <v/>
      </c>
      <c r="AB8" s="61">
        <f>Q8/N8</f>
        <v/>
      </c>
      <c r="AC8" s="61" t="n"/>
      <c r="AD8" s="61">
        <f>AVERAGE(AD3:AD7)</f>
        <v/>
      </c>
      <c r="AE8" s="61">
        <f>S8/Q8</f>
        <v/>
      </c>
      <c r="AF8" s="61">
        <f>S8/K8</f>
        <v/>
      </c>
      <c r="AG8" s="61">
        <f>T8/K8</f>
        <v/>
      </c>
      <c r="AH8" s="107">
        <f>SUM(AH3:AH7)</f>
        <v/>
      </c>
      <c r="AI8" s="109">
        <f>V8/AH8</f>
        <v/>
      </c>
      <c r="AJ8" s="57">
        <f>SUM(AJ3:AJ7)</f>
        <v/>
      </c>
      <c r="AK8" s="57">
        <f>SUM(AK3:AK7)</f>
        <v/>
      </c>
      <c r="AL8" s="57">
        <f>SUM(AL3:AL7)</f>
        <v/>
      </c>
      <c r="AM8" s="107">
        <f>SUM(AM3:AM7)</f>
        <v/>
      </c>
      <c r="AN8" s="107">
        <f>SUM(AN3:AN7)</f>
        <v/>
      </c>
      <c r="AO8" s="107">
        <f>SUM(AO3:AO7)</f>
        <v/>
      </c>
      <c r="AP8" s="107">
        <f>SUM(AP3:AP7)</f>
        <v/>
      </c>
      <c r="AQ8" s="107">
        <f>SUM(AQ3:AQ7)</f>
        <v/>
      </c>
      <c r="AR8" s="57">
        <f>SUM(AR3:AR7)</f>
        <v/>
      </c>
      <c r="AS8" s="57">
        <f>SUM(AS3:AS7)</f>
        <v/>
      </c>
      <c r="AT8" s="57" t="n"/>
      <c r="AU8" s="57">
        <f>SUM(AU3:AU7)</f>
        <v/>
      </c>
      <c r="AV8" s="57" t="n"/>
      <c r="AW8" s="57" t="n"/>
      <c r="AX8" s="57">
        <f>SUM(AX3:AX7)</f>
        <v/>
      </c>
      <c r="AY8" s="57">
        <f>SUM(AY3:AY7)</f>
        <v/>
      </c>
      <c r="AZ8" s="57">
        <f>SUM(AZ3:AZ7)</f>
        <v/>
      </c>
      <c r="BA8" s="57">
        <f>SUM(BA3:BA7)</f>
        <v/>
      </c>
      <c r="BB8" s="107">
        <f>SUM(BB3:BB7)</f>
        <v/>
      </c>
      <c r="BC8" s="107">
        <f>SUM(BC3:BC7)</f>
        <v/>
      </c>
      <c r="BD8" s="107" t="n"/>
      <c r="BE8" s="107">
        <f>BC8/BA8</f>
        <v/>
      </c>
      <c r="BF8" s="62">
        <f>AS8/AR8</f>
        <v/>
      </c>
      <c r="BG8" s="62">
        <f>AU8/AS8</f>
        <v/>
      </c>
      <c r="BH8" s="62">
        <f>AU8/AR8</f>
        <v/>
      </c>
      <c r="BI8" s="62">
        <f>AX8/AU8</f>
        <v/>
      </c>
      <c r="BJ8" s="62" t="n"/>
      <c r="BK8" s="62">
        <f>AVERAGE(BK3:BK7)</f>
        <v/>
      </c>
      <c r="BL8" s="62">
        <f>AZ8/AX8</f>
        <v/>
      </c>
      <c r="BM8" s="62">
        <f>AZ8/AR8</f>
        <v/>
      </c>
      <c r="BN8" s="62">
        <f>BA8/AR8</f>
        <v/>
      </c>
      <c r="BO8" s="57">
        <f>SUM(BO3:BO7)</f>
        <v/>
      </c>
      <c r="BP8" s="57">
        <f>SUM(BP3:BP7)</f>
        <v/>
      </c>
      <c r="BQ8" s="57">
        <f>SUM(BQ3:BQ7)</f>
        <v/>
      </c>
      <c r="BR8" s="107">
        <f>SUM(BR3:BR7)</f>
        <v/>
      </c>
      <c r="BS8" s="107">
        <f>SUM(BS3:BS7)</f>
        <v/>
      </c>
      <c r="BT8" s="107">
        <f>SUM(BT3:BT7)</f>
        <v/>
      </c>
      <c r="BU8" s="57">
        <f>SUM(BU3:BU7)</f>
        <v/>
      </c>
      <c r="BV8" s="57">
        <f>SUM(BV3:BV7)</f>
        <v/>
      </c>
      <c r="BW8" s="107">
        <f>SUM(BW3:BW7)</f>
        <v/>
      </c>
      <c r="BX8" s="107">
        <f>SUM(BX3:BX7)</f>
        <v/>
      </c>
      <c r="BY8" s="107" t="n"/>
      <c r="BZ8" s="107">
        <f>SUM(BZ3:BZ7)</f>
        <v/>
      </c>
      <c r="CA8" s="107">
        <f>SUM(CA3:CA7)</f>
        <v/>
      </c>
      <c r="CB8" s="107">
        <f>SUM(CB3:CB7)</f>
        <v/>
      </c>
      <c r="CC8" s="107">
        <f>SUM(CC3:CC7)</f>
        <v/>
      </c>
      <c r="CD8" s="107">
        <f>SUM(CD3:CD7)</f>
        <v/>
      </c>
      <c r="CE8" s="107">
        <f>SUM(CE3:CE7)</f>
        <v/>
      </c>
      <c r="CF8" s="109">
        <f>BW8/CE8</f>
        <v/>
      </c>
      <c r="CG8" s="107">
        <f>SUM(CG3:CG7)</f>
        <v/>
      </c>
      <c r="CH8" s="107">
        <f>SUM(CH3:CH7)</f>
        <v/>
      </c>
      <c r="CI8" s="109">
        <f>BX8/CH8</f>
        <v/>
      </c>
      <c r="CJ8" s="107">
        <f>SUM(CJ3:CJ7)</f>
        <v/>
      </c>
      <c r="CK8" s="109">
        <f>BX8/CJ8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L5"/>
  <sheetViews>
    <sheetView zoomScale="70" zoomScaleNormal="70" workbookViewId="0">
      <selection activeCell="K36" sqref="J35:K36"/>
    </sheetView>
  </sheetViews>
  <sheetFormatPr baseColWidth="8" defaultColWidth="8.891666666666669" defaultRowHeight="14.25" outlineLevelRow="4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45962</v>
      </c>
      <c r="B3" s="67" t="n"/>
      <c r="C3" s="67" t="n"/>
      <c r="D3" s="67" t="n"/>
      <c r="E3" s="67" t="n"/>
      <c r="F3" s="67" t="n"/>
      <c r="G3" s="67" t="n"/>
      <c r="H3" s="107" t="n">
        <v>232574.538499904</v>
      </c>
      <c r="I3" s="118">
        <f>H3-CG3</f>
        <v/>
      </c>
      <c r="J3" s="107" t="n">
        <v>1284.94220165693</v>
      </c>
      <c r="K3" s="57" t="n">
        <v>181</v>
      </c>
      <c r="L3" s="57" t="n">
        <v>97</v>
      </c>
      <c r="M3" s="57" t="n">
        <v>97</v>
      </c>
      <c r="N3" s="57" t="n">
        <v>98</v>
      </c>
      <c r="O3" s="57" t="n"/>
      <c r="P3" s="57" t="n"/>
      <c r="Q3" s="57" t="n">
        <v>76</v>
      </c>
      <c r="R3" s="57" t="n">
        <v>76</v>
      </c>
      <c r="S3" s="57" t="n">
        <v>28</v>
      </c>
      <c r="T3" s="57" t="n">
        <v>28</v>
      </c>
      <c r="U3" s="107" t="n">
        <v>156292</v>
      </c>
      <c r="V3" s="107" t="n">
        <v>156292</v>
      </c>
      <c r="W3" s="108" t="n">
        <v>1</v>
      </c>
      <c r="X3" s="107" t="n">
        <v>5581.85714285714</v>
      </c>
      <c r="Y3" s="108" t="n">
        <v>0.535911602209945</v>
      </c>
      <c r="Z3" s="108" t="n">
        <v>1.01030927835052</v>
      </c>
      <c r="AA3" s="108" t="n">
        <v>0.541436464088398</v>
      </c>
      <c r="AB3" s="108" t="n">
        <v>0.775510204081633</v>
      </c>
      <c r="AC3" s="108" t="n"/>
      <c r="AD3" s="108" t="n">
        <v>0.987012987012987</v>
      </c>
      <c r="AE3" s="108" t="n">
        <v>0.368421052631579</v>
      </c>
      <c r="AF3" s="108" t="n">
        <v>0.154696132596685</v>
      </c>
      <c r="AG3" s="108" t="n">
        <v>0.154696132596685</v>
      </c>
      <c r="AH3" s="107" t="n">
        <v>281427.061293277</v>
      </c>
      <c r="AI3" s="109" t="n">
        <v>0.555355264279746</v>
      </c>
      <c r="AJ3" s="57" t="n">
        <v>77</v>
      </c>
      <c r="AK3" s="57" t="n">
        <v>76</v>
      </c>
      <c r="AL3" s="57" t="n">
        <v>78</v>
      </c>
      <c r="AM3" s="107" t="n">
        <v>11781.9256470822</v>
      </c>
      <c r="AN3" s="107" t="n">
        <v>11456.4725500253</v>
      </c>
      <c r="AO3" s="107" t="n">
        <v>17192.3840750008</v>
      </c>
      <c r="AP3" s="107" t="n">
        <v>1810</v>
      </c>
      <c r="AQ3" s="107" t="n">
        <v>6611.74052126398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/>
      <c r="AW3" s="57" t="n"/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156292</v>
      </c>
      <c r="BX3" s="107" t="n">
        <v>156292</v>
      </c>
      <c r="BY3" s="108" t="n">
        <v>1</v>
      </c>
      <c r="BZ3" s="107" t="n">
        <v>37070.5971462902</v>
      </c>
      <c r="CA3" s="107" t="n">
        <v>37070.5971462902</v>
      </c>
      <c r="CB3" s="107" t="n">
        <v>11781.9256470822</v>
      </c>
      <c r="CC3" s="107" t="n">
        <v>232574.538499904</v>
      </c>
      <c r="CD3" s="107" t="n">
        <v>232574.538499904</v>
      </c>
      <c r="CE3" s="107" t="n">
        <v>281427.061293277</v>
      </c>
      <c r="CF3" s="109" t="n">
        <v>0.555355264279746</v>
      </c>
      <c r="CG3" s="118" t="n">
        <v>5004.22591453841</v>
      </c>
      <c r="CH3" s="107" t="n">
        <v>281427.061293277</v>
      </c>
      <c r="CI3" s="109" t="n">
        <v>0.555355264279746</v>
      </c>
      <c r="CJ3" s="107" t="n">
        <v>283220.135646195</v>
      </c>
      <c r="CK3" s="109" t="n">
        <v>0.551839295053667</v>
      </c>
    </row>
    <row r="4" ht="16.5" customFormat="1" customHeight="1" s="39">
      <c r="A4" s="63" t="n">
        <v>45992</v>
      </c>
      <c r="B4" s="67" t="n"/>
      <c r="C4" s="67" t="n"/>
      <c r="D4" s="67" t="n"/>
      <c r="E4" s="67" t="n"/>
      <c r="F4" s="67" t="n"/>
      <c r="G4" s="67" t="n"/>
      <c r="H4" s="107" t="n">
        <v>60942.3979471455</v>
      </c>
      <c r="I4" s="118">
        <f>H4-CG4</f>
        <v/>
      </c>
      <c r="J4" s="107" t="n">
        <v>2343.93838258252</v>
      </c>
      <c r="K4" s="57" t="n">
        <v>26</v>
      </c>
      <c r="L4" s="57" t="n">
        <v>13</v>
      </c>
      <c r="M4" s="57" t="n">
        <v>16</v>
      </c>
      <c r="N4" s="57" t="n">
        <v>13</v>
      </c>
      <c r="O4" s="57" t="n">
        <v>13</v>
      </c>
      <c r="P4" s="57" t="n">
        <v>24</v>
      </c>
      <c r="Q4" s="57" t="n">
        <v>12</v>
      </c>
      <c r="R4" s="57" t="n">
        <v>24</v>
      </c>
      <c r="S4" s="57" t="n">
        <v>6</v>
      </c>
      <c r="T4" s="57" t="n">
        <v>10</v>
      </c>
      <c r="U4" s="107" t="n">
        <v>27114</v>
      </c>
      <c r="V4" s="107" t="n">
        <v>51910</v>
      </c>
      <c r="W4" s="108" t="n">
        <v>1</v>
      </c>
      <c r="X4" s="107" t="n">
        <v>5191</v>
      </c>
      <c r="Y4" s="108" t="n">
        <v>0.5</v>
      </c>
      <c r="Z4" s="108" t="n">
        <v>1</v>
      </c>
      <c r="AA4" s="108" t="n">
        <v>0.5</v>
      </c>
      <c r="AB4" s="108" t="n">
        <v>0.923076923076923</v>
      </c>
      <c r="AC4" s="108" t="n">
        <v>0.923076923076923</v>
      </c>
      <c r="AD4" s="108" t="n">
        <v>1</v>
      </c>
      <c r="AE4" s="108" t="n">
        <v>0.5</v>
      </c>
      <c r="AF4" s="108" t="n">
        <v>0.230769230769231</v>
      </c>
      <c r="AG4" s="108" t="n">
        <v>0.384615384615385</v>
      </c>
      <c r="AH4" s="107" t="n">
        <v>74191.6281987105</v>
      </c>
      <c r="AI4" s="109" t="n">
        <v>0.699674629878283</v>
      </c>
      <c r="AJ4" s="57" t="n">
        <v>24</v>
      </c>
      <c r="AK4" s="57" t="n">
        <v>24</v>
      </c>
      <c r="AL4" s="57" t="n">
        <v>27</v>
      </c>
      <c r="AM4" s="107" t="n">
        <v>1940.0304196914</v>
      </c>
      <c r="AN4" s="107" t="n">
        <v>2355.64593237954</v>
      </c>
      <c r="AO4" s="107" t="n">
        <v>6421.13032684691</v>
      </c>
      <c r="AP4" s="107" t="n">
        <v>260</v>
      </c>
      <c r="AQ4" s="107" t="n">
        <v>2272.42357264721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57" t="n">
        <v>0</v>
      </c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27114</v>
      </c>
      <c r="BX4" s="107" t="n">
        <v>51910</v>
      </c>
      <c r="BY4" s="108" t="n">
        <v>1</v>
      </c>
      <c r="BZ4" s="107" t="n">
        <v>11309.1998318737</v>
      </c>
      <c r="CA4" s="107" t="n">
        <v>6622.02260027766</v>
      </c>
      <c r="CB4" s="107" t="n">
        <v>1940.0304196914</v>
      </c>
      <c r="CC4" s="107" t="n">
        <v>60942.3979471455</v>
      </c>
      <c r="CD4" s="107" t="n">
        <v>60161.8407195068</v>
      </c>
      <c r="CE4" s="107" t="n">
        <v>68723.8937394759</v>
      </c>
      <c r="CF4" s="109" t="n">
        <v>0.394535270408076</v>
      </c>
      <c r="CG4" s="118" t="n">
        <v>1951.39306909666</v>
      </c>
      <c r="CH4" s="107" t="n">
        <v>74191.6281987105</v>
      </c>
      <c r="CI4" s="109" t="n">
        <v>0.699674629878283</v>
      </c>
      <c r="CJ4" s="107" t="n">
        <v>74201.5977790191</v>
      </c>
      <c r="CK4" s="109" t="n">
        <v>0.699580622975181</v>
      </c>
    </row>
    <row r="5" ht="30" customFormat="1" customHeight="1" s="40">
      <c r="A5" s="40" t="inlineStr">
        <is>
          <t>麥雅緻直播-汇总</t>
        </is>
      </c>
      <c r="B5" s="57" t="n"/>
      <c r="C5" s="57" t="n"/>
      <c r="D5" s="57" t="n"/>
      <c r="E5" s="57" t="n"/>
      <c r="F5" s="57" t="n"/>
      <c r="G5" s="57" t="n"/>
      <c r="H5" s="107">
        <f>SUM(H3:H4)</f>
        <v/>
      </c>
      <c r="I5" s="107">
        <f>SUM(I3:I4)</f>
        <v/>
      </c>
      <c r="J5" s="107">
        <f>I5/K5</f>
        <v/>
      </c>
      <c r="K5" s="57">
        <f>SUM(K3:K4)</f>
        <v/>
      </c>
      <c r="L5" s="57">
        <f>SUM(L3:L4)</f>
        <v/>
      </c>
      <c r="M5" s="57">
        <f>SUM(M3:M4)</f>
        <v/>
      </c>
      <c r="N5" s="57">
        <f>SUM(N3:N4)</f>
        <v/>
      </c>
      <c r="O5" s="57" t="n"/>
      <c r="P5" s="57" t="n"/>
      <c r="Q5" s="57">
        <f>SUM(Q3:Q4)</f>
        <v/>
      </c>
      <c r="R5" s="57">
        <f>SUM(R3:R4)</f>
        <v/>
      </c>
      <c r="S5" s="57">
        <f>SUM(S3:S4)</f>
        <v/>
      </c>
      <c r="T5" s="57">
        <f>SUM(T3:T4)</f>
        <v/>
      </c>
      <c r="U5" s="107">
        <f>SUM(U3:U4)</f>
        <v/>
      </c>
      <c r="V5" s="107">
        <f>SUM(V3:V4)</f>
        <v/>
      </c>
      <c r="W5" s="57" t="n"/>
      <c r="X5" s="107">
        <f>V5/T5</f>
        <v/>
      </c>
      <c r="Y5" s="61">
        <f>L5/K5</f>
        <v/>
      </c>
      <c r="Z5" s="61">
        <f>N5/L5</f>
        <v/>
      </c>
      <c r="AA5" s="61">
        <f>N5/K5</f>
        <v/>
      </c>
      <c r="AB5" s="61">
        <f>Q5/N5</f>
        <v/>
      </c>
      <c r="AC5" s="61" t="n"/>
      <c r="AD5" s="61">
        <f>AVERAGE(AD3:AD4)</f>
        <v/>
      </c>
      <c r="AE5" s="61">
        <f>S5/Q5</f>
        <v/>
      </c>
      <c r="AF5" s="61">
        <f>S5/K5</f>
        <v/>
      </c>
      <c r="AG5" s="61">
        <f>T5/K5</f>
        <v/>
      </c>
      <c r="AH5" s="107">
        <f>SUM(AH3:AH4)</f>
        <v/>
      </c>
      <c r="AI5" s="109">
        <f>V5/AH5</f>
        <v/>
      </c>
      <c r="AJ5" s="57">
        <f>SUM(AJ3:AJ4)</f>
        <v/>
      </c>
      <c r="AK5" s="57">
        <f>SUM(AK3:AK4)</f>
        <v/>
      </c>
      <c r="AL5" s="57">
        <f>SUM(AL3:AL4)</f>
        <v/>
      </c>
      <c r="AM5" s="107">
        <f>SUM(AM3:AM4)</f>
        <v/>
      </c>
      <c r="AN5" s="107">
        <f>SUM(AN3:AN4)</f>
        <v/>
      </c>
      <c r="AO5" s="107">
        <f>SUM(AO3:AO4)</f>
        <v/>
      </c>
      <c r="AP5" s="107">
        <f>SUM(AP3:AP4)</f>
        <v/>
      </c>
      <c r="AQ5" s="107">
        <f>SUM(AQ3:AQ4)</f>
        <v/>
      </c>
      <c r="AR5" s="57">
        <f>SUM(AR3:AR4)</f>
        <v/>
      </c>
      <c r="AS5" s="57">
        <f>SUM(AS3:AS4)</f>
        <v/>
      </c>
      <c r="AT5" s="57" t="n"/>
      <c r="AU5" s="57">
        <f>SUM(AU3:AU4)</f>
        <v/>
      </c>
      <c r="AV5" s="57" t="n"/>
      <c r="AW5" s="57" t="n"/>
      <c r="AX5" s="57">
        <f>SUM(AX3:AX4)</f>
        <v/>
      </c>
      <c r="AY5" s="57">
        <f>SUM(AY3:AY4)</f>
        <v/>
      </c>
      <c r="AZ5" s="57">
        <f>SUM(AZ3:AZ4)</f>
        <v/>
      </c>
      <c r="BA5" s="57">
        <f>SUM(BA3:BA4)</f>
        <v/>
      </c>
      <c r="BB5" s="107">
        <f>SUM(BB3:BB4)</f>
        <v/>
      </c>
      <c r="BC5" s="107">
        <f>SUM(BC3:BC4)</f>
        <v/>
      </c>
      <c r="BD5" s="107" t="n"/>
      <c r="BE5" s="107">
        <f>BC5/BA5</f>
        <v/>
      </c>
      <c r="BF5" s="62">
        <f>AS5/AR5</f>
        <v/>
      </c>
      <c r="BG5" s="62">
        <f>AU5/AS5</f>
        <v/>
      </c>
      <c r="BH5" s="62">
        <f>AU5/AR5</f>
        <v/>
      </c>
      <c r="BI5" s="62">
        <f>AX5/AU5</f>
        <v/>
      </c>
      <c r="BJ5" s="62" t="n"/>
      <c r="BK5" s="62">
        <f>AVERAGE(BK3:BK4)</f>
        <v/>
      </c>
      <c r="BL5" s="62">
        <f>AZ5/AX5</f>
        <v/>
      </c>
      <c r="BM5" s="62">
        <f>AZ5/AR5</f>
        <v/>
      </c>
      <c r="BN5" s="62">
        <f>BA5/AR5</f>
        <v/>
      </c>
      <c r="BO5" s="57">
        <f>SUM(BO3:BO4)</f>
        <v/>
      </c>
      <c r="BP5" s="57">
        <f>SUM(BP3:BP4)</f>
        <v/>
      </c>
      <c r="BQ5" s="57">
        <f>SUM(BQ3:BQ4)</f>
        <v/>
      </c>
      <c r="BR5" s="107">
        <f>SUM(BR3:BR4)</f>
        <v/>
      </c>
      <c r="BS5" s="107">
        <f>SUM(BS3:BS4)</f>
        <v/>
      </c>
      <c r="BT5" s="107">
        <f>SUM(BT3:BT4)</f>
        <v/>
      </c>
      <c r="BU5" s="57">
        <f>SUM(BU3:BU4)</f>
        <v/>
      </c>
      <c r="BV5" s="57">
        <f>SUM(BV3:BV4)</f>
        <v/>
      </c>
      <c r="BW5" s="107">
        <f>SUM(BW3:BW4)</f>
        <v/>
      </c>
      <c r="BX5" s="107">
        <f>SUM(BX3:BX4)</f>
        <v/>
      </c>
      <c r="BY5" s="107" t="n"/>
      <c r="BZ5" s="107">
        <f>SUM(BZ3:BZ4)</f>
        <v/>
      </c>
      <c r="CA5" s="107">
        <f>SUM(CA3:CA4)</f>
        <v/>
      </c>
      <c r="CB5" s="107">
        <f>SUM(CB3:CB4)</f>
        <v/>
      </c>
      <c r="CC5" s="107">
        <f>SUM(CC3:CC4)</f>
        <v/>
      </c>
      <c r="CD5" s="107">
        <f>SUM(CD3:CD4)</f>
        <v/>
      </c>
      <c r="CE5" s="107">
        <f>SUM(CE3:CE4)</f>
        <v/>
      </c>
      <c r="CF5" s="109">
        <f>BW5/CE5</f>
        <v/>
      </c>
      <c r="CG5" s="107">
        <f>SUM(CG3:CG4)</f>
        <v/>
      </c>
      <c r="CH5" s="107">
        <f>SUM(CH3:CH4)</f>
        <v/>
      </c>
      <c r="CI5" s="109">
        <f>BX5/CH5</f>
        <v/>
      </c>
      <c r="CJ5" s="107">
        <f>SUM(CJ3:CJ4)</f>
        <v/>
      </c>
      <c r="CK5" s="109">
        <f>BX5/CJ5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L8"/>
  <sheetViews>
    <sheetView zoomScale="70" zoomScaleNormal="70" workbookViewId="0">
      <selection activeCell="S41" sqref="S41"/>
    </sheetView>
  </sheetViews>
  <sheetFormatPr baseColWidth="8" defaultColWidth="8.891666666666669" defaultRowHeight="14.25" outlineLevelRow="7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45962</v>
      </c>
      <c r="B3" s="67" t="n"/>
      <c r="C3" s="67" t="n"/>
      <c r="D3" s="67" t="n"/>
      <c r="E3" s="67" t="n"/>
      <c r="F3" s="67" t="n"/>
      <c r="G3" s="67" t="n"/>
      <c r="H3" s="107" t="n">
        <v>103154.490734181</v>
      </c>
      <c r="I3" s="118">
        <f>H3-CG3</f>
        <v/>
      </c>
      <c r="J3" s="107" t="n">
        <v>889.262851156735</v>
      </c>
      <c r="K3" s="57" t="n">
        <v>116</v>
      </c>
      <c r="L3" s="57" t="n">
        <v>56</v>
      </c>
      <c r="M3" s="57" t="n">
        <v>56</v>
      </c>
      <c r="N3" s="57" t="n">
        <v>56</v>
      </c>
      <c r="O3" s="57" t="n"/>
      <c r="P3" s="57" t="n"/>
      <c r="Q3" s="57" t="n">
        <v>35</v>
      </c>
      <c r="R3" s="57" t="n">
        <v>35</v>
      </c>
      <c r="S3" s="57" t="n">
        <v>11</v>
      </c>
      <c r="T3" s="57" t="n">
        <v>11</v>
      </c>
      <c r="U3" s="107" t="n">
        <v>59729</v>
      </c>
      <c r="V3" s="107" t="n">
        <v>59729</v>
      </c>
      <c r="W3" s="108" t="n">
        <v>1</v>
      </c>
      <c r="X3" s="107" t="n">
        <v>5429.90909090909</v>
      </c>
      <c r="Y3" s="108" t="n">
        <v>0.482758620689655</v>
      </c>
      <c r="Z3" s="108" t="n">
        <v>1</v>
      </c>
      <c r="AA3" s="108" t="n">
        <v>0.482758620689655</v>
      </c>
      <c r="AB3" s="108" t="n">
        <v>0.625</v>
      </c>
      <c r="AC3" s="108" t="n"/>
      <c r="AD3" s="108" t="n">
        <v>1</v>
      </c>
      <c r="AE3" s="108" t="n">
        <v>0.314285714285714</v>
      </c>
      <c r="AF3" s="108" t="n">
        <v>0.09482758620689651</v>
      </c>
      <c r="AG3" s="108" t="n">
        <v>0.09482758620689651</v>
      </c>
      <c r="AH3" s="107" t="n">
        <v>128186.01349053</v>
      </c>
      <c r="AI3" s="109" t="n">
        <v>0.465955671555483</v>
      </c>
      <c r="AJ3" s="57" t="n">
        <v>35</v>
      </c>
      <c r="AK3" s="57" t="n">
        <v>35</v>
      </c>
      <c r="AL3" s="57" t="n">
        <v>37</v>
      </c>
      <c r="AM3" s="107" t="n">
        <v>7550.84737603059</v>
      </c>
      <c r="AN3" s="107" t="n">
        <v>6614.04600826206</v>
      </c>
      <c r="AO3" s="107" t="n">
        <v>6570.29091966143</v>
      </c>
      <c r="AP3" s="107" t="n">
        <v>1160</v>
      </c>
      <c r="AQ3" s="107" t="n">
        <v>3136.33845239445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/>
      <c r="AW3" s="57" t="n"/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59729</v>
      </c>
      <c r="BX3" s="107" t="n">
        <v>59729</v>
      </c>
      <c r="BY3" s="108" t="n">
        <v>1</v>
      </c>
      <c r="BZ3" s="107" t="n">
        <v>17480.6753803179</v>
      </c>
      <c r="CA3" s="107" t="n">
        <v>17480.6753803179</v>
      </c>
      <c r="CB3" s="107" t="n">
        <v>7550.84737603059</v>
      </c>
      <c r="CC3" s="107" t="n">
        <v>103154.490734181</v>
      </c>
      <c r="CD3" s="107" t="n">
        <v>103154.490734181</v>
      </c>
      <c r="CE3" s="107" t="n">
        <v>128186.01349053</v>
      </c>
      <c r="CF3" s="109" t="n">
        <v>0.465955671555483</v>
      </c>
      <c r="CG3" s="118" t="n">
        <v>1965.94589499723</v>
      </c>
      <c r="CH3" s="107" t="n">
        <v>128186.01349053</v>
      </c>
      <c r="CI3" s="109" t="n">
        <v>0.465955671555483</v>
      </c>
      <c r="CJ3" s="107" t="n">
        <v>129335.166114499</v>
      </c>
      <c r="CK3" s="109" t="n">
        <v>0.461815620564654</v>
      </c>
    </row>
    <row r="4" ht="16.5" customFormat="1" customHeight="1" s="39">
      <c r="A4" s="63" t="n">
        <v>45992</v>
      </c>
      <c r="B4" s="67" t="n"/>
      <c r="C4" s="67" t="n"/>
      <c r="D4" s="67" t="n"/>
      <c r="E4" s="67" t="n"/>
      <c r="F4" s="67" t="n"/>
      <c r="G4" s="67" t="n"/>
      <c r="H4" s="107" t="n">
        <v>151817.610599377</v>
      </c>
      <c r="I4" s="118">
        <f>H4-CG4</f>
        <v/>
      </c>
      <c r="J4" s="107" t="n">
        <v>1615.08096382316</v>
      </c>
      <c r="K4" s="57" t="n">
        <v>94</v>
      </c>
      <c r="L4" s="57" t="n">
        <v>45</v>
      </c>
      <c r="M4" s="57" t="n">
        <v>51</v>
      </c>
      <c r="N4" s="57" t="n">
        <v>43</v>
      </c>
      <c r="O4" s="57" t="n">
        <v>41</v>
      </c>
      <c r="P4" s="57" t="n">
        <v>43</v>
      </c>
      <c r="Q4" s="57" t="n">
        <v>32</v>
      </c>
      <c r="R4" s="57" t="n">
        <v>42</v>
      </c>
      <c r="S4" s="57" t="n">
        <v>10</v>
      </c>
      <c r="T4" s="57" t="n">
        <v>13</v>
      </c>
      <c r="U4" s="107" t="n">
        <v>44710</v>
      </c>
      <c r="V4" s="107" t="n">
        <v>58096</v>
      </c>
      <c r="W4" s="108" t="n">
        <v>1</v>
      </c>
      <c r="X4" s="107" t="n">
        <v>4468.92307692308</v>
      </c>
      <c r="Y4" s="108" t="n">
        <v>0.478723404255319</v>
      </c>
      <c r="Z4" s="108" t="n">
        <v>0.955555555555556</v>
      </c>
      <c r="AA4" s="108" t="n">
        <v>0.457446808510638</v>
      </c>
      <c r="AB4" s="108" t="n">
        <v>0.744186046511628</v>
      </c>
      <c r="AC4" s="108" t="n">
        <v>0.780487804878049</v>
      </c>
      <c r="AD4" s="108" t="n">
        <v>0.976744186046512</v>
      </c>
      <c r="AE4" s="108" t="n">
        <v>0.3125</v>
      </c>
      <c r="AF4" s="108" t="n">
        <v>0.106382978723404</v>
      </c>
      <c r="AG4" s="108" t="n">
        <v>0.138297872340426</v>
      </c>
      <c r="AH4" s="107" t="n">
        <v>178001.391494383</v>
      </c>
      <c r="AI4" s="109" t="n">
        <v>0.326379471038199</v>
      </c>
      <c r="AJ4" s="57" t="n">
        <v>43</v>
      </c>
      <c r="AK4" s="57" t="n">
        <v>42</v>
      </c>
      <c r="AL4" s="57" t="n">
        <v>42</v>
      </c>
      <c r="AM4" s="107" t="n">
        <v>7013.95613273045</v>
      </c>
      <c r="AN4" s="107" t="n">
        <v>7508.62140945977</v>
      </c>
      <c r="AO4" s="107" t="n">
        <v>7186.32223980925</v>
      </c>
      <c r="AP4" s="107" t="n">
        <v>940</v>
      </c>
      <c r="AQ4" s="107" t="n">
        <v>3534.88111300677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57" t="n">
        <v>0</v>
      </c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44710</v>
      </c>
      <c r="BX4" s="107" t="n">
        <v>58096</v>
      </c>
      <c r="BY4" s="108" t="n">
        <v>1</v>
      </c>
      <c r="BZ4" s="107" t="n">
        <v>19169.8247622758</v>
      </c>
      <c r="CA4" s="107" t="n">
        <v>15789.0062212163</v>
      </c>
      <c r="CB4" s="107" t="n">
        <v>7013.95613273045</v>
      </c>
      <c r="CC4" s="107" t="n">
        <v>151817.610599377</v>
      </c>
      <c r="CD4" s="107" t="n">
        <v>151232.192678648</v>
      </c>
      <c r="CE4" s="107" t="n">
        <v>174035.155032594</v>
      </c>
      <c r="CF4" s="109" t="n">
        <v>0.256902118377327</v>
      </c>
      <c r="CG4" s="118" t="n">
        <v>2536.81098982565</v>
      </c>
      <c r="CH4" s="107" t="n">
        <v>178001.391494383</v>
      </c>
      <c r="CI4" s="109" t="n">
        <v>0.326379471038199</v>
      </c>
      <c r="CJ4" s="107" t="n">
        <v>178037.435361652</v>
      </c>
      <c r="CK4" s="109" t="n">
        <v>0.326313395168763</v>
      </c>
    </row>
    <row r="5" ht="16.5" customFormat="1" customHeight="1" s="39">
      <c r="A5" s="63" t="n">
        <v>46023</v>
      </c>
      <c r="B5" s="67" t="n"/>
      <c r="C5" s="67" t="n"/>
      <c r="D5" s="67" t="n"/>
      <c r="E5" s="67" t="n"/>
      <c r="F5" s="67" t="n"/>
      <c r="G5" s="67" t="n"/>
      <c r="H5" s="107" t="n">
        <v>74827.383739974</v>
      </c>
      <c r="I5" s="118">
        <f>H5-CG5</f>
        <v/>
      </c>
      <c r="J5" s="107" t="n">
        <v>1053.90681323907</v>
      </c>
      <c r="K5" s="57" t="n">
        <v>71</v>
      </c>
      <c r="L5" s="57" t="n">
        <v>35</v>
      </c>
      <c r="M5" s="57" t="n">
        <v>38</v>
      </c>
      <c r="N5" s="57" t="n">
        <v>35</v>
      </c>
      <c r="O5" s="57" t="n">
        <v>35</v>
      </c>
      <c r="P5" s="57" t="n">
        <v>37</v>
      </c>
      <c r="Q5" s="57" t="n">
        <v>28</v>
      </c>
      <c r="R5" s="57" t="n">
        <v>37</v>
      </c>
      <c r="S5" s="57" t="n">
        <v>9</v>
      </c>
      <c r="T5" s="57" t="n">
        <v>12</v>
      </c>
      <c r="U5" s="107" t="n">
        <v>47892</v>
      </c>
      <c r="V5" s="107" t="n">
        <v>63667.2</v>
      </c>
      <c r="W5" s="108" t="n">
        <v>1</v>
      </c>
      <c r="X5" s="107" t="n">
        <v>5305.6</v>
      </c>
      <c r="Y5" s="108" t="n">
        <v>0.492957746478873</v>
      </c>
      <c r="Z5" s="108" t="n">
        <v>1</v>
      </c>
      <c r="AA5" s="108" t="n">
        <v>0.492957746478873</v>
      </c>
      <c r="AB5" s="108" t="n">
        <v>0.8</v>
      </c>
      <c r="AC5" s="108" t="n">
        <v>0.8</v>
      </c>
      <c r="AD5" s="108" t="n">
        <v>1</v>
      </c>
      <c r="AE5" s="108" t="n">
        <v>0.321428571428571</v>
      </c>
      <c r="AF5" s="108" t="n">
        <v>0.126760563380282</v>
      </c>
      <c r="AG5" s="108" t="n">
        <v>0.169014084507042</v>
      </c>
      <c r="AH5" s="107" t="n">
        <v>102159.66064966</v>
      </c>
      <c r="AI5" s="109" t="n">
        <v>0.623212720119894</v>
      </c>
      <c r="AJ5" s="57" t="n">
        <v>37</v>
      </c>
      <c r="AK5" s="57" t="n">
        <v>37</v>
      </c>
      <c r="AL5" s="57" t="n">
        <v>39</v>
      </c>
      <c r="AM5" s="107" t="n">
        <v>7722.47185112157</v>
      </c>
      <c r="AN5" s="107" t="n">
        <v>7357.07890643234</v>
      </c>
      <c r="AO5" s="107" t="n">
        <v>8346.25459184687</v>
      </c>
      <c r="AP5" s="107" t="n">
        <v>710</v>
      </c>
      <c r="AQ5" s="107" t="n">
        <v>3196.47156028537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>
        <v>0</v>
      </c>
      <c r="AW5" s="57" t="n">
        <v>0</v>
      </c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47892</v>
      </c>
      <c r="BX5" s="107" t="n">
        <v>63667.2</v>
      </c>
      <c r="BY5" s="108" t="n">
        <v>1</v>
      </c>
      <c r="BZ5" s="107" t="n">
        <v>19609.8050585646</v>
      </c>
      <c r="CA5" s="107" t="n">
        <v>16141.3739131697</v>
      </c>
      <c r="CB5" s="107" t="n">
        <v>7722.47185112157</v>
      </c>
      <c r="CC5" s="107" t="n">
        <v>74827.383739974</v>
      </c>
      <c r="CD5" s="107" t="n">
        <v>74827.383739974</v>
      </c>
      <c r="CE5" s="107" t="n">
        <v>98691.2295042653</v>
      </c>
      <c r="CF5" s="109" t="n">
        <v>0.485271084781958</v>
      </c>
      <c r="CG5" s="118" t="n">
        <v>0</v>
      </c>
      <c r="CH5" s="107" t="n">
        <v>102159.66064966</v>
      </c>
      <c r="CI5" s="109" t="n">
        <v>0.623212720119894</v>
      </c>
      <c r="CJ5" s="107" t="n">
        <v>99762.1887985386</v>
      </c>
      <c r="CK5" s="109" t="n">
        <v>0.638189686561214</v>
      </c>
    </row>
    <row r="6" ht="16.5" customFormat="1" customHeight="1" s="39">
      <c r="A6" s="63" t="n">
        <v>46054</v>
      </c>
      <c r="B6" s="67" t="n"/>
      <c r="C6" s="67" t="n"/>
      <c r="D6" s="67" t="n"/>
      <c r="E6" s="67" t="n"/>
      <c r="F6" s="67" t="n"/>
      <c r="G6" s="67" t="n"/>
      <c r="H6" s="107" t="n">
        <v>28742.7615973984</v>
      </c>
      <c r="I6" s="118">
        <f>H6-CG6</f>
        <v/>
      </c>
      <c r="J6" s="107" t="n">
        <v>870.992775678739</v>
      </c>
      <c r="K6" s="57" t="n">
        <v>33</v>
      </c>
      <c r="L6" s="57" t="n">
        <v>10</v>
      </c>
      <c r="M6" s="57" t="n">
        <v>11</v>
      </c>
      <c r="N6" s="57" t="n">
        <v>9</v>
      </c>
      <c r="O6" s="57" t="n">
        <v>7</v>
      </c>
      <c r="P6" s="57" t="n">
        <v>6</v>
      </c>
      <c r="Q6" s="57" t="n">
        <v>6</v>
      </c>
      <c r="R6" s="57" t="n">
        <v>6</v>
      </c>
      <c r="S6" s="57" t="n">
        <v>1</v>
      </c>
      <c r="T6" s="57" t="n">
        <v>1</v>
      </c>
      <c r="U6" s="107" t="n">
        <v>4588</v>
      </c>
      <c r="V6" s="107" t="n">
        <v>4588</v>
      </c>
      <c r="W6" s="108" t="n">
        <v>1</v>
      </c>
      <c r="X6" s="107" t="n">
        <v>4588</v>
      </c>
      <c r="Y6" s="108" t="n">
        <v>0.303030303030303</v>
      </c>
      <c r="Z6" s="108" t="n">
        <v>0.9</v>
      </c>
      <c r="AA6" s="108" t="n">
        <v>0.272727272727273</v>
      </c>
      <c r="AB6" s="108" t="n">
        <v>0.666666666666667</v>
      </c>
      <c r="AC6" s="108" t="n">
        <v>0.857142857142857</v>
      </c>
      <c r="AD6" s="108" t="n">
        <v>1</v>
      </c>
      <c r="AE6" s="108" t="n">
        <v>0.166666666666667</v>
      </c>
      <c r="AF6" s="108" t="n">
        <v>0.0303030303030303</v>
      </c>
      <c r="AG6" s="108" t="n">
        <v>0.0303030303030303</v>
      </c>
      <c r="AH6" s="107" t="n">
        <v>36648.3494347782</v>
      </c>
      <c r="AI6" s="109" t="n">
        <v>0.12518981265896</v>
      </c>
      <c r="AJ6" s="57" t="n">
        <v>6</v>
      </c>
      <c r="AK6" s="57" t="n">
        <v>6</v>
      </c>
      <c r="AL6" s="57" t="n">
        <v>6</v>
      </c>
      <c r="AM6" s="107" t="n">
        <v>4349.4386385233</v>
      </c>
      <c r="AN6" s="107" t="n">
        <v>2132.9346791206</v>
      </c>
      <c r="AO6" s="107" t="n">
        <v>601.449664307421</v>
      </c>
      <c r="AP6" s="107" t="n">
        <v>330</v>
      </c>
      <c r="AQ6" s="107" t="n">
        <v>491.764855428518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57" t="n">
        <v>0</v>
      </c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8" t="n"/>
      <c r="BE6" s="107" t="n"/>
      <c r="BF6" s="108" t="n"/>
      <c r="BG6" s="108" t="n"/>
      <c r="BH6" s="108" t="n"/>
      <c r="BI6" s="108" t="n"/>
      <c r="BJ6" s="108" t="n"/>
      <c r="BK6" s="108" t="n"/>
      <c r="BL6" s="108" t="n"/>
      <c r="BM6" s="108" t="n"/>
      <c r="BN6" s="108" t="n"/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107" t="n">
        <v>0</v>
      </c>
      <c r="BV6" s="107" t="n">
        <v>0</v>
      </c>
      <c r="BW6" s="107" t="n">
        <v>4588</v>
      </c>
      <c r="BX6" s="107" t="n">
        <v>4588</v>
      </c>
      <c r="BY6" s="108" t="n">
        <v>1</v>
      </c>
      <c r="BZ6" s="107" t="n">
        <v>3556.14919885654</v>
      </c>
      <c r="CA6" s="107" t="n">
        <v>3362.24604620921</v>
      </c>
      <c r="CB6" s="107" t="n">
        <v>4349.4386385233</v>
      </c>
      <c r="CC6" s="107" t="n">
        <v>28742.7615973984</v>
      </c>
      <c r="CD6" s="107" t="n">
        <v>28742.7615973984</v>
      </c>
      <c r="CE6" s="107" t="n">
        <v>36454.4462821309</v>
      </c>
      <c r="CF6" s="109" t="n">
        <v>0.125855703978939</v>
      </c>
      <c r="CG6" s="118" t="n">
        <v>0</v>
      </c>
      <c r="CH6" s="107" t="n">
        <v>36648.3494347782</v>
      </c>
      <c r="CI6" s="109" t="n">
        <v>0.12518981265896</v>
      </c>
      <c r="CJ6" s="107" t="n">
        <v>34773.9107962549</v>
      </c>
      <c r="CK6" s="109" t="n">
        <v>0.131937993022462</v>
      </c>
    </row>
    <row r="7" ht="16.5" customFormat="1" customHeight="1" s="39">
      <c r="A7" s="63" t="n">
        <v>46082</v>
      </c>
      <c r="B7" s="67" t="n"/>
      <c r="C7" s="67" t="n"/>
      <c r="D7" s="67" t="n"/>
      <c r="E7" s="67" t="n"/>
      <c r="F7" s="67" t="n"/>
      <c r="G7" s="67" t="n"/>
      <c r="H7" s="107" t="n">
        <v>27315.7876036936</v>
      </c>
      <c r="I7" s="118">
        <f>H7-CG7</f>
        <v/>
      </c>
      <c r="J7" s="107" t="n">
        <v>881.154438828827</v>
      </c>
      <c r="K7" s="57" t="n">
        <v>31</v>
      </c>
      <c r="L7" s="57" t="n">
        <v>14</v>
      </c>
      <c r="M7" s="57" t="n">
        <v>16</v>
      </c>
      <c r="N7" s="57" t="n">
        <v>14</v>
      </c>
      <c r="O7" s="57" t="n">
        <v>13</v>
      </c>
      <c r="P7" s="57" t="n">
        <v>17</v>
      </c>
      <c r="Q7" s="57" t="n">
        <v>10</v>
      </c>
      <c r="R7" s="57" t="n">
        <v>17</v>
      </c>
      <c r="S7" s="57" t="n">
        <v>4</v>
      </c>
      <c r="T7" s="57" t="n">
        <v>5</v>
      </c>
      <c r="U7" s="107" t="n">
        <v>15852</v>
      </c>
      <c r="V7" s="107" t="n">
        <v>19540</v>
      </c>
      <c r="W7" s="108" t="n">
        <v>1</v>
      </c>
      <c r="X7" s="107" t="n">
        <v>3908</v>
      </c>
      <c r="Y7" s="108" t="n">
        <v>0.451612903225806</v>
      </c>
      <c r="Z7" s="108" t="n">
        <v>1</v>
      </c>
      <c r="AA7" s="108" t="n">
        <v>0.451612903225806</v>
      </c>
      <c r="AB7" s="108" t="n">
        <v>0.714285714285714</v>
      </c>
      <c r="AC7" s="108" t="n">
        <v>0.7692307692307691</v>
      </c>
      <c r="AD7" s="108" t="n">
        <v>1</v>
      </c>
      <c r="AE7" s="108" t="n">
        <v>0.4</v>
      </c>
      <c r="AF7" s="108" t="n">
        <v>0.129032258064516</v>
      </c>
      <c r="AG7" s="108" t="n">
        <v>0.161290322580645</v>
      </c>
      <c r="AH7" s="107" t="n">
        <v>36560.9971339108</v>
      </c>
      <c r="AI7" s="109" t="n">
        <v>0.534449318448057</v>
      </c>
      <c r="AJ7" s="57" t="n">
        <v>17</v>
      </c>
      <c r="AK7" s="57" t="n">
        <v>17</v>
      </c>
      <c r="AL7" s="57" t="n">
        <v>20</v>
      </c>
      <c r="AM7" s="107" t="n">
        <v>2732.19207579673</v>
      </c>
      <c r="AN7" s="107" t="n">
        <v>2212.33688501094</v>
      </c>
      <c r="AO7" s="107" t="n">
        <v>2318.80560769755</v>
      </c>
      <c r="AP7" s="107" t="n">
        <v>310</v>
      </c>
      <c r="AQ7" s="107" t="n">
        <v>1671.87496171197</v>
      </c>
      <c r="AR7" s="57" t="n">
        <v>0</v>
      </c>
      <c r="AS7" s="57" t="n">
        <v>0</v>
      </c>
      <c r="AT7" s="57" t="n">
        <v>0</v>
      </c>
      <c r="AU7" s="57" t="n">
        <v>0</v>
      </c>
      <c r="AV7" s="57" t="n">
        <v>0</v>
      </c>
      <c r="AW7" s="57" t="n">
        <v>0</v>
      </c>
      <c r="AX7" s="57" t="n">
        <v>0</v>
      </c>
      <c r="AY7" s="57" t="n">
        <v>0</v>
      </c>
      <c r="AZ7" s="57" t="n">
        <v>0</v>
      </c>
      <c r="BA7" s="57" t="n">
        <v>0</v>
      </c>
      <c r="BB7" s="107" t="n">
        <v>0</v>
      </c>
      <c r="BC7" s="107" t="n">
        <v>0</v>
      </c>
      <c r="BD7" s="108" t="n"/>
      <c r="BE7" s="107" t="n"/>
      <c r="BF7" s="108" t="n"/>
      <c r="BG7" s="108" t="n"/>
      <c r="BH7" s="108" t="n"/>
      <c r="BI7" s="108" t="n"/>
      <c r="BJ7" s="108" t="n"/>
      <c r="BK7" s="108" t="n"/>
      <c r="BL7" s="108" t="n"/>
      <c r="BM7" s="108" t="n"/>
      <c r="BN7" s="108" t="n"/>
      <c r="BO7" s="57" t="n">
        <v>0</v>
      </c>
      <c r="BP7" s="57" t="n">
        <v>0</v>
      </c>
      <c r="BQ7" s="57" t="n">
        <v>0</v>
      </c>
      <c r="BR7" s="107" t="n">
        <v>0</v>
      </c>
      <c r="BS7" s="107" t="n">
        <v>0</v>
      </c>
      <c r="BT7" s="107" t="n">
        <v>0</v>
      </c>
      <c r="BU7" s="107" t="n">
        <v>0</v>
      </c>
      <c r="BV7" s="107" t="n">
        <v>0</v>
      </c>
      <c r="BW7" s="107" t="n">
        <v>15852</v>
      </c>
      <c r="BX7" s="107" t="n">
        <v>19540</v>
      </c>
      <c r="BY7" s="108" t="n">
        <v>1</v>
      </c>
      <c r="BZ7" s="107" t="n">
        <v>6513.01745442046</v>
      </c>
      <c r="CA7" s="107" t="n">
        <v>5213.66531593653</v>
      </c>
      <c r="CB7" s="107" t="n">
        <v>2732.19207579673</v>
      </c>
      <c r="CC7" s="107" t="n">
        <v>27315.7876036936</v>
      </c>
      <c r="CD7" s="107" t="n">
        <v>27114.5732319517</v>
      </c>
      <c r="CE7" s="107" t="n">
        <v>35060.4306236849</v>
      </c>
      <c r="CF7" s="109" t="n">
        <v>0.452133636638543</v>
      </c>
      <c r="CG7" s="118" t="n">
        <v>1006.07185870983</v>
      </c>
      <c r="CH7" s="107" t="n">
        <v>36560.9971339108</v>
      </c>
      <c r="CI7" s="109" t="n">
        <v>0.534449318448057</v>
      </c>
      <c r="CJ7" s="107" t="n">
        <v>36153.8050581141</v>
      </c>
      <c r="CK7" s="109" t="n">
        <v>0.540468699451998</v>
      </c>
    </row>
    <row r="8" ht="30" customFormat="1" customHeight="1" s="40">
      <c r="A8" s="40" t="inlineStr">
        <is>
          <t>呂慧儀直播-汇总</t>
        </is>
      </c>
      <c r="B8" s="57" t="n"/>
      <c r="C8" s="57" t="n"/>
      <c r="D8" s="57" t="n"/>
      <c r="E8" s="57" t="n"/>
      <c r="F8" s="57" t="n"/>
      <c r="G8" s="57" t="n"/>
      <c r="H8" s="107">
        <f>SUM(H3:H7)</f>
        <v/>
      </c>
      <c r="I8" s="107">
        <f>SUM(I3:I7)</f>
        <v/>
      </c>
      <c r="J8" s="107">
        <f>I8/K8</f>
        <v/>
      </c>
      <c r="K8" s="57">
        <f>SUM(K3:K7)</f>
        <v/>
      </c>
      <c r="L8" s="57">
        <f>SUM(L3:L7)</f>
        <v/>
      </c>
      <c r="M8" s="57">
        <f>SUM(M3:M7)</f>
        <v/>
      </c>
      <c r="N8" s="57">
        <f>SUM(N3:N7)</f>
        <v/>
      </c>
      <c r="O8" s="57" t="n"/>
      <c r="P8" s="57" t="n"/>
      <c r="Q8" s="57">
        <f>SUM(Q3:Q7)</f>
        <v/>
      </c>
      <c r="R8" s="57">
        <f>SUM(R3:R7)</f>
        <v/>
      </c>
      <c r="S8" s="57">
        <f>SUM(S3:S7)</f>
        <v/>
      </c>
      <c r="T8" s="57">
        <f>SUM(T3:T7)</f>
        <v/>
      </c>
      <c r="U8" s="107">
        <f>SUM(U3:U7)</f>
        <v/>
      </c>
      <c r="V8" s="107">
        <f>SUM(V3:V7)</f>
        <v/>
      </c>
      <c r="W8" s="57" t="n"/>
      <c r="X8" s="107">
        <f>V8/T8</f>
        <v/>
      </c>
      <c r="Y8" s="61">
        <f>L8/K8</f>
        <v/>
      </c>
      <c r="Z8" s="61">
        <f>N8/L8</f>
        <v/>
      </c>
      <c r="AA8" s="61">
        <f>N8/K8</f>
        <v/>
      </c>
      <c r="AB8" s="61">
        <f>Q8/N8</f>
        <v/>
      </c>
      <c r="AC8" s="61" t="n"/>
      <c r="AD8" s="61">
        <f>AVERAGE(AD3:AD7)</f>
        <v/>
      </c>
      <c r="AE8" s="61">
        <f>S8/Q8</f>
        <v/>
      </c>
      <c r="AF8" s="61">
        <f>S8/K8</f>
        <v/>
      </c>
      <c r="AG8" s="61">
        <f>T8/K8</f>
        <v/>
      </c>
      <c r="AH8" s="107">
        <f>SUM(AH3:AH7)</f>
        <v/>
      </c>
      <c r="AI8" s="109">
        <f>V8/AH8</f>
        <v/>
      </c>
      <c r="AJ8" s="57">
        <f>SUM(AJ3:AJ7)</f>
        <v/>
      </c>
      <c r="AK8" s="57">
        <f>SUM(AK3:AK7)</f>
        <v/>
      </c>
      <c r="AL8" s="57">
        <f>SUM(AL3:AL7)</f>
        <v/>
      </c>
      <c r="AM8" s="107">
        <f>SUM(AM3:AM7)</f>
        <v/>
      </c>
      <c r="AN8" s="107">
        <f>SUM(AN3:AN7)</f>
        <v/>
      </c>
      <c r="AO8" s="107">
        <f>SUM(AO3:AO7)</f>
        <v/>
      </c>
      <c r="AP8" s="107">
        <f>SUM(AP3:AP7)</f>
        <v/>
      </c>
      <c r="AQ8" s="107">
        <f>SUM(AQ3:AQ7)</f>
        <v/>
      </c>
      <c r="AR8" s="57">
        <f>SUM(AR3:AR7)</f>
        <v/>
      </c>
      <c r="AS8" s="57">
        <f>SUM(AS3:AS7)</f>
        <v/>
      </c>
      <c r="AT8" s="57" t="n"/>
      <c r="AU8" s="57">
        <f>SUM(AU3:AU7)</f>
        <v/>
      </c>
      <c r="AV8" s="57" t="n"/>
      <c r="AW8" s="57" t="n"/>
      <c r="AX8" s="57">
        <f>SUM(AX3:AX7)</f>
        <v/>
      </c>
      <c r="AY8" s="57">
        <f>SUM(AY3:AY7)</f>
        <v/>
      </c>
      <c r="AZ8" s="57">
        <f>SUM(AZ3:AZ7)</f>
        <v/>
      </c>
      <c r="BA8" s="57">
        <f>SUM(BA3:BA7)</f>
        <v/>
      </c>
      <c r="BB8" s="107">
        <f>SUM(BB3:BB7)</f>
        <v/>
      </c>
      <c r="BC8" s="107">
        <f>SUM(BC3:BC7)</f>
        <v/>
      </c>
      <c r="BD8" s="107" t="n"/>
      <c r="BE8" s="107">
        <f>BC8/BA8</f>
        <v/>
      </c>
      <c r="BF8" s="62">
        <f>AS8/AR8</f>
        <v/>
      </c>
      <c r="BG8" s="62">
        <f>AU8/AS8</f>
        <v/>
      </c>
      <c r="BH8" s="62">
        <f>AU8/AR8</f>
        <v/>
      </c>
      <c r="BI8" s="62">
        <f>AX8/AU8</f>
        <v/>
      </c>
      <c r="BJ8" s="62" t="n"/>
      <c r="BK8" s="62">
        <f>AVERAGE(BK3:BK7)</f>
        <v/>
      </c>
      <c r="BL8" s="62">
        <f>AZ8/AX8</f>
        <v/>
      </c>
      <c r="BM8" s="62">
        <f>AZ8/AR8</f>
        <v/>
      </c>
      <c r="BN8" s="62">
        <f>BA8/AR8</f>
        <v/>
      </c>
      <c r="BO8" s="57">
        <f>SUM(BO3:BO7)</f>
        <v/>
      </c>
      <c r="BP8" s="57">
        <f>SUM(BP3:BP7)</f>
        <v/>
      </c>
      <c r="BQ8" s="57">
        <f>SUM(BQ3:BQ7)</f>
        <v/>
      </c>
      <c r="BR8" s="107">
        <f>SUM(BR3:BR7)</f>
        <v/>
      </c>
      <c r="BS8" s="107">
        <f>SUM(BS3:BS7)</f>
        <v/>
      </c>
      <c r="BT8" s="107">
        <f>SUM(BT3:BT7)</f>
        <v/>
      </c>
      <c r="BU8" s="57">
        <f>SUM(BU3:BU7)</f>
        <v/>
      </c>
      <c r="BV8" s="57">
        <f>SUM(BV3:BV7)</f>
        <v/>
      </c>
      <c r="BW8" s="107">
        <f>SUM(BW3:BW7)</f>
        <v/>
      </c>
      <c r="BX8" s="107">
        <f>SUM(BX3:BX7)</f>
        <v/>
      </c>
      <c r="BY8" s="107" t="n"/>
      <c r="BZ8" s="107">
        <f>SUM(BZ3:BZ7)</f>
        <v/>
      </c>
      <c r="CA8" s="107">
        <f>SUM(CA3:CA7)</f>
        <v/>
      </c>
      <c r="CB8" s="107">
        <f>SUM(CB3:CB7)</f>
        <v/>
      </c>
      <c r="CC8" s="107">
        <f>SUM(CC3:CC7)</f>
        <v/>
      </c>
      <c r="CD8" s="107">
        <f>SUM(CD3:CD7)</f>
        <v/>
      </c>
      <c r="CE8" s="107">
        <f>SUM(CE3:CE7)</f>
        <v/>
      </c>
      <c r="CF8" s="109">
        <f>BW8/CE8</f>
        <v/>
      </c>
      <c r="CG8" s="107">
        <f>SUM(CG3:CG7)</f>
        <v/>
      </c>
      <c r="CH8" s="107">
        <f>SUM(CH3:CH7)</f>
        <v/>
      </c>
      <c r="CI8" s="109">
        <f>BX8/CH8</f>
        <v/>
      </c>
      <c r="CJ8" s="107">
        <f>SUM(CJ3:CJ7)</f>
        <v/>
      </c>
      <c r="CK8" s="109">
        <f>BX8/CJ8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L5"/>
  <sheetViews>
    <sheetView zoomScale="70" zoomScaleNormal="70" workbookViewId="0">
      <selection activeCell="H3" sqref="H3:CK3"/>
    </sheetView>
  </sheetViews>
  <sheetFormatPr baseColWidth="8" defaultColWidth="8.891666666666669" defaultRowHeight="14.25" outlineLevelRow="4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>
        <v>45992</v>
      </c>
      <c r="B3" s="67" t="n"/>
      <c r="C3" s="67" t="n"/>
      <c r="D3" s="67" t="n"/>
      <c r="E3" s="67" t="n"/>
      <c r="F3" s="67" t="n"/>
      <c r="G3" s="67" t="n"/>
      <c r="H3" s="107" t="n">
        <v>11978.6630426802</v>
      </c>
      <c r="I3" s="118">
        <f>H3-CG3</f>
        <v/>
      </c>
      <c r="J3" s="107" t="n">
        <v>998.221920223351</v>
      </c>
      <c r="K3" s="57" t="n">
        <v>12</v>
      </c>
      <c r="L3" s="57" t="n">
        <v>10</v>
      </c>
      <c r="M3" s="57" t="n">
        <v>10</v>
      </c>
      <c r="N3" s="57" t="n">
        <v>7</v>
      </c>
      <c r="O3" s="57" t="n">
        <v>7</v>
      </c>
      <c r="P3" s="57" t="n">
        <v>7</v>
      </c>
      <c r="Q3" s="57" t="n">
        <v>7</v>
      </c>
      <c r="R3" s="57" t="n">
        <v>7</v>
      </c>
      <c r="S3" s="57" t="n">
        <v>3</v>
      </c>
      <c r="T3" s="57" t="n">
        <v>3</v>
      </c>
      <c r="U3" s="107" t="n">
        <v>10497</v>
      </c>
      <c r="V3" s="107" t="n">
        <v>10497</v>
      </c>
      <c r="W3" s="108" t="n">
        <v>1</v>
      </c>
      <c r="X3" s="107" t="n">
        <v>3499</v>
      </c>
      <c r="Y3" s="108" t="n">
        <v>0.833333333333333</v>
      </c>
      <c r="Z3" s="108" t="n">
        <v>0.7</v>
      </c>
      <c r="AA3" s="108" t="n">
        <v>0.583333333333333</v>
      </c>
      <c r="AB3" s="108" t="n">
        <v>1</v>
      </c>
      <c r="AC3" s="108" t="n">
        <v>1</v>
      </c>
      <c r="AD3" s="108" t="n">
        <v>1</v>
      </c>
      <c r="AE3" s="108" t="n">
        <v>0.428571428571429</v>
      </c>
      <c r="AF3" s="108" t="n">
        <v>0.25</v>
      </c>
      <c r="AG3" s="108" t="n">
        <v>0.25</v>
      </c>
      <c r="AH3" s="107" t="n">
        <v>16353.9385204148</v>
      </c>
      <c r="AI3" s="109" t="n">
        <v>0.641863731289957</v>
      </c>
      <c r="AJ3" s="57" t="n">
        <v>7</v>
      </c>
      <c r="AK3" s="57" t="n">
        <v>7</v>
      </c>
      <c r="AL3" s="57" t="n">
        <v>7</v>
      </c>
      <c r="AM3" s="107" t="n">
        <v>895.398655242185</v>
      </c>
      <c r="AN3" s="107" t="n">
        <v>1472.27870773721</v>
      </c>
      <c r="AO3" s="107" t="n">
        <v>1298.4512625874</v>
      </c>
      <c r="AP3" s="107" t="n">
        <v>120</v>
      </c>
      <c r="AQ3" s="107" t="n">
        <v>589.146852167795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>
        <v>0</v>
      </c>
      <c r="AW3" s="57" t="n">
        <v>0</v>
      </c>
      <c r="AX3" s="57" t="n">
        <v>0</v>
      </c>
      <c r="AY3" s="57" t="n">
        <v>0</v>
      </c>
      <c r="AZ3" s="57" t="n">
        <v>0</v>
      </c>
      <c r="BA3" s="57" t="n">
        <v>0</v>
      </c>
      <c r="BB3" s="107" t="n">
        <v>0</v>
      </c>
      <c r="BC3" s="107" t="n">
        <v>0</v>
      </c>
      <c r="BD3" s="108" t="n"/>
      <c r="BE3" s="107" t="n"/>
      <c r="BF3" s="108" t="n"/>
      <c r="BG3" s="108" t="n"/>
      <c r="BH3" s="108" t="n"/>
      <c r="BI3" s="108" t="n"/>
      <c r="BJ3" s="108" t="n"/>
      <c r="BK3" s="108" t="n"/>
      <c r="BL3" s="108" t="n"/>
      <c r="BM3" s="108" t="n"/>
      <c r="BN3" s="108" t="n"/>
      <c r="BO3" s="57" t="n">
        <v>0</v>
      </c>
      <c r="BP3" s="57" t="n">
        <v>0</v>
      </c>
      <c r="BQ3" s="57" t="n">
        <v>0</v>
      </c>
      <c r="BR3" s="107" t="n">
        <v>0</v>
      </c>
      <c r="BS3" s="107" t="n">
        <v>0</v>
      </c>
      <c r="BT3" s="107" t="n">
        <v>0</v>
      </c>
      <c r="BU3" s="107" t="n">
        <v>0</v>
      </c>
      <c r="BV3" s="107" t="n">
        <v>0</v>
      </c>
      <c r="BW3" s="107" t="n">
        <v>10497</v>
      </c>
      <c r="BX3" s="107" t="n">
        <v>10497</v>
      </c>
      <c r="BY3" s="108" t="n">
        <v>1</v>
      </c>
      <c r="BZ3" s="107" t="n">
        <v>3479.87682249241</v>
      </c>
      <c r="CA3" s="107" t="n">
        <v>3479.87682249241</v>
      </c>
      <c r="CB3" s="107" t="n">
        <v>895.398655242185</v>
      </c>
      <c r="CC3" s="107" t="n">
        <v>11978.6630426802</v>
      </c>
      <c r="CD3" s="107" t="n">
        <v>11978.6630426802</v>
      </c>
      <c r="CE3" s="107" t="n">
        <v>16353.9385204148</v>
      </c>
      <c r="CF3" s="109" t="n">
        <v>0.641863731289957</v>
      </c>
      <c r="CG3" s="118" t="n">
        <v>585.417920728997</v>
      </c>
      <c r="CH3" s="107" t="n">
        <v>16353.9385204148</v>
      </c>
      <c r="CI3" s="109" t="n">
        <v>0.641863731289957</v>
      </c>
      <c r="CJ3" s="107" t="n">
        <v>16358.5398651726</v>
      </c>
      <c r="CK3" s="109" t="n">
        <v>0.641683187284223</v>
      </c>
    </row>
    <row r="4" ht="16.5" customFormat="1" customHeight="1" s="39">
      <c r="A4" s="63" t="n"/>
      <c r="B4" s="67" t="n"/>
      <c r="C4" s="67" t="n"/>
      <c r="D4" s="67" t="n"/>
      <c r="E4" s="67" t="n"/>
      <c r="F4" s="67" t="n"/>
      <c r="G4" s="67" t="n"/>
      <c r="H4" s="107" t="n"/>
      <c r="I4" s="118" t="n"/>
      <c r="J4" s="10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107" t="n"/>
      <c r="V4" s="107" t="n"/>
      <c r="W4" s="108" t="n"/>
      <c r="X4" s="107" t="n"/>
      <c r="Y4" s="108" t="n"/>
      <c r="Z4" s="108" t="n"/>
      <c r="AA4" s="108" t="n"/>
      <c r="AB4" s="108" t="n"/>
      <c r="AC4" s="108" t="n"/>
      <c r="AD4" s="108" t="n"/>
      <c r="AE4" s="108" t="n"/>
      <c r="AF4" s="108" t="n"/>
      <c r="AG4" s="108" t="n"/>
      <c r="AH4" s="107" t="n"/>
      <c r="AI4" s="109" t="n"/>
      <c r="AJ4" s="57" t="n"/>
      <c r="AK4" s="57" t="n"/>
      <c r="AL4" s="57" t="n"/>
      <c r="AM4" s="107" t="n"/>
      <c r="AN4" s="107" t="n"/>
      <c r="AO4" s="107" t="n"/>
      <c r="AP4" s="107" t="n"/>
      <c r="AQ4" s="107" t="n"/>
      <c r="AR4" s="57" t="n"/>
      <c r="AS4" s="57" t="n"/>
      <c r="AT4" s="57" t="n"/>
      <c r="AU4" s="57" t="n"/>
      <c r="AV4" s="57" t="n"/>
      <c r="AW4" s="57" t="n"/>
      <c r="AX4" s="57" t="n"/>
      <c r="AY4" s="57" t="n"/>
      <c r="AZ4" s="57" t="n"/>
      <c r="BA4" s="57" t="n"/>
      <c r="BB4" s="107" t="n"/>
      <c r="BC4" s="107" t="n"/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/>
      <c r="BP4" s="57" t="n"/>
      <c r="BQ4" s="57" t="n"/>
      <c r="BR4" s="107" t="n"/>
      <c r="BS4" s="107" t="n"/>
      <c r="BT4" s="107" t="n"/>
      <c r="BU4" s="107" t="n"/>
      <c r="BV4" s="107" t="n"/>
      <c r="BW4" s="107" t="n"/>
      <c r="BX4" s="107" t="n"/>
      <c r="BY4" s="108" t="n"/>
      <c r="BZ4" s="107" t="n"/>
      <c r="CA4" s="107" t="n"/>
      <c r="CB4" s="107" t="n"/>
      <c r="CC4" s="107" t="n"/>
      <c r="CD4" s="107" t="n"/>
      <c r="CE4" s="107" t="n"/>
      <c r="CF4" s="109" t="n"/>
      <c r="CG4" s="118" t="n"/>
      <c r="CH4" s="107" t="n"/>
      <c r="CI4" s="109" t="n"/>
      <c r="CJ4" s="107" t="n"/>
      <c r="CK4" s="109" t="n"/>
    </row>
    <row r="5" ht="30" customFormat="1" customHeight="1" s="40">
      <c r="A5" s="40" t="inlineStr">
        <is>
          <t>Kayan購物團直播-汇总</t>
        </is>
      </c>
      <c r="B5" s="57" t="n"/>
      <c r="C5" s="57" t="n"/>
      <c r="D5" s="57" t="n"/>
      <c r="E5" s="57" t="n"/>
      <c r="F5" s="57" t="n"/>
      <c r="G5" s="57" t="n"/>
      <c r="H5" s="107">
        <f>SUM(H3:H4)</f>
        <v/>
      </c>
      <c r="I5" s="107">
        <f>SUM(I3:I4)</f>
        <v/>
      </c>
      <c r="J5" s="107">
        <f>I5/K5</f>
        <v/>
      </c>
      <c r="K5" s="57">
        <f>SUM(K3:K4)</f>
        <v/>
      </c>
      <c r="L5" s="57">
        <f>SUM(L3:L4)</f>
        <v/>
      </c>
      <c r="M5" s="57">
        <f>SUM(M3:M4)</f>
        <v/>
      </c>
      <c r="N5" s="57">
        <f>SUM(N3:N4)</f>
        <v/>
      </c>
      <c r="O5" s="57" t="n"/>
      <c r="P5" s="57" t="n"/>
      <c r="Q5" s="57">
        <f>SUM(Q3:Q4)</f>
        <v/>
      </c>
      <c r="R5" s="57">
        <f>SUM(R3:R4)</f>
        <v/>
      </c>
      <c r="S5" s="57">
        <f>SUM(S3:S4)</f>
        <v/>
      </c>
      <c r="T5" s="57">
        <f>SUM(T3:T4)</f>
        <v/>
      </c>
      <c r="U5" s="107">
        <f>SUM(U3:U4)</f>
        <v/>
      </c>
      <c r="V5" s="107">
        <f>SUM(V3:V4)</f>
        <v/>
      </c>
      <c r="W5" s="57" t="n"/>
      <c r="X5" s="107">
        <f>V5/T5</f>
        <v/>
      </c>
      <c r="Y5" s="61">
        <f>L5/K5</f>
        <v/>
      </c>
      <c r="Z5" s="61">
        <f>N5/L5</f>
        <v/>
      </c>
      <c r="AA5" s="61">
        <f>N5/K5</f>
        <v/>
      </c>
      <c r="AB5" s="61">
        <f>Q5/N5</f>
        <v/>
      </c>
      <c r="AC5" s="61" t="n"/>
      <c r="AD5" s="61">
        <f>AVERAGE(AD3:AD4)</f>
        <v/>
      </c>
      <c r="AE5" s="61">
        <f>S5/Q5</f>
        <v/>
      </c>
      <c r="AF5" s="61">
        <f>S5/K5</f>
        <v/>
      </c>
      <c r="AG5" s="61">
        <f>T5/K5</f>
        <v/>
      </c>
      <c r="AH5" s="107">
        <f>SUM(AH3:AH4)</f>
        <v/>
      </c>
      <c r="AI5" s="109">
        <f>V5/AH5</f>
        <v/>
      </c>
      <c r="AJ5" s="57">
        <f>SUM(AJ3:AJ4)</f>
        <v/>
      </c>
      <c r="AK5" s="57">
        <f>SUM(AK3:AK4)</f>
        <v/>
      </c>
      <c r="AL5" s="57">
        <f>SUM(AL3:AL4)</f>
        <v/>
      </c>
      <c r="AM5" s="107">
        <f>SUM(AM3:AM4)</f>
        <v/>
      </c>
      <c r="AN5" s="107">
        <f>SUM(AN3:AN4)</f>
        <v/>
      </c>
      <c r="AO5" s="107">
        <f>SUM(AO3:AO4)</f>
        <v/>
      </c>
      <c r="AP5" s="107">
        <f>SUM(AP3:AP4)</f>
        <v/>
      </c>
      <c r="AQ5" s="107">
        <f>SUM(AQ3:AQ4)</f>
        <v/>
      </c>
      <c r="AR5" s="57">
        <f>SUM(AR3:AR4)</f>
        <v/>
      </c>
      <c r="AS5" s="57">
        <f>SUM(AS3:AS4)</f>
        <v/>
      </c>
      <c r="AT5" s="57" t="n"/>
      <c r="AU5" s="57">
        <f>SUM(AU3:AU4)</f>
        <v/>
      </c>
      <c r="AV5" s="57" t="n"/>
      <c r="AW5" s="57" t="n"/>
      <c r="AX5" s="57">
        <f>SUM(AX3:AX4)</f>
        <v/>
      </c>
      <c r="AY5" s="57">
        <f>SUM(AY3:AY4)</f>
        <v/>
      </c>
      <c r="AZ5" s="57">
        <f>SUM(AZ3:AZ4)</f>
        <v/>
      </c>
      <c r="BA5" s="57">
        <f>SUM(BA3:BA4)</f>
        <v/>
      </c>
      <c r="BB5" s="107">
        <f>SUM(BB3:BB4)</f>
        <v/>
      </c>
      <c r="BC5" s="107">
        <f>SUM(BC3:BC4)</f>
        <v/>
      </c>
      <c r="BD5" s="107" t="n"/>
      <c r="BE5" s="107">
        <f>BC5/BA5</f>
        <v/>
      </c>
      <c r="BF5" s="62">
        <f>AS5/AR5</f>
        <v/>
      </c>
      <c r="BG5" s="62">
        <f>AU5/AS5</f>
        <v/>
      </c>
      <c r="BH5" s="62">
        <f>AU5/AR5</f>
        <v/>
      </c>
      <c r="BI5" s="62">
        <f>AX5/AU5</f>
        <v/>
      </c>
      <c r="BJ5" s="62" t="n"/>
      <c r="BK5" s="62">
        <f>AVERAGE(BK3:BK4)</f>
        <v/>
      </c>
      <c r="BL5" s="62">
        <f>AZ5/AX5</f>
        <v/>
      </c>
      <c r="BM5" s="62">
        <f>AZ5/AR5</f>
        <v/>
      </c>
      <c r="BN5" s="62">
        <f>BA5/AR5</f>
        <v/>
      </c>
      <c r="BO5" s="57">
        <f>SUM(BO3:BO4)</f>
        <v/>
      </c>
      <c r="BP5" s="57">
        <f>SUM(BP3:BP4)</f>
        <v/>
      </c>
      <c r="BQ5" s="57">
        <f>SUM(BQ3:BQ4)</f>
        <v/>
      </c>
      <c r="BR5" s="107">
        <f>SUM(BR3:BR4)</f>
        <v/>
      </c>
      <c r="BS5" s="107">
        <f>SUM(BS3:BS4)</f>
        <v/>
      </c>
      <c r="BT5" s="107">
        <f>SUM(BT3:BT4)</f>
        <v/>
      </c>
      <c r="BU5" s="57">
        <f>SUM(BU3:BU4)</f>
        <v/>
      </c>
      <c r="BV5" s="57">
        <f>SUM(BV3:BV4)</f>
        <v/>
      </c>
      <c r="BW5" s="107">
        <f>SUM(BW3:BW4)</f>
        <v/>
      </c>
      <c r="BX5" s="107">
        <f>SUM(BX3:BX4)</f>
        <v/>
      </c>
      <c r="BY5" s="107" t="n"/>
      <c r="BZ5" s="107">
        <f>SUM(BZ3:BZ4)</f>
        <v/>
      </c>
      <c r="CA5" s="107">
        <f>SUM(CA3:CA4)</f>
        <v/>
      </c>
      <c r="CB5" s="107">
        <f>SUM(CB3:CB4)</f>
        <v/>
      </c>
      <c r="CC5" s="107">
        <f>SUM(CC3:CC4)</f>
        <v/>
      </c>
      <c r="CD5" s="107">
        <f>SUM(CD3:CD4)</f>
        <v/>
      </c>
      <c r="CE5" s="107">
        <f>SUM(CE3:CE4)</f>
        <v/>
      </c>
      <c r="CF5" s="109">
        <f>BW5/CE5</f>
        <v/>
      </c>
      <c r="CG5" s="107">
        <f>SUM(CG3:CG4)</f>
        <v/>
      </c>
      <c r="CH5" s="107">
        <f>SUM(CH3:CH4)</f>
        <v/>
      </c>
      <c r="CI5" s="109">
        <f>BX5/CH5</f>
        <v/>
      </c>
      <c r="CJ5" s="107">
        <f>SUM(CJ3:CJ4)</f>
        <v/>
      </c>
      <c r="CK5" s="109">
        <f>BX5/CJ5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L6"/>
  <sheetViews>
    <sheetView zoomScale="70" zoomScaleNormal="70" workbookViewId="0">
      <selection activeCell="I34" sqref="I34:I35"/>
    </sheetView>
  </sheetViews>
  <sheetFormatPr baseColWidth="8" defaultColWidth="8.891666666666669" defaultRowHeight="14.25" outlineLevelRow="5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/>
      <c r="B3" s="67" t="n"/>
      <c r="C3" s="67" t="n"/>
      <c r="D3" s="67" t="n"/>
      <c r="E3" s="67" t="n"/>
      <c r="F3" s="67" t="n"/>
      <c r="G3" s="67" t="n"/>
      <c r="H3" s="107" t="n"/>
      <c r="I3" s="107" t="n"/>
      <c r="J3" s="10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107" t="n"/>
      <c r="V3" s="107" t="n"/>
      <c r="W3" s="57" t="n"/>
      <c r="X3" s="107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107" t="n"/>
      <c r="AI3" s="109" t="n"/>
      <c r="AJ3" s="57" t="n"/>
      <c r="AK3" s="57" t="n"/>
      <c r="AL3" s="57" t="n"/>
      <c r="AM3" s="107" t="n"/>
      <c r="AN3" s="107" t="n"/>
      <c r="AO3" s="107" t="n"/>
      <c r="AP3" s="107" t="n"/>
      <c r="AQ3" s="107" t="n"/>
      <c r="AR3" s="57" t="n"/>
      <c r="AS3" s="57" t="n"/>
      <c r="AT3" s="57" t="n"/>
      <c r="AU3" s="57" t="n"/>
      <c r="AV3" s="57" t="n"/>
      <c r="AW3" s="57" t="n"/>
      <c r="AX3" s="57" t="n"/>
      <c r="AY3" s="57" t="n"/>
      <c r="AZ3" s="57" t="n"/>
      <c r="BA3" s="57" t="n"/>
      <c r="BB3" s="107" t="n"/>
      <c r="BC3" s="107" t="n"/>
      <c r="BD3" s="107" t="n"/>
      <c r="BE3" s="107" t="n"/>
      <c r="BF3" s="62" t="n"/>
      <c r="BG3" s="62" t="n"/>
      <c r="BH3" s="62" t="n"/>
      <c r="BI3" s="62" t="n"/>
      <c r="BJ3" s="62" t="n"/>
      <c r="BK3" s="62" t="n"/>
      <c r="BL3" s="62" t="n"/>
      <c r="BM3" s="62" t="n"/>
      <c r="BN3" s="62" t="n"/>
      <c r="BO3" s="57" t="n"/>
      <c r="BP3" s="57" t="n"/>
      <c r="BQ3" s="57" t="n"/>
      <c r="BR3" s="107" t="n"/>
      <c r="BS3" s="107" t="n"/>
      <c r="BT3" s="107" t="n"/>
      <c r="BU3" s="57" t="n"/>
      <c r="BV3" s="57" t="n"/>
      <c r="BW3" s="107" t="n"/>
      <c r="BX3" s="107" t="n"/>
      <c r="BY3" s="107" t="n"/>
      <c r="BZ3" s="107" t="n"/>
      <c r="CA3" s="107" t="n"/>
      <c r="CB3" s="107" t="n"/>
      <c r="CC3" s="107" t="n"/>
      <c r="CD3" s="107" t="n"/>
      <c r="CE3" s="107" t="n"/>
      <c r="CF3" s="109" t="n"/>
      <c r="CG3" s="107" t="n"/>
      <c r="CH3" s="107" t="n"/>
      <c r="CI3" s="109" t="n"/>
      <c r="CJ3" s="107" t="n"/>
      <c r="CK3" s="109" t="n"/>
    </row>
    <row r="4" ht="16.5" customFormat="1" customHeight="1" s="39">
      <c r="A4" s="63" t="n">
        <v>46023</v>
      </c>
      <c r="B4" s="67" t="n"/>
      <c r="C4" s="67" t="n"/>
      <c r="D4" s="67" t="n"/>
      <c r="E4" s="67" t="n"/>
      <c r="F4" s="67" t="n"/>
      <c r="G4" s="67" t="n"/>
      <c r="H4" s="107" t="n">
        <v>19962.8975609756</v>
      </c>
      <c r="I4" s="118">
        <f>H4-CG4</f>
        <v/>
      </c>
      <c r="J4" s="107" t="n">
        <v>2495.36219512195</v>
      </c>
      <c r="K4" s="57" t="n">
        <v>8</v>
      </c>
      <c r="L4" s="57" t="n">
        <v>5</v>
      </c>
      <c r="M4" s="57" t="n">
        <v>5</v>
      </c>
      <c r="N4" s="57" t="n">
        <v>6</v>
      </c>
      <c r="O4" s="57" t="n">
        <v>5</v>
      </c>
      <c r="P4" s="57" t="n">
        <v>3</v>
      </c>
      <c r="Q4" s="57" t="n">
        <v>3</v>
      </c>
      <c r="R4" s="57" t="n">
        <v>3</v>
      </c>
      <c r="S4" s="57" t="n">
        <v>2</v>
      </c>
      <c r="T4" s="57" t="n">
        <v>2</v>
      </c>
      <c r="U4" s="107" t="n">
        <v>10476</v>
      </c>
      <c r="V4" s="107" t="n">
        <v>10476</v>
      </c>
      <c r="W4" s="108" t="n">
        <v>1</v>
      </c>
      <c r="X4" s="107" t="n">
        <v>5238</v>
      </c>
      <c r="Y4" s="108" t="n">
        <v>0.625</v>
      </c>
      <c r="Z4" s="108" t="n">
        <v>1.2</v>
      </c>
      <c r="AA4" s="108" t="n">
        <v>0.75</v>
      </c>
      <c r="AB4" s="108" t="n">
        <v>0.5</v>
      </c>
      <c r="AC4" s="108" t="n">
        <v>0.6</v>
      </c>
      <c r="AD4" s="108" t="n">
        <v>1</v>
      </c>
      <c r="AE4" s="108" t="n">
        <v>0.666666666666667</v>
      </c>
      <c r="AF4" s="108" t="n">
        <v>0.25</v>
      </c>
      <c r="AG4" s="108" t="n">
        <v>0.25</v>
      </c>
      <c r="AH4" s="107" t="n">
        <v>23500.2731665661</v>
      </c>
      <c r="AI4" s="109" t="n">
        <v>0.4457820522233</v>
      </c>
      <c r="AJ4" s="57" t="n">
        <v>3</v>
      </c>
      <c r="AK4" s="57" t="n">
        <v>3</v>
      </c>
      <c r="AL4" s="57" t="n">
        <v>3</v>
      </c>
      <c r="AM4" s="107" t="n">
        <v>870.137673365811</v>
      </c>
      <c r="AN4" s="107" t="n">
        <v>968.0366982147819</v>
      </c>
      <c r="AO4" s="107" t="n">
        <v>1373.31880629567</v>
      </c>
      <c r="AP4" s="107" t="n">
        <v>80</v>
      </c>
      <c r="AQ4" s="107" t="n">
        <v>245.882427714259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57" t="n">
        <v>0</v>
      </c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10476</v>
      </c>
      <c r="BX4" s="107" t="n">
        <v>10476</v>
      </c>
      <c r="BY4" s="108" t="n">
        <v>1</v>
      </c>
      <c r="BZ4" s="107" t="n">
        <v>2667.23793222471</v>
      </c>
      <c r="CA4" s="107" t="n">
        <v>2667.23793222471</v>
      </c>
      <c r="CB4" s="107" t="n">
        <v>870.137673365811</v>
      </c>
      <c r="CC4" s="107" t="n">
        <v>19962.8975609756</v>
      </c>
      <c r="CD4" s="107" t="n">
        <v>19962.8975609756</v>
      </c>
      <c r="CE4" s="107" t="n">
        <v>23500.2731665661</v>
      </c>
      <c r="CF4" s="109" t="n">
        <v>0.4457820522233</v>
      </c>
      <c r="CG4" s="118" t="n">
        <v>0</v>
      </c>
      <c r="CH4" s="107" t="n">
        <v>23500.2731665661</v>
      </c>
      <c r="CI4" s="109" t="n">
        <v>0.4457820522233</v>
      </c>
      <c r="CJ4" s="107" t="n">
        <v>23230.1354932003</v>
      </c>
      <c r="CK4" s="109" t="n">
        <v>0.450965944777482</v>
      </c>
    </row>
    <row r="5" ht="16.5" customFormat="1" customHeight="1" s="39">
      <c r="A5" s="63" t="n">
        <v>46054</v>
      </c>
      <c r="B5" s="67" t="n"/>
      <c r="C5" s="67" t="n"/>
      <c r="D5" s="67" t="n"/>
      <c r="E5" s="67" t="n"/>
      <c r="F5" s="67" t="n"/>
      <c r="G5" s="67" t="n"/>
      <c r="H5" s="107" t="n">
        <v>10737.9640936585</v>
      </c>
      <c r="I5" s="118">
        <f>H5-CG5</f>
        <v/>
      </c>
      <c r="J5" s="107" t="n">
        <v>5368.98204682925</v>
      </c>
      <c r="K5" s="57" t="n">
        <v>2</v>
      </c>
      <c r="L5" s="57" t="n">
        <v>0</v>
      </c>
      <c r="M5" s="57" t="n">
        <v>0</v>
      </c>
      <c r="N5" s="57" t="n">
        <v>0</v>
      </c>
      <c r="O5" s="57" t="n">
        <v>0</v>
      </c>
      <c r="P5" s="57" t="n">
        <v>2</v>
      </c>
      <c r="Q5" s="57" t="n">
        <v>0</v>
      </c>
      <c r="R5" s="57" t="n">
        <v>2</v>
      </c>
      <c r="S5" s="57" t="n">
        <v>0</v>
      </c>
      <c r="T5" s="57" t="n">
        <v>2</v>
      </c>
      <c r="U5" s="107" t="n">
        <v>0</v>
      </c>
      <c r="V5" s="107" t="n">
        <v>9776</v>
      </c>
      <c r="W5" s="108" t="n">
        <v>1</v>
      </c>
      <c r="X5" s="107" t="n">
        <v>4888</v>
      </c>
      <c r="Y5" s="108" t="n">
        <v>0</v>
      </c>
      <c r="Z5" s="108" t="n"/>
      <c r="AA5" s="108" t="n">
        <v>0</v>
      </c>
      <c r="AB5" s="108" t="n"/>
      <c r="AC5" s="108" t="n"/>
      <c r="AD5" s="108" t="n">
        <v>1</v>
      </c>
      <c r="AE5" s="108" t="n"/>
      <c r="AF5" s="108" t="n">
        <v>0</v>
      </c>
      <c r="AG5" s="108" t="n">
        <v>1</v>
      </c>
      <c r="AH5" s="107" t="n">
        <v>12467.0425260232</v>
      </c>
      <c r="AI5" s="109" t="n">
        <v>0.784147481617551</v>
      </c>
      <c r="AJ5" s="57" t="n">
        <v>2</v>
      </c>
      <c r="AK5" s="57" t="n">
        <v>2</v>
      </c>
      <c r="AL5" s="57" t="n">
        <v>2</v>
      </c>
      <c r="AM5" s="107" t="n">
        <v>263.602341728685</v>
      </c>
      <c r="AN5" s="107" t="n">
        <v>0</v>
      </c>
      <c r="AO5" s="107" t="n">
        <v>1281.55447215984</v>
      </c>
      <c r="AP5" s="107" t="n">
        <v>20</v>
      </c>
      <c r="AQ5" s="107" t="n">
        <v>163.921618476173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>
        <v>0</v>
      </c>
      <c r="AW5" s="57" t="n">
        <v>0</v>
      </c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0</v>
      </c>
      <c r="BX5" s="107" t="n">
        <v>9776</v>
      </c>
      <c r="BY5" s="108" t="n">
        <v>1</v>
      </c>
      <c r="BZ5" s="107" t="n">
        <v>1465.47609063601</v>
      </c>
      <c r="CA5" s="107" t="n">
        <v>20</v>
      </c>
      <c r="CB5" s="107" t="n">
        <v>263.602341728685</v>
      </c>
      <c r="CC5" s="107" t="n">
        <v>10737.9640936585</v>
      </c>
      <c r="CD5" s="107" t="n">
        <v>10737.9640936585</v>
      </c>
      <c r="CE5" s="107" t="n">
        <v>11021.5664353872</v>
      </c>
      <c r="CF5" s="109" t="n">
        <v>0</v>
      </c>
      <c r="CG5" s="118" t="n">
        <v>0</v>
      </c>
      <c r="CH5" s="107" t="n">
        <v>12467.0425260232</v>
      </c>
      <c r="CI5" s="109" t="n">
        <v>0.784147481617551</v>
      </c>
      <c r="CJ5" s="107" t="n">
        <v>12353.4401842945</v>
      </c>
      <c r="CK5" s="109" t="n">
        <v>0.791358508573885</v>
      </c>
    </row>
    <row r="6" ht="30" customFormat="1" customHeight="1" s="40">
      <c r="A6" s="40" t="inlineStr">
        <is>
          <t>專家鄧明儀-汇总</t>
        </is>
      </c>
      <c r="B6" s="57" t="n"/>
      <c r="C6" s="57" t="n"/>
      <c r="D6" s="57" t="n"/>
      <c r="E6" s="57" t="n"/>
      <c r="F6" s="57" t="n"/>
      <c r="G6" s="57" t="n"/>
      <c r="H6" s="107">
        <f>SUM(H3:H5)</f>
        <v/>
      </c>
      <c r="I6" s="107">
        <f>SUM(I3:I5)</f>
        <v/>
      </c>
      <c r="J6" s="107">
        <f>I6/K6</f>
        <v/>
      </c>
      <c r="K6" s="57">
        <f>SUM(K3:K5)</f>
        <v/>
      </c>
      <c r="L6" s="57">
        <f>SUM(L3:L5)</f>
        <v/>
      </c>
      <c r="M6" s="57">
        <f>SUM(M3:M5)</f>
        <v/>
      </c>
      <c r="N6" s="57">
        <f>SUM(N3:N5)</f>
        <v/>
      </c>
      <c r="O6" s="57" t="n"/>
      <c r="P6" s="57" t="n"/>
      <c r="Q6" s="57">
        <f>SUM(Q3:Q5)</f>
        <v/>
      </c>
      <c r="R6" s="57">
        <f>SUM(R3:R5)</f>
        <v/>
      </c>
      <c r="S6" s="57">
        <f>SUM(S3:S5)</f>
        <v/>
      </c>
      <c r="T6" s="57">
        <f>SUM(T3:T5)</f>
        <v/>
      </c>
      <c r="U6" s="107">
        <f>SUM(U3:U5)</f>
        <v/>
      </c>
      <c r="V6" s="107">
        <f>SUM(V3:V5)</f>
        <v/>
      </c>
      <c r="W6" s="57" t="n"/>
      <c r="X6" s="107">
        <f>V6/T6</f>
        <v/>
      </c>
      <c r="Y6" s="61">
        <f>L6/K6</f>
        <v/>
      </c>
      <c r="Z6" s="61">
        <f>N6/L6</f>
        <v/>
      </c>
      <c r="AA6" s="61">
        <f>N6/K6</f>
        <v/>
      </c>
      <c r="AB6" s="61">
        <f>Q6/N6</f>
        <v/>
      </c>
      <c r="AC6" s="61" t="n"/>
      <c r="AD6" s="61">
        <f>AVERAGE(AD3:AD5)</f>
        <v/>
      </c>
      <c r="AE6" s="61">
        <f>S6/Q6</f>
        <v/>
      </c>
      <c r="AF6" s="61">
        <f>S6/K6</f>
        <v/>
      </c>
      <c r="AG6" s="61">
        <f>T6/K6</f>
        <v/>
      </c>
      <c r="AH6" s="107">
        <f>SUM(AH3:AH5)</f>
        <v/>
      </c>
      <c r="AI6" s="109">
        <f>V6/AH6</f>
        <v/>
      </c>
      <c r="AJ6" s="57">
        <f>SUM(AJ3:AJ5)</f>
        <v/>
      </c>
      <c r="AK6" s="57">
        <f>SUM(AK3:AK5)</f>
        <v/>
      </c>
      <c r="AL6" s="57">
        <f>SUM(AL3:AL5)</f>
        <v/>
      </c>
      <c r="AM6" s="107">
        <f>SUM(AM3:AM5)</f>
        <v/>
      </c>
      <c r="AN6" s="107">
        <f>SUM(AN3:AN5)</f>
        <v/>
      </c>
      <c r="AO6" s="107">
        <f>SUM(AO3:AO5)</f>
        <v/>
      </c>
      <c r="AP6" s="107">
        <f>SUM(AP3:AP5)</f>
        <v/>
      </c>
      <c r="AQ6" s="107">
        <f>SUM(AQ3:AQ5)</f>
        <v/>
      </c>
      <c r="AR6" s="57">
        <f>SUM(AR3:AR5)</f>
        <v/>
      </c>
      <c r="AS6" s="57">
        <f>SUM(AS3:AS5)</f>
        <v/>
      </c>
      <c r="AT6" s="57" t="n"/>
      <c r="AU6" s="57">
        <f>SUM(AU3:AU5)</f>
        <v/>
      </c>
      <c r="AV6" s="57" t="n"/>
      <c r="AW6" s="57" t="n"/>
      <c r="AX6" s="57">
        <f>SUM(AX3:AX5)</f>
        <v/>
      </c>
      <c r="AY6" s="57">
        <f>SUM(AY3:AY5)</f>
        <v/>
      </c>
      <c r="AZ6" s="57">
        <f>SUM(AZ3:AZ5)</f>
        <v/>
      </c>
      <c r="BA6" s="57">
        <f>SUM(BA3:BA5)</f>
        <v/>
      </c>
      <c r="BB6" s="107">
        <f>SUM(BB3:BB5)</f>
        <v/>
      </c>
      <c r="BC6" s="107">
        <f>SUM(BC3:BC5)</f>
        <v/>
      </c>
      <c r="BD6" s="107" t="n"/>
      <c r="BE6" s="107">
        <f>BC6/BA6</f>
        <v/>
      </c>
      <c r="BF6" s="62">
        <f>AS6/AR6</f>
        <v/>
      </c>
      <c r="BG6" s="62">
        <f>AU6/AS6</f>
        <v/>
      </c>
      <c r="BH6" s="62">
        <f>AU6/AR6</f>
        <v/>
      </c>
      <c r="BI6" s="62">
        <f>AX6/AU6</f>
        <v/>
      </c>
      <c r="BJ6" s="62" t="n"/>
      <c r="BK6" s="62">
        <f>AVERAGE(BK3:BK5)</f>
        <v/>
      </c>
      <c r="BL6" s="62">
        <f>AZ6/AX6</f>
        <v/>
      </c>
      <c r="BM6" s="62">
        <f>AZ6/AR6</f>
        <v/>
      </c>
      <c r="BN6" s="62">
        <f>BA6/AR6</f>
        <v/>
      </c>
      <c r="BO6" s="57">
        <f>SUM(BO3:BO5)</f>
        <v/>
      </c>
      <c r="BP6" s="57">
        <f>SUM(BP3:BP5)</f>
        <v/>
      </c>
      <c r="BQ6" s="57">
        <f>SUM(BQ3:BQ5)</f>
        <v/>
      </c>
      <c r="BR6" s="107">
        <f>SUM(BR3:BR5)</f>
        <v/>
      </c>
      <c r="BS6" s="107">
        <f>SUM(BS3:BS5)</f>
        <v/>
      </c>
      <c r="BT6" s="107">
        <f>SUM(BT3:BT5)</f>
        <v/>
      </c>
      <c r="BU6" s="57">
        <f>SUM(BU3:BU5)</f>
        <v/>
      </c>
      <c r="BV6" s="57">
        <f>SUM(BV3:BV5)</f>
        <v/>
      </c>
      <c r="BW6" s="107">
        <f>SUM(BW3:BW5)</f>
        <v/>
      </c>
      <c r="BX6" s="107">
        <f>SUM(BX3:BX5)</f>
        <v/>
      </c>
      <c r="BY6" s="107" t="n"/>
      <c r="BZ6" s="107">
        <f>SUM(BZ3:BZ5)</f>
        <v/>
      </c>
      <c r="CA6" s="107">
        <f>SUM(CA3:CA5)</f>
        <v/>
      </c>
      <c r="CB6" s="107">
        <f>SUM(CB3:CB5)</f>
        <v/>
      </c>
      <c r="CC6" s="107">
        <f>SUM(CC3:CC5)</f>
        <v/>
      </c>
      <c r="CD6" s="107">
        <f>SUM(CD3:CD5)</f>
        <v/>
      </c>
      <c r="CE6" s="107">
        <f>SUM(CE3:CE5)</f>
        <v/>
      </c>
      <c r="CF6" s="109">
        <f>BW6/CE6</f>
        <v/>
      </c>
      <c r="CG6" s="107">
        <f>SUM(CG3:CG5)</f>
        <v/>
      </c>
      <c r="CH6" s="107">
        <f>SUM(CH3:CH5)</f>
        <v/>
      </c>
      <c r="CI6" s="109">
        <f>BX6/CH6</f>
        <v/>
      </c>
      <c r="CJ6" s="107">
        <f>SUM(CJ3:CJ5)</f>
        <v/>
      </c>
      <c r="CK6" s="109">
        <f>BX6/CJ6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L7"/>
  <sheetViews>
    <sheetView topLeftCell="BM1" zoomScale="70" zoomScaleNormal="70" workbookViewId="0">
      <selection activeCell="BW25" sqref="BW25"/>
    </sheetView>
  </sheetViews>
  <sheetFormatPr baseColWidth="8" defaultColWidth="8.891666666666669" defaultRowHeight="14.25" outlineLevelRow="6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20"/>
    <col width="10" customWidth="1" min="21" max="22"/>
    <col width="8.891666666666669" customWidth="1" min="23" max="23"/>
    <col width="12.8916666666667" customWidth="1" min="24" max="24"/>
    <col width="15.6666666666667" customWidth="1" min="25" max="35"/>
    <col width="8.891666666666669" customWidth="1" min="36" max="38"/>
    <col width="15.6666666666667" customWidth="1" min="39" max="41"/>
    <col width="12.8916666666667" customWidth="1" min="42" max="42"/>
    <col width="8.891666666666669" customWidth="1" min="43" max="52"/>
    <col width="10.225" customWidth="1" min="53" max="54"/>
    <col width="8.891666666666669" customWidth="1" min="55" max="55"/>
    <col width="10.225" customWidth="1" min="56" max="56"/>
    <col width="15.6666666666667" customWidth="1" min="57" max="61"/>
    <col width="8.891666666666669" customWidth="1" min="62" max="63"/>
    <col width="15.6666666666667" customWidth="1" min="64" max="65"/>
    <col width="8.891666666666669" customWidth="1" min="66" max="68"/>
    <col width="15.6666666666667" customWidth="1" min="69" max="71"/>
    <col width="8.891666666666669" customWidth="1" min="72" max="73"/>
    <col width="11.5583333333333" customWidth="1" min="74" max="75"/>
    <col width="15.5583333333333" customWidth="1" min="76" max="76"/>
    <col width="15.6666666666667" customWidth="1" min="77" max="79"/>
    <col width="12.8916666666667" customWidth="1" min="80" max="81"/>
    <col width="15.6666666666667" customWidth="1" min="82" max="82"/>
    <col width="12.775" customWidth="1" min="83" max="83"/>
    <col width="15.6666666666667" customWidth="1" style="119" min="84" max="85"/>
    <col width="12.775" customWidth="1" min="86" max="86"/>
    <col width="15.6666666666667" customWidth="1" style="119" min="87" max="87"/>
    <col width="14.3333333333333" customWidth="1" min="88" max="88"/>
    <col width="8.891666666666669" customWidth="1" min="89" max="96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4" t="n"/>
      <c r="AI1" s="105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49" t="inlineStr">
        <is>
          <t>辅投</t>
        </is>
      </c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104" t="n"/>
      <c r="BJ1" s="104" t="n"/>
      <c r="BK1" s="104" t="n"/>
      <c r="BL1" s="104" t="n"/>
      <c r="BM1" s="104" t="n"/>
      <c r="BN1" s="104" t="n"/>
      <c r="BO1" s="74" t="n"/>
      <c r="BP1" s="74" t="n"/>
      <c r="BQ1" s="74" t="n"/>
      <c r="BR1" s="74" t="n"/>
      <c r="BS1" s="74" t="n"/>
      <c r="BT1" s="74" t="n"/>
      <c r="BU1" s="74" t="n"/>
      <c r="BV1" s="75" t="n"/>
      <c r="BW1" s="106" t="inlineStr">
        <is>
          <t>汇总</t>
        </is>
      </c>
      <c r="BX1" s="104" t="n"/>
      <c r="BY1" s="104" t="n"/>
      <c r="BZ1" s="104" t="n"/>
      <c r="CA1" s="104" t="n"/>
      <c r="CB1" s="104" t="n"/>
      <c r="CC1" s="104" t="n"/>
      <c r="CD1" s="104" t="n"/>
      <c r="CE1" s="104" t="n"/>
      <c r="CF1" s="104" t="n"/>
      <c r="CG1" s="104" t="n"/>
      <c r="CH1" s="104" t="n"/>
      <c r="CI1" s="104" t="n"/>
      <c r="CJ1" s="104" t="n"/>
      <c r="CK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n"/>
      <c r="P2" s="91" t="n"/>
      <c r="Q2" s="91" t="inlineStr">
        <is>
          <t>到课数</t>
        </is>
      </c>
      <c r="R2" s="91" t="inlineStr">
        <is>
          <t>滚动到课数</t>
        </is>
      </c>
      <c r="S2" s="91" t="inlineStr">
        <is>
          <t>当月成交数</t>
        </is>
      </c>
      <c r="T2" s="91" t="inlineStr">
        <is>
          <t>滚动成交数</t>
        </is>
      </c>
      <c r="U2" s="91" t="inlineStr">
        <is>
          <t>当月GMV</t>
        </is>
      </c>
      <c r="V2" s="91" t="inlineStr">
        <is>
          <t>滚动GMV</t>
        </is>
      </c>
      <c r="W2" s="91" t="inlineStr">
        <is>
          <t>海外GMV占比</t>
        </is>
      </c>
      <c r="X2" s="91" t="inlineStr">
        <is>
          <t>滚动ASP</t>
        </is>
      </c>
      <c r="Y2" s="91" t="inlineStr">
        <is>
          <t>例子分发率</t>
        </is>
      </c>
      <c r="Z2" s="91" t="inlineStr">
        <is>
          <t>分发约课率</t>
        </is>
      </c>
      <c r="AA2" s="91" t="inlineStr">
        <is>
          <t>例子约课率</t>
        </is>
      </c>
      <c r="AB2" s="91" t="inlineStr">
        <is>
          <t>约课到课率</t>
        </is>
      </c>
      <c r="AC2" s="91" t="n"/>
      <c r="AD2" s="91" t="inlineStr">
        <is>
          <t>滚动应到课率</t>
        </is>
      </c>
      <c r="AE2" s="91" t="inlineStr">
        <is>
          <t>到课转化率</t>
        </is>
      </c>
      <c r="AF2" s="91" t="inlineStr">
        <is>
          <t>注册转化率</t>
        </is>
      </c>
      <c r="AG2" s="91" t="inlineStr">
        <is>
          <t>滚动转化率</t>
        </is>
      </c>
      <c r="AH2" s="91" t="inlineStr">
        <is>
          <t>滚动ROI2总成本</t>
        </is>
      </c>
      <c r="AI2" s="91" t="inlineStr">
        <is>
          <t>滚动ROI2</t>
        </is>
      </c>
      <c r="AJ2" s="91" t="inlineStr">
        <is>
          <t>滚动应到课人数</t>
        </is>
      </c>
      <c r="AK2" s="91" t="inlineStr">
        <is>
          <t>滚动到课人数</t>
        </is>
      </c>
      <c r="AL2" s="91" t="inlineStr">
        <is>
          <t>滚动到课人次</t>
        </is>
      </c>
      <c r="AM2" s="91" t="inlineStr">
        <is>
          <t>运营成本</t>
        </is>
      </c>
      <c r="AN2" s="91" t="inlineStr">
        <is>
          <t>销售固定成本</t>
        </is>
      </c>
      <c r="AO2" s="91" t="inlineStr">
        <is>
          <t>销售变动成本</t>
        </is>
      </c>
      <c r="AP2" s="91" t="inlineStr">
        <is>
          <t>TMK费用</t>
        </is>
      </c>
      <c r="AQ2" s="91" t="inlineStr">
        <is>
          <t>DEMO费用</t>
        </is>
      </c>
      <c r="AR2" s="91" t="inlineStr">
        <is>
          <t>例子数</t>
        </is>
      </c>
      <c r="AS2" s="91" t="inlineStr">
        <is>
          <t>分发数</t>
        </is>
      </c>
      <c r="AT2" s="91" t="inlineStr">
        <is>
          <t>剔除毛例子分发数</t>
        </is>
      </c>
      <c r="AU2" s="91" t="inlineStr">
        <is>
          <t>约课数</t>
        </is>
      </c>
      <c r="AV2" s="91" t="n"/>
      <c r="AW2" s="91" t="n"/>
      <c r="AX2" s="91" t="inlineStr">
        <is>
          <t>到课数</t>
        </is>
      </c>
      <c r="AY2" s="91" t="inlineStr">
        <is>
          <t>滚动到课数</t>
        </is>
      </c>
      <c r="AZ2" s="91" t="inlineStr">
        <is>
          <t>当月成交</t>
        </is>
      </c>
      <c r="BA2" s="91" t="inlineStr">
        <is>
          <t>滚动成交数</t>
        </is>
      </c>
      <c r="BB2" s="91" t="inlineStr">
        <is>
          <t>当月GMV</t>
        </is>
      </c>
      <c r="BC2" s="91" t="inlineStr">
        <is>
          <t>滚动GMV</t>
        </is>
      </c>
      <c r="BD2" s="91" t="inlineStr">
        <is>
          <t>海外GMV占比</t>
        </is>
      </c>
      <c r="BE2" s="91" t="inlineStr">
        <is>
          <t>滚动ASP</t>
        </is>
      </c>
      <c r="BF2" s="91" t="inlineStr">
        <is>
          <t>例子分发率</t>
        </is>
      </c>
      <c r="BG2" s="91" t="inlineStr">
        <is>
          <t>分发约课率</t>
        </is>
      </c>
      <c r="BH2" s="91" t="inlineStr">
        <is>
          <t>例子约课率</t>
        </is>
      </c>
      <c r="BI2" s="91" t="inlineStr">
        <is>
          <t>约课到课率</t>
        </is>
      </c>
      <c r="BJ2" s="91" t="n"/>
      <c r="BK2" s="91" t="inlineStr">
        <is>
          <t>滚动应到课率</t>
        </is>
      </c>
      <c r="BL2" s="91" t="inlineStr">
        <is>
          <t>到课转化率</t>
        </is>
      </c>
      <c r="BM2" s="91" t="inlineStr">
        <is>
          <t>注册转化率</t>
        </is>
      </c>
      <c r="BN2" s="91" t="inlineStr">
        <is>
          <t>滚动转化率</t>
        </is>
      </c>
      <c r="BO2" s="91" t="inlineStr">
        <is>
          <t>滚动应到课人数</t>
        </is>
      </c>
      <c r="BP2" s="91" t="inlineStr">
        <is>
          <t>滚动到课人数</t>
        </is>
      </c>
      <c r="BQ2" s="91" t="inlineStr">
        <is>
          <t>滚动到课人次</t>
        </is>
      </c>
      <c r="BR2" s="91" t="inlineStr">
        <is>
          <t>运营成本</t>
        </is>
      </c>
      <c r="BS2" s="91" t="inlineStr">
        <is>
          <t>销售固定成本</t>
        </is>
      </c>
      <c r="BT2" s="91" t="inlineStr">
        <is>
          <t>销售变动成本</t>
        </is>
      </c>
      <c r="BU2" s="91" t="inlineStr">
        <is>
          <t>TMK费用</t>
        </is>
      </c>
      <c r="BV2" s="91" t="inlineStr">
        <is>
          <t>DEMO费用</t>
        </is>
      </c>
      <c r="BW2" s="91" t="inlineStr">
        <is>
          <t>当月GMV</t>
        </is>
      </c>
      <c r="BX2" s="91" t="inlineStr">
        <is>
          <t>滚动GMV</t>
        </is>
      </c>
      <c r="BY2" s="91" t="inlineStr">
        <is>
          <t>海外GMV占比</t>
        </is>
      </c>
      <c r="BZ2" s="91" t="inlineStr">
        <is>
          <t>滚动其他成本</t>
        </is>
      </c>
      <c r="CA2" s="91" t="inlineStr">
        <is>
          <t>同源其他成本</t>
        </is>
      </c>
      <c r="CB2" s="91" t="inlineStr">
        <is>
          <t>运营成本</t>
        </is>
      </c>
      <c r="CC2" s="91" t="inlineStr">
        <is>
          <t>滚动消耗</t>
        </is>
      </c>
      <c r="CD2" s="91" t="inlineStr">
        <is>
          <t>同源消耗</t>
        </is>
      </c>
      <c r="CE2" s="91" t="inlineStr">
        <is>
          <t>当月ROI2总成本</t>
        </is>
      </c>
      <c r="CF2" s="120" t="inlineStr">
        <is>
          <t>当月ROI2</t>
        </is>
      </c>
      <c r="CG2" s="120" t="inlineStr">
        <is>
          <t>滚动赠课成本</t>
        </is>
      </c>
      <c r="CH2" s="91" t="inlineStr">
        <is>
          <t>滚动ROI2总成本</t>
        </is>
      </c>
      <c r="CI2" s="120" t="inlineStr">
        <is>
          <t>滚动ROI2</t>
        </is>
      </c>
      <c r="CJ2" s="91" t="inlineStr">
        <is>
          <t>O-ROI总成本</t>
        </is>
      </c>
      <c r="CK2" s="91" t="inlineStr">
        <is>
          <t>O-ROI</t>
        </is>
      </c>
      <c r="CL2" s="89" t="inlineStr">
        <is>
          <t xml:space="preserve">   </t>
        </is>
      </c>
    </row>
    <row r="3" ht="16.5" customFormat="1" customHeight="1" s="39">
      <c r="A3" s="63" t="n"/>
      <c r="B3" s="67" t="n"/>
      <c r="C3" s="67" t="n"/>
      <c r="D3" s="67" t="n"/>
      <c r="E3" s="67" t="n"/>
      <c r="F3" s="67" t="n"/>
      <c r="G3" s="67" t="n"/>
      <c r="H3" s="107" t="n"/>
      <c r="I3" s="107" t="n"/>
      <c r="J3" s="10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107" t="n"/>
      <c r="V3" s="107" t="n"/>
      <c r="W3" s="57" t="n"/>
      <c r="X3" s="107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107" t="n"/>
      <c r="AI3" s="109" t="n"/>
      <c r="AJ3" s="57" t="n"/>
      <c r="AK3" s="57" t="n"/>
      <c r="AL3" s="57" t="n"/>
      <c r="AM3" s="107" t="n"/>
      <c r="AN3" s="107" t="n"/>
      <c r="AO3" s="107" t="n"/>
      <c r="AP3" s="107" t="n"/>
      <c r="AQ3" s="107" t="n"/>
      <c r="AR3" s="57" t="n"/>
      <c r="AS3" s="57" t="n"/>
      <c r="AT3" s="57" t="n"/>
      <c r="AU3" s="57" t="n"/>
      <c r="AV3" s="57" t="n"/>
      <c r="AW3" s="57" t="n"/>
      <c r="AX3" s="57" t="n"/>
      <c r="AY3" s="57" t="n"/>
      <c r="AZ3" s="57" t="n"/>
      <c r="BA3" s="57" t="n"/>
      <c r="BB3" s="107" t="n"/>
      <c r="BC3" s="107" t="n"/>
      <c r="BD3" s="107" t="n"/>
      <c r="BE3" s="107" t="n"/>
      <c r="BF3" s="62" t="n"/>
      <c r="BG3" s="62" t="n"/>
      <c r="BH3" s="62" t="n"/>
      <c r="BI3" s="62" t="n"/>
      <c r="BJ3" s="62" t="n"/>
      <c r="BK3" s="62" t="n"/>
      <c r="BL3" s="62" t="n"/>
      <c r="BM3" s="62" t="n"/>
      <c r="BN3" s="62" t="n"/>
      <c r="BO3" s="57" t="n"/>
      <c r="BP3" s="57" t="n"/>
      <c r="BQ3" s="57" t="n"/>
      <c r="BR3" s="107" t="n"/>
      <c r="BS3" s="107" t="n"/>
      <c r="BT3" s="107" t="n"/>
      <c r="BU3" s="57" t="n"/>
      <c r="BV3" s="57" t="n"/>
      <c r="BW3" s="107" t="n"/>
      <c r="BX3" s="107" t="n"/>
      <c r="BY3" s="107" t="n"/>
      <c r="BZ3" s="107" t="n"/>
      <c r="CA3" s="107" t="n"/>
      <c r="CB3" s="107" t="n"/>
      <c r="CC3" s="107" t="n"/>
      <c r="CD3" s="107" t="n"/>
      <c r="CE3" s="107" t="n"/>
      <c r="CF3" s="109" t="n"/>
      <c r="CG3" s="107" t="n"/>
      <c r="CH3" s="107" t="n"/>
      <c r="CI3" s="109" t="n"/>
      <c r="CJ3" s="107" t="n"/>
      <c r="CK3" s="109" t="n"/>
    </row>
    <row r="4" ht="16.5" customFormat="1" customHeight="1" s="39">
      <c r="A4" s="63" t="n">
        <v>46082</v>
      </c>
      <c r="B4" s="67" t="n"/>
      <c r="C4" s="67" t="n"/>
      <c r="D4" s="67" t="n"/>
      <c r="E4" s="67" t="n"/>
      <c r="F4" s="67" t="n"/>
      <c r="G4" s="67" t="n"/>
      <c r="H4" s="107" t="n">
        <v>64163.9764423077</v>
      </c>
      <c r="I4" s="118">
        <f>H4-CG4</f>
        <v/>
      </c>
      <c r="J4" s="107" t="n">
        <v>1336.74950921474</v>
      </c>
      <c r="K4" s="57" t="n">
        <v>48</v>
      </c>
      <c r="L4" s="57" t="n">
        <v>25</v>
      </c>
      <c r="M4" s="57" t="n">
        <v>25</v>
      </c>
      <c r="N4" s="57" t="n">
        <v>24</v>
      </c>
      <c r="O4" s="57" t="n">
        <v>22</v>
      </c>
      <c r="P4" s="57" t="n">
        <v>21</v>
      </c>
      <c r="Q4" s="57" t="n">
        <v>21</v>
      </c>
      <c r="R4" s="57" t="n">
        <v>21</v>
      </c>
      <c r="S4" s="57" t="n">
        <v>4</v>
      </c>
      <c r="T4" s="57" t="n">
        <v>4</v>
      </c>
      <c r="U4" s="107" t="n">
        <v>17944</v>
      </c>
      <c r="V4" s="107" t="n">
        <v>17944</v>
      </c>
      <c r="W4" s="108" t="n">
        <v>1</v>
      </c>
      <c r="X4" s="107" t="n">
        <v>4486</v>
      </c>
      <c r="Y4" s="108" t="n">
        <v>0.520833333333333</v>
      </c>
      <c r="Z4" s="108" t="n">
        <v>0.96</v>
      </c>
      <c r="AA4" s="108" t="n">
        <v>0.5</v>
      </c>
      <c r="AB4" s="108" t="n">
        <v>0.875</v>
      </c>
      <c r="AC4" s="108" t="n">
        <v>0.954545454545455</v>
      </c>
      <c r="AD4" s="108" t="n">
        <v>1</v>
      </c>
      <c r="AE4" s="108" t="n">
        <v>0.19047619047619</v>
      </c>
      <c r="AF4" s="108" t="n">
        <v>0.0833333333333333</v>
      </c>
      <c r="AG4" s="108" t="n">
        <v>0.0833333333333333</v>
      </c>
      <c r="AH4" s="107" t="n">
        <v>76299.715032569</v>
      </c>
      <c r="AI4" s="109" t="n">
        <v>0.235177811507428</v>
      </c>
      <c r="AJ4" s="57" t="n">
        <v>21</v>
      </c>
      <c r="AK4" s="57" t="n">
        <v>21</v>
      </c>
      <c r="AL4" s="57" t="n">
        <v>22</v>
      </c>
      <c r="AM4" s="107" t="n">
        <v>4230.49095607235</v>
      </c>
      <c r="AN4" s="107" t="n">
        <v>3456.77638282959</v>
      </c>
      <c r="AO4" s="107" t="n">
        <v>2129.40879347619</v>
      </c>
      <c r="AP4" s="107" t="n">
        <v>480</v>
      </c>
      <c r="AQ4" s="107" t="n">
        <v>1839.06245788317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57" t="n">
        <v>0</v>
      </c>
      <c r="AX4" s="57" t="n">
        <v>0</v>
      </c>
      <c r="AY4" s="57" t="n">
        <v>0</v>
      </c>
      <c r="AZ4" s="57" t="n">
        <v>0</v>
      </c>
      <c r="BA4" s="57" t="n">
        <v>0</v>
      </c>
      <c r="BB4" s="107" t="n">
        <v>0</v>
      </c>
      <c r="BC4" s="107" t="n">
        <v>0</v>
      </c>
      <c r="BD4" s="108" t="n"/>
      <c r="BE4" s="107" t="n"/>
      <c r="BF4" s="108" t="n"/>
      <c r="BG4" s="108" t="n"/>
      <c r="BH4" s="108" t="n"/>
      <c r="BI4" s="108" t="n"/>
      <c r="BJ4" s="108" t="n"/>
      <c r="BK4" s="108" t="n"/>
      <c r="BL4" s="108" t="n"/>
      <c r="BM4" s="108" t="n"/>
      <c r="BN4" s="108" t="n"/>
      <c r="BO4" s="57" t="n">
        <v>0</v>
      </c>
      <c r="BP4" s="57" t="n">
        <v>0</v>
      </c>
      <c r="BQ4" s="57" t="n">
        <v>0</v>
      </c>
      <c r="BR4" s="107" t="n">
        <v>0</v>
      </c>
      <c r="BS4" s="107" t="n">
        <v>0</v>
      </c>
      <c r="BT4" s="107" t="n">
        <v>0</v>
      </c>
      <c r="BU4" s="107" t="n">
        <v>0</v>
      </c>
      <c r="BV4" s="107" t="n">
        <v>0</v>
      </c>
      <c r="BW4" s="107" t="n">
        <v>17944</v>
      </c>
      <c r="BX4" s="107" t="n">
        <v>17944</v>
      </c>
      <c r="BY4" s="108" t="n">
        <v>1</v>
      </c>
      <c r="BZ4" s="107" t="n">
        <v>7905.24763418895</v>
      </c>
      <c r="CA4" s="107" t="n">
        <v>7905.24763418895</v>
      </c>
      <c r="CB4" s="107" t="n">
        <v>4230.49095607235</v>
      </c>
      <c r="CC4" s="107" t="n">
        <v>64163.9764423077</v>
      </c>
      <c r="CD4" s="107" t="n">
        <v>64163.9764423077</v>
      </c>
      <c r="CE4" s="107" t="n">
        <v>76299.715032569</v>
      </c>
      <c r="CF4" s="109" t="n">
        <v>0.235177811507428</v>
      </c>
      <c r="CG4" s="118" t="n">
        <v>804.857486967862</v>
      </c>
      <c r="CH4" s="107" t="n">
        <v>76299.715032569</v>
      </c>
      <c r="CI4" s="109" t="n">
        <v>0.235177811507428</v>
      </c>
      <c r="CJ4" s="107" t="n">
        <v>75669.2240764966</v>
      </c>
      <c r="CK4" s="109" t="n">
        <v>0.237137359593641</v>
      </c>
    </row>
    <row r="5" ht="16.5" customFormat="1" customHeight="1" s="39">
      <c r="A5" s="63" t="n">
        <v>46113</v>
      </c>
      <c r="B5" s="67" t="n"/>
      <c r="C5" s="67" t="n"/>
      <c r="D5" s="67" t="n"/>
      <c r="E5" s="67" t="n"/>
      <c r="F5" s="67" t="n"/>
      <c r="G5" s="67" t="n"/>
      <c r="H5" s="107" t="n">
        <v>39769.9944038835</v>
      </c>
      <c r="I5" s="118">
        <f>H5-CG5</f>
        <v/>
      </c>
      <c r="J5" s="107" t="n">
        <v>4418.88826709817</v>
      </c>
      <c r="K5" s="57" t="n">
        <v>9</v>
      </c>
      <c r="L5" s="57" t="n">
        <v>6</v>
      </c>
      <c r="M5" s="57" t="n">
        <v>6</v>
      </c>
      <c r="N5" s="57" t="n">
        <v>7</v>
      </c>
      <c r="O5" s="57" t="n">
        <v>7</v>
      </c>
      <c r="P5" s="57" t="n">
        <v>6</v>
      </c>
      <c r="Q5" s="57" t="n">
        <v>5</v>
      </c>
      <c r="R5" s="57" t="n">
        <v>6</v>
      </c>
      <c r="S5" s="57" t="n">
        <v>2</v>
      </c>
      <c r="T5" s="57" t="n">
        <v>3</v>
      </c>
      <c r="U5" s="107" t="n">
        <v>11776</v>
      </c>
      <c r="V5" s="107" t="n">
        <v>16164</v>
      </c>
      <c r="W5" s="108" t="n">
        <v>1</v>
      </c>
      <c r="X5" s="107" t="n">
        <v>5388</v>
      </c>
      <c r="Y5" s="108" t="n">
        <v>0.666666666666667</v>
      </c>
      <c r="Z5" s="108" t="n">
        <v>1.16666666666667</v>
      </c>
      <c r="AA5" s="108" t="n">
        <v>0.777777777777778</v>
      </c>
      <c r="AB5" s="108" t="n">
        <v>0.714285714285714</v>
      </c>
      <c r="AC5" s="108" t="n">
        <v>0.714285714285714</v>
      </c>
      <c r="AD5" s="108" t="n">
        <v>1</v>
      </c>
      <c r="AE5" s="108" t="n">
        <v>0.4</v>
      </c>
      <c r="AF5" s="108" t="n">
        <v>0.222222222222222</v>
      </c>
      <c r="AG5" s="108" t="n">
        <v>0.333333333333333</v>
      </c>
      <c r="AH5" s="107" t="n">
        <v>43712.4232933139</v>
      </c>
      <c r="AI5" s="109" t="n">
        <v>0.369780460157476</v>
      </c>
      <c r="AJ5" s="57" t="n">
        <v>6</v>
      </c>
      <c r="AK5" s="57" t="n">
        <v>6</v>
      </c>
      <c r="AL5" s="57" t="n">
        <v>6</v>
      </c>
      <c r="AM5" s="107" t="n">
        <v>933.671654597341</v>
      </c>
      <c r="AN5" s="107" t="n">
        <v>764.362326114707</v>
      </c>
      <c r="AO5" s="107" t="n">
        <v>1644.31168008514</v>
      </c>
      <c r="AP5" s="107" t="n">
        <v>90</v>
      </c>
      <c r="AQ5" s="107" t="n">
        <v>510.083228633199</v>
      </c>
      <c r="AR5" s="57" t="n">
        <v>0</v>
      </c>
      <c r="AS5" s="57" t="n">
        <v>0</v>
      </c>
      <c r="AT5" s="57" t="n">
        <v>0</v>
      </c>
      <c r="AU5" s="57" t="n">
        <v>0</v>
      </c>
      <c r="AV5" s="57" t="n">
        <v>0</v>
      </c>
      <c r="AW5" s="57" t="n">
        <v>0</v>
      </c>
      <c r="AX5" s="57" t="n">
        <v>0</v>
      </c>
      <c r="AY5" s="57" t="n">
        <v>0</v>
      </c>
      <c r="AZ5" s="57" t="n">
        <v>0</v>
      </c>
      <c r="BA5" s="57" t="n">
        <v>0</v>
      </c>
      <c r="BB5" s="107" t="n">
        <v>0</v>
      </c>
      <c r="BC5" s="107" t="n">
        <v>0</v>
      </c>
      <c r="BD5" s="108" t="n"/>
      <c r="BE5" s="107" t="n"/>
      <c r="BF5" s="108" t="n"/>
      <c r="BG5" s="108" t="n"/>
      <c r="BH5" s="108" t="n"/>
      <c r="BI5" s="108" t="n"/>
      <c r="BJ5" s="108" t="n"/>
      <c r="BK5" s="108" t="n"/>
      <c r="BL5" s="108" t="n"/>
      <c r="BM5" s="108" t="n"/>
      <c r="BN5" s="108" t="n"/>
      <c r="BO5" s="57" t="n">
        <v>0</v>
      </c>
      <c r="BP5" s="57" t="n">
        <v>0</v>
      </c>
      <c r="BQ5" s="57" t="n">
        <v>0</v>
      </c>
      <c r="BR5" s="107" t="n">
        <v>0</v>
      </c>
      <c r="BS5" s="107" t="n">
        <v>0</v>
      </c>
      <c r="BT5" s="107" t="n">
        <v>0</v>
      </c>
      <c r="BU5" s="107" t="n">
        <v>0</v>
      </c>
      <c r="BV5" s="107" t="n">
        <v>0</v>
      </c>
      <c r="BW5" s="107" t="n">
        <v>11776</v>
      </c>
      <c r="BX5" s="107" t="n">
        <v>16164</v>
      </c>
      <c r="BY5" s="108" t="n">
        <v>1</v>
      </c>
      <c r="BZ5" s="107" t="n">
        <v>3008.75723483304</v>
      </c>
      <c r="CA5" s="107" t="n">
        <v>2477.36625053761</v>
      </c>
      <c r="CB5" s="107" t="n">
        <v>933.671654597341</v>
      </c>
      <c r="CC5" s="107" t="n">
        <v>39769.9944038835</v>
      </c>
      <c r="CD5" s="107" t="n">
        <v>39769.9944038835</v>
      </c>
      <c r="CE5" s="107" t="n">
        <v>43181.0323090185</v>
      </c>
      <c r="CF5" s="109" t="n">
        <v>0.272712331556292</v>
      </c>
      <c r="CG5" s="118" t="n">
        <v>0</v>
      </c>
      <c r="CH5" s="107" t="n">
        <v>43712.4232933139</v>
      </c>
      <c r="CI5" s="109" t="n">
        <v>0.369780460157476</v>
      </c>
      <c r="CJ5" s="107" t="n">
        <v>43453.7516387165</v>
      </c>
      <c r="CK5" s="109" t="n">
        <v>0.37198169065794</v>
      </c>
    </row>
    <row r="6" ht="16.5" customFormat="1" customHeight="1" s="39">
      <c r="A6" s="63" t="n">
        <v>46143</v>
      </c>
      <c r="B6" s="67" t="n"/>
      <c r="C6" s="67" t="n"/>
      <c r="D6" s="67" t="n"/>
      <c r="E6" s="67" t="n"/>
      <c r="F6" s="67" t="n"/>
      <c r="G6" s="67" t="n"/>
      <c r="H6" s="107" t="n">
        <v>8568</v>
      </c>
      <c r="I6" s="118">
        <f>H6-CG6</f>
        <v/>
      </c>
      <c r="J6" s="107" t="n"/>
      <c r="K6" s="57" t="n">
        <v>0</v>
      </c>
      <c r="L6" s="57" t="n">
        <v>0</v>
      </c>
      <c r="M6" s="57" t="n">
        <v>0</v>
      </c>
      <c r="N6" s="57" t="n">
        <v>0</v>
      </c>
      <c r="O6" s="57" t="n">
        <v>0</v>
      </c>
      <c r="P6" s="57" t="n">
        <v>0</v>
      </c>
      <c r="Q6" s="57" t="n">
        <v>0</v>
      </c>
      <c r="R6" s="57" t="n">
        <v>0</v>
      </c>
      <c r="S6" s="57" t="n">
        <v>0</v>
      </c>
      <c r="T6" s="57" t="n">
        <v>0</v>
      </c>
      <c r="U6" s="107" t="n">
        <v>0</v>
      </c>
      <c r="V6" s="107" t="n">
        <v>0</v>
      </c>
      <c r="W6" s="108" t="n"/>
      <c r="X6" s="107" t="n"/>
      <c r="Y6" s="108" t="n"/>
      <c r="Z6" s="108" t="n"/>
      <c r="AA6" s="108" t="n"/>
      <c r="AB6" s="108" t="n"/>
      <c r="AC6" s="108" t="n"/>
      <c r="AD6" s="108" t="n"/>
      <c r="AE6" s="108" t="n"/>
      <c r="AF6" s="108" t="n"/>
      <c r="AG6" s="108" t="n"/>
      <c r="AH6" s="107" t="n">
        <v>0</v>
      </c>
      <c r="AI6" s="109" t="n"/>
      <c r="AJ6" s="57" t="n">
        <v>0</v>
      </c>
      <c r="AK6" s="57" t="n">
        <v>0</v>
      </c>
      <c r="AL6" s="57" t="n">
        <v>0</v>
      </c>
      <c r="AM6" s="107" t="n">
        <v>0</v>
      </c>
      <c r="AN6" s="107" t="n">
        <v>0</v>
      </c>
      <c r="AO6" s="107" t="n">
        <v>0</v>
      </c>
      <c r="AP6" s="107" t="n">
        <v>0</v>
      </c>
      <c r="AQ6" s="107" t="n">
        <v>0</v>
      </c>
      <c r="AR6" s="57" t="n">
        <v>0</v>
      </c>
      <c r="AS6" s="57" t="n">
        <v>0</v>
      </c>
      <c r="AT6" s="57" t="n">
        <v>0</v>
      </c>
      <c r="AU6" s="57" t="n">
        <v>0</v>
      </c>
      <c r="AV6" s="57" t="n">
        <v>0</v>
      </c>
      <c r="AW6" s="57" t="n">
        <v>0</v>
      </c>
      <c r="AX6" s="57" t="n">
        <v>0</v>
      </c>
      <c r="AY6" s="57" t="n">
        <v>0</v>
      </c>
      <c r="AZ6" s="57" t="n">
        <v>0</v>
      </c>
      <c r="BA6" s="57" t="n">
        <v>0</v>
      </c>
      <c r="BB6" s="107" t="n">
        <v>0</v>
      </c>
      <c r="BC6" s="107" t="n">
        <v>0</v>
      </c>
      <c r="BD6" s="108" t="n"/>
      <c r="BE6" s="107" t="n"/>
      <c r="BF6" s="108" t="n"/>
      <c r="BG6" s="108" t="n"/>
      <c r="BH6" s="108" t="n"/>
      <c r="BI6" s="108" t="n"/>
      <c r="BJ6" s="108" t="n"/>
      <c r="BK6" s="108" t="n"/>
      <c r="BL6" s="108" t="n"/>
      <c r="BM6" s="108" t="n"/>
      <c r="BN6" s="108" t="n"/>
      <c r="BO6" s="57" t="n">
        <v>0</v>
      </c>
      <c r="BP6" s="57" t="n">
        <v>0</v>
      </c>
      <c r="BQ6" s="57" t="n">
        <v>0</v>
      </c>
      <c r="BR6" s="107" t="n">
        <v>0</v>
      </c>
      <c r="BS6" s="107" t="n">
        <v>0</v>
      </c>
      <c r="BT6" s="107" t="n">
        <v>0</v>
      </c>
      <c r="BU6" s="107" t="n">
        <v>0</v>
      </c>
      <c r="BV6" s="107" t="n">
        <v>0</v>
      </c>
      <c r="BW6" s="107" t="n">
        <v>0</v>
      </c>
      <c r="BX6" s="107" t="n">
        <v>0</v>
      </c>
      <c r="BY6" s="108" t="n"/>
      <c r="BZ6" s="107" t="n">
        <v>0</v>
      </c>
      <c r="CA6" s="107" t="n">
        <v>0</v>
      </c>
      <c r="CB6" s="107" t="n">
        <v>0</v>
      </c>
      <c r="CC6" s="107" t="n">
        <v>8568</v>
      </c>
      <c r="CD6" s="107" t="n">
        <v>8568</v>
      </c>
      <c r="CE6" s="107" t="n">
        <v>0</v>
      </c>
      <c r="CF6" s="109" t="n"/>
      <c r="CG6" s="118" t="n">
        <v>0</v>
      </c>
      <c r="CH6" s="107" t="n">
        <v>0</v>
      </c>
      <c r="CI6" s="109" t="n"/>
      <c r="CJ6" s="107" t="n">
        <v>0</v>
      </c>
      <c r="CK6" s="109" t="n">
        <v>0.37198169065794</v>
      </c>
    </row>
    <row r="7" ht="30" customFormat="1" customHeight="1" s="40">
      <c r="A7" s="40" t="inlineStr">
        <is>
          <t>周家蔚-汇总</t>
        </is>
      </c>
      <c r="B7" s="57" t="n"/>
      <c r="C7" s="57" t="n"/>
      <c r="D7" s="57" t="n"/>
      <c r="E7" s="57" t="n"/>
      <c r="F7" s="57" t="n"/>
      <c r="G7" s="57" t="n"/>
      <c r="H7" s="107">
        <f>SUM(H3:H6)</f>
        <v/>
      </c>
      <c r="I7" s="107">
        <f>SUM(I3:I6)</f>
        <v/>
      </c>
      <c r="J7" s="107">
        <f>I7/K7</f>
        <v/>
      </c>
      <c r="K7" s="57">
        <f>SUM(K3:K6)</f>
        <v/>
      </c>
      <c r="L7" s="57">
        <f>SUM(L3:L6)</f>
        <v/>
      </c>
      <c r="M7" s="57">
        <f>SUM(M3:M6)</f>
        <v/>
      </c>
      <c r="N7" s="57">
        <f>SUM(N3:N6)</f>
        <v/>
      </c>
      <c r="O7" s="57" t="n"/>
      <c r="P7" s="57" t="n"/>
      <c r="Q7" s="57">
        <f>SUM(Q3:Q6)</f>
        <v/>
      </c>
      <c r="R7" s="57">
        <f>SUM(R3:R6)</f>
        <v/>
      </c>
      <c r="S7" s="57">
        <f>SUM(S3:S6)</f>
        <v/>
      </c>
      <c r="T7" s="57">
        <f>SUM(T3:T6)</f>
        <v/>
      </c>
      <c r="U7" s="107">
        <f>SUM(U3:U6)</f>
        <v/>
      </c>
      <c r="V7" s="107">
        <f>SUM(V3:V6)</f>
        <v/>
      </c>
      <c r="W7" s="57" t="n"/>
      <c r="X7" s="107">
        <f>V7/T7</f>
        <v/>
      </c>
      <c r="Y7" s="61">
        <f>L7/K7</f>
        <v/>
      </c>
      <c r="Z7" s="61">
        <f>N7/L7</f>
        <v/>
      </c>
      <c r="AA7" s="61">
        <f>N7/K7</f>
        <v/>
      </c>
      <c r="AB7" s="61">
        <f>Q7/N7</f>
        <v/>
      </c>
      <c r="AC7" s="61" t="n"/>
      <c r="AD7" s="61">
        <f>AVERAGE(AD3:AD6)</f>
        <v/>
      </c>
      <c r="AE7" s="61">
        <f>S7/Q7</f>
        <v/>
      </c>
      <c r="AF7" s="61">
        <f>S7/K7</f>
        <v/>
      </c>
      <c r="AG7" s="61">
        <f>T7/K7</f>
        <v/>
      </c>
      <c r="AH7" s="107">
        <f>SUM(AH3:AH6)</f>
        <v/>
      </c>
      <c r="AI7" s="109">
        <f>V7/AH7</f>
        <v/>
      </c>
      <c r="AJ7" s="57">
        <f>SUM(AJ3:AJ6)</f>
        <v/>
      </c>
      <c r="AK7" s="57">
        <f>SUM(AK3:AK6)</f>
        <v/>
      </c>
      <c r="AL7" s="57">
        <f>SUM(AL3:AL6)</f>
        <v/>
      </c>
      <c r="AM7" s="107">
        <f>SUM(AM3:AM6)</f>
        <v/>
      </c>
      <c r="AN7" s="107">
        <f>SUM(AN3:AN6)</f>
        <v/>
      </c>
      <c r="AO7" s="107">
        <f>SUM(AO3:AO6)</f>
        <v/>
      </c>
      <c r="AP7" s="107">
        <f>SUM(AP3:AP6)</f>
        <v/>
      </c>
      <c r="AQ7" s="107">
        <f>SUM(AQ3:AQ6)</f>
        <v/>
      </c>
      <c r="AR7" s="57">
        <f>SUM(AR3:AR6)</f>
        <v/>
      </c>
      <c r="AS7" s="57">
        <f>SUM(AS3:AS6)</f>
        <v/>
      </c>
      <c r="AT7" s="57" t="n"/>
      <c r="AU7" s="57">
        <f>SUM(AU3:AU6)</f>
        <v/>
      </c>
      <c r="AV7" s="57" t="n"/>
      <c r="AW7" s="57" t="n"/>
      <c r="AX7" s="57">
        <f>SUM(AX3:AX6)</f>
        <v/>
      </c>
      <c r="AY7" s="57">
        <f>SUM(AY3:AY6)</f>
        <v/>
      </c>
      <c r="AZ7" s="57">
        <f>SUM(AZ3:AZ6)</f>
        <v/>
      </c>
      <c r="BA7" s="57">
        <f>SUM(BA3:BA6)</f>
        <v/>
      </c>
      <c r="BB7" s="107">
        <f>SUM(BB3:BB6)</f>
        <v/>
      </c>
      <c r="BC7" s="107">
        <f>SUM(BC3:BC6)</f>
        <v/>
      </c>
      <c r="BD7" s="107" t="n"/>
      <c r="BE7" s="107">
        <f>BC7/BA7</f>
        <v/>
      </c>
      <c r="BF7" s="62">
        <f>AS7/AR7</f>
        <v/>
      </c>
      <c r="BG7" s="62">
        <f>AU7/AS7</f>
        <v/>
      </c>
      <c r="BH7" s="62">
        <f>AU7/AR7</f>
        <v/>
      </c>
      <c r="BI7" s="62">
        <f>AX7/AU7</f>
        <v/>
      </c>
      <c r="BJ7" s="62" t="n"/>
      <c r="BK7" s="62">
        <f>AVERAGE(BK3:BK6)</f>
        <v/>
      </c>
      <c r="BL7" s="62">
        <f>AZ7/AX7</f>
        <v/>
      </c>
      <c r="BM7" s="62">
        <f>AZ7/AR7</f>
        <v/>
      </c>
      <c r="BN7" s="62">
        <f>BA7/AR7</f>
        <v/>
      </c>
      <c r="BO7" s="57">
        <f>SUM(BO3:BO6)</f>
        <v/>
      </c>
      <c r="BP7" s="57">
        <f>SUM(BP3:BP6)</f>
        <v/>
      </c>
      <c r="BQ7" s="57">
        <f>SUM(BQ3:BQ6)</f>
        <v/>
      </c>
      <c r="BR7" s="107">
        <f>SUM(BR3:BR6)</f>
        <v/>
      </c>
      <c r="BS7" s="107">
        <f>SUM(BS3:BS6)</f>
        <v/>
      </c>
      <c r="BT7" s="107">
        <f>SUM(BT3:BT6)</f>
        <v/>
      </c>
      <c r="BU7" s="57">
        <f>SUM(BU3:BU6)</f>
        <v/>
      </c>
      <c r="BV7" s="57">
        <f>SUM(BV3:BV6)</f>
        <v/>
      </c>
      <c r="BW7" s="107">
        <f>SUM(BW3:BW6)</f>
        <v/>
      </c>
      <c r="BX7" s="107">
        <f>SUM(BX3:BX6)</f>
        <v/>
      </c>
      <c r="BY7" s="107" t="n"/>
      <c r="BZ7" s="107">
        <f>SUM(BZ3:BZ6)</f>
        <v/>
      </c>
      <c r="CA7" s="107">
        <f>SUM(CA3:CA6)</f>
        <v/>
      </c>
      <c r="CB7" s="107">
        <f>SUM(CB3:CB6)</f>
        <v/>
      </c>
      <c r="CC7" s="107">
        <f>SUM(CC3:CC6)</f>
        <v/>
      </c>
      <c r="CD7" s="107">
        <f>SUM(CD3:CD6)</f>
        <v/>
      </c>
      <c r="CE7" s="107">
        <f>SUM(CE3:CE6)</f>
        <v/>
      </c>
      <c r="CF7" s="109">
        <f>BW7/CE7</f>
        <v/>
      </c>
      <c r="CG7" s="107">
        <f>SUM(CG3:CG6)</f>
        <v/>
      </c>
      <c r="CH7" s="107">
        <f>SUM(CH3:CH6)</f>
        <v/>
      </c>
      <c r="CI7" s="109">
        <f>BX7/CH7</f>
        <v/>
      </c>
      <c r="CJ7" s="107">
        <f>SUM(CJ3:CJ6)</f>
        <v/>
      </c>
      <c r="CK7" s="109">
        <f>BX7/CJ7</f>
        <v/>
      </c>
    </row>
  </sheetData>
  <mergeCells count="3">
    <mergeCell ref="BW1:CK1"/>
    <mergeCell ref="I1:AI1"/>
    <mergeCell ref="AR1:B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F5"/>
  <sheetViews>
    <sheetView zoomScale="70" zoomScaleNormal="70" workbookViewId="0">
      <selection activeCell="J20" sqref="J20"/>
    </sheetView>
  </sheetViews>
  <sheetFormatPr baseColWidth="8" defaultColWidth="8.891666666666669" defaultRowHeight="14.25" outlineLevelRow="4"/>
  <cols>
    <col width="13.4416666666667" customWidth="1" min="1" max="1"/>
    <col width="8.891666666666669" customWidth="1" min="2" max="3"/>
    <col width="39.225" customWidth="1" min="4" max="4"/>
    <col width="8.891666666666669" customWidth="1" min="5" max="8"/>
    <col width="12.8916666666667" customWidth="1" min="9" max="9"/>
    <col width="15.6666666666667" customWidth="1" min="10" max="10"/>
    <col width="8.891666666666669" customWidth="1" min="11" max="18"/>
    <col width="10" customWidth="1" min="19" max="20"/>
    <col width="8.891666666666669" customWidth="1" min="21" max="21"/>
    <col width="12.8916666666667" customWidth="1" min="22" max="22"/>
    <col width="15.6666666666667" customWidth="1" min="23" max="32"/>
    <col width="8.891666666666669" customWidth="1" min="33" max="35"/>
    <col width="15.6666666666667" customWidth="1" min="36" max="38"/>
    <col width="12.8916666666667" customWidth="1" min="39" max="39"/>
    <col width="8.891666666666669" customWidth="1" min="40" max="47"/>
    <col width="10.225" customWidth="1" min="48" max="49"/>
    <col width="8.891666666666669" customWidth="1" min="50" max="50"/>
    <col width="10.225" customWidth="1" min="51" max="51"/>
    <col width="15.6666666666667" customWidth="1" min="52" max="56"/>
    <col width="8.891666666666669" customWidth="1" min="57" max="57"/>
    <col width="15.6666666666667" customWidth="1" min="58" max="59"/>
    <col width="8.891666666666669" customWidth="1" min="60" max="62"/>
    <col width="15.6666666666667" customWidth="1" min="63" max="65"/>
    <col width="8.891666666666669" customWidth="1" min="66" max="67"/>
    <col width="11.5583333333333" customWidth="1" min="68" max="69"/>
    <col width="15.5583333333333" customWidth="1" min="70" max="70"/>
    <col width="15.6666666666667" customWidth="1" min="71" max="73"/>
    <col width="12.8916666666667" customWidth="1" min="74" max="75"/>
    <col width="15.6666666666667" customWidth="1" min="76" max="76"/>
    <col width="12.775" customWidth="1" min="77" max="77"/>
    <col width="15.6666666666667" customWidth="1" style="119" min="78" max="79"/>
    <col width="12.775" customWidth="1" min="80" max="80"/>
    <col width="15.6666666666667" customWidth="1" style="119" min="81" max="81"/>
    <col width="14.3333333333333" customWidth="1" min="82" max="82"/>
    <col width="8.891666666666669" customWidth="1" min="83" max="90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inlineStr">
        <is>
          <t>滚动消耗</t>
        </is>
      </c>
      <c r="I2" s="91" t="inlineStr">
        <is>
          <t>滚动消耗(不含赠课成本)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120" t="inlineStr">
        <is>
          <t>当月ROI2</t>
        </is>
      </c>
      <c r="CA2" s="120" t="inlineStr">
        <is>
          <t>滚动赠课成本</t>
        </is>
      </c>
      <c r="CB2" s="91" t="inlineStr">
        <is>
          <t>滚动ROI2总成本</t>
        </is>
      </c>
      <c r="CC2" s="120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inlineStr">
        <is>
          <t>KOLHK</t>
        </is>
      </c>
      <c r="B3" s="67" t="n"/>
      <c r="C3" s="67" t="n"/>
      <c r="D3" s="67" t="n"/>
      <c r="E3" s="67" t="n"/>
      <c r="F3" s="67" t="n"/>
      <c r="G3" s="67" t="n"/>
      <c r="H3" s="107" t="n">
        <v>341842.348514773</v>
      </c>
      <c r="I3" s="118">
        <f>H3-CA3</f>
        <v/>
      </c>
      <c r="J3" s="107" t="n">
        <v>841.976227868898</v>
      </c>
      <c r="K3" s="57" t="n">
        <v>406</v>
      </c>
      <c r="L3" s="57" t="n">
        <v>165</v>
      </c>
      <c r="M3" s="57" t="n">
        <v>182</v>
      </c>
      <c r="N3" s="57" t="n">
        <v>164</v>
      </c>
      <c r="O3" s="57" t="n">
        <v>108</v>
      </c>
      <c r="P3" s="57" t="n">
        <v>156</v>
      </c>
      <c r="Q3" s="57" t="n">
        <v>43</v>
      </c>
      <c r="R3" s="57" t="n">
        <v>66</v>
      </c>
      <c r="S3" s="107" t="n">
        <v>255893</v>
      </c>
      <c r="T3" s="107" t="n">
        <v>376559</v>
      </c>
      <c r="U3" s="108" t="n">
        <v>1</v>
      </c>
      <c r="V3" s="107" t="n">
        <v>5705.43939393939</v>
      </c>
      <c r="W3" s="108" t="n">
        <v>0.4064039408867</v>
      </c>
      <c r="X3" s="108" t="n">
        <v>0.993939393939394</v>
      </c>
      <c r="Y3" s="108" t="n">
        <v>0.403940886699507</v>
      </c>
      <c r="Z3" s="108" t="n">
        <v>0.658536585365854</v>
      </c>
      <c r="AA3" s="108" t="n">
        <v>0.975</v>
      </c>
      <c r="AB3" s="108" t="n">
        <v>0.398148148148148</v>
      </c>
      <c r="AC3" s="108" t="n">
        <v>0.105911330049261</v>
      </c>
      <c r="AD3" s="108" t="n">
        <v>0.16256157635468</v>
      </c>
      <c r="AE3" s="107" t="n">
        <v>449234.464281143</v>
      </c>
      <c r="AF3" s="109" t="n">
        <v>0.838223756057014</v>
      </c>
      <c r="AG3" s="57" t="n">
        <v>160</v>
      </c>
      <c r="AH3" s="57" t="n">
        <v>156</v>
      </c>
      <c r="AI3" s="57" t="n">
        <v>165</v>
      </c>
      <c r="AJ3" s="107" t="n">
        <v>26427.9658161071</v>
      </c>
      <c r="AK3" s="107" t="n">
        <v>21495.6495268517</v>
      </c>
      <c r="AL3" s="107" t="n">
        <v>41422.1262438144</v>
      </c>
      <c r="AM3" s="107" t="n">
        <v>4060</v>
      </c>
      <c r="AN3" s="107" t="n">
        <v>13986.3741795969</v>
      </c>
      <c r="AO3" s="57" t="n">
        <v>1</v>
      </c>
      <c r="AP3" s="57" t="n">
        <v>0</v>
      </c>
      <c r="AQ3" s="57" t="n">
        <v>0</v>
      </c>
      <c r="AR3" s="57" t="n">
        <v>0</v>
      </c>
      <c r="AS3" s="57" t="n">
        <v>0</v>
      </c>
      <c r="AT3" s="57" t="n">
        <v>0</v>
      </c>
      <c r="AU3" s="57" t="n">
        <v>0</v>
      </c>
      <c r="AV3" s="57" t="n">
        <v>0</v>
      </c>
      <c r="AW3" s="107" t="n">
        <v>0</v>
      </c>
      <c r="AX3" s="107" t="n">
        <v>0</v>
      </c>
      <c r="AY3" s="108" t="n"/>
      <c r="AZ3" s="107" t="n"/>
      <c r="BA3" s="108" t="n">
        <v>0</v>
      </c>
      <c r="BB3" s="108" t="n"/>
      <c r="BC3" s="108" t="n">
        <v>0</v>
      </c>
      <c r="BD3" s="108" t="n"/>
      <c r="BE3" s="108" t="n"/>
      <c r="BF3" s="108" t="n"/>
      <c r="BG3" s="108" t="n">
        <v>0</v>
      </c>
      <c r="BH3" s="108" t="n">
        <v>0</v>
      </c>
      <c r="BI3" s="57" t="n">
        <v>0</v>
      </c>
      <c r="BJ3" s="57" t="n">
        <v>0</v>
      </c>
      <c r="BK3" s="57" t="n">
        <v>0</v>
      </c>
      <c r="BL3" s="107" t="n">
        <v>0</v>
      </c>
      <c r="BM3" s="107" t="n">
        <v>0</v>
      </c>
      <c r="BN3" s="107" t="n">
        <v>0</v>
      </c>
      <c r="BO3" s="107" t="n">
        <v>10</v>
      </c>
      <c r="BP3" s="107" t="n">
        <v>0</v>
      </c>
      <c r="BQ3" s="107" t="n">
        <v>255893</v>
      </c>
      <c r="BR3" s="107" t="n">
        <v>376559</v>
      </c>
      <c r="BS3" s="108" t="n">
        <v>1</v>
      </c>
      <c r="BT3" s="107" t="n">
        <v>80974.1499502629</v>
      </c>
      <c r="BU3" s="107" t="n">
        <v>61285.0236603308</v>
      </c>
      <c r="BV3" s="107" t="n">
        <v>26427.9658161071</v>
      </c>
      <c r="BW3" s="107" t="n">
        <v>341842.348514773</v>
      </c>
      <c r="BX3" s="107" t="n">
        <v>337731.734370687</v>
      </c>
      <c r="BY3" s="107" t="n">
        <v>425444.723847125</v>
      </c>
      <c r="BZ3" s="109" t="n">
        <v>0.601471790943986</v>
      </c>
      <c r="CA3" s="118" t="n">
        <v>11795.6753699834</v>
      </c>
      <c r="CB3" s="107" t="n">
        <v>449244.464281143</v>
      </c>
      <c r="CC3" s="109" t="n">
        <v>0.83820509753537</v>
      </c>
      <c r="CD3" s="107" t="n">
        <v>453341.498465035</v>
      </c>
      <c r="CE3" s="109" t="n">
        <v>0.830629892200444</v>
      </c>
    </row>
    <row r="4" ht="16.5" customFormat="1" customHeight="1" s="39">
      <c r="A4" s="63" t="inlineStr">
        <is>
          <t>直播HK</t>
        </is>
      </c>
      <c r="B4" s="67" t="n"/>
      <c r="C4" s="67" t="n"/>
      <c r="D4" s="67" t="n"/>
      <c r="E4" s="67" t="n"/>
      <c r="F4" s="67" t="n"/>
      <c r="G4" s="67" t="n"/>
      <c r="H4" s="107" t="n">
        <v>35883.2126876939</v>
      </c>
      <c r="I4" s="118">
        <f>H4-CA4</f>
        <v/>
      </c>
      <c r="J4" s="107" t="n">
        <v>732.310463014161</v>
      </c>
      <c r="K4" s="57" t="n">
        <v>49</v>
      </c>
      <c r="L4" s="57" t="n">
        <v>27</v>
      </c>
      <c r="M4" s="57" t="n">
        <v>27</v>
      </c>
      <c r="N4" s="57" t="n">
        <v>25</v>
      </c>
      <c r="O4" s="57" t="n">
        <v>19</v>
      </c>
      <c r="P4" s="57" t="n">
        <v>19</v>
      </c>
      <c r="Q4" s="57" t="n">
        <v>7</v>
      </c>
      <c r="R4" s="57" t="n">
        <v>7</v>
      </c>
      <c r="S4" s="107" t="n">
        <v>34213</v>
      </c>
      <c r="T4" s="107" t="n">
        <v>34213</v>
      </c>
      <c r="U4" s="108" t="n">
        <v>1</v>
      </c>
      <c r="V4" s="107" t="n">
        <v>4887.57142857143</v>
      </c>
      <c r="W4" s="108" t="n">
        <v>0.551020408163265</v>
      </c>
      <c r="X4" s="108" t="n">
        <v>0.925925925925926</v>
      </c>
      <c r="Y4" s="108" t="n">
        <v>0.510204081632653</v>
      </c>
      <c r="Z4" s="108" t="n">
        <v>0.76</v>
      </c>
      <c r="AA4" s="108" t="n">
        <v>1</v>
      </c>
      <c r="AB4" s="108" t="n">
        <v>0.368421052631579</v>
      </c>
      <c r="AC4" s="108" t="n">
        <v>0.142857142857143</v>
      </c>
      <c r="AD4" s="108" t="n">
        <v>0.142857142857143</v>
      </c>
      <c r="AE4" s="107" t="n">
        <v>46383.4250967832</v>
      </c>
      <c r="AF4" s="109" t="n">
        <v>0.737612626247663</v>
      </c>
      <c r="AG4" s="57" t="n">
        <v>19</v>
      </c>
      <c r="AH4" s="57" t="n">
        <v>19</v>
      </c>
      <c r="AI4" s="57" t="n">
        <v>19</v>
      </c>
      <c r="AJ4" s="107" t="n">
        <v>1447.25738396625</v>
      </c>
      <c r="AK4" s="107" t="n">
        <v>3188.91503969778</v>
      </c>
      <c r="AL4" s="107" t="n">
        <v>3763.48780716866</v>
      </c>
      <c r="AM4" s="107" t="n">
        <v>490</v>
      </c>
      <c r="AN4" s="107" t="n">
        <v>1610.55217825661</v>
      </c>
      <c r="AO4" s="57" t="n">
        <v>0</v>
      </c>
      <c r="AP4" s="57" t="n">
        <v>0</v>
      </c>
      <c r="AQ4" s="57" t="n">
        <v>0</v>
      </c>
      <c r="AR4" s="57" t="n">
        <v>0</v>
      </c>
      <c r="AS4" s="57" t="n">
        <v>0</v>
      </c>
      <c r="AT4" s="57" t="n">
        <v>0</v>
      </c>
      <c r="AU4" s="57" t="n">
        <v>0</v>
      </c>
      <c r="AV4" s="57" t="n">
        <v>0</v>
      </c>
      <c r="AW4" s="107" t="n">
        <v>0</v>
      </c>
      <c r="AX4" s="107" t="n">
        <v>0</v>
      </c>
      <c r="AY4" s="108" t="n"/>
      <c r="AZ4" s="107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57" t="n">
        <v>0</v>
      </c>
      <c r="BJ4" s="57" t="n">
        <v>0</v>
      </c>
      <c r="BK4" s="57" t="n">
        <v>0</v>
      </c>
      <c r="BL4" s="107" t="n">
        <v>0</v>
      </c>
      <c r="BM4" s="107" t="n">
        <v>0</v>
      </c>
      <c r="BN4" s="107" t="n">
        <v>0</v>
      </c>
      <c r="BO4" s="107" t="n">
        <v>0</v>
      </c>
      <c r="BP4" s="107" t="n">
        <v>0</v>
      </c>
      <c r="BQ4" s="107" t="n">
        <v>34213</v>
      </c>
      <c r="BR4" s="107" t="n">
        <v>34213</v>
      </c>
      <c r="BS4" s="108" t="n">
        <v>1</v>
      </c>
      <c r="BT4" s="107" t="n">
        <v>9052.955025123039</v>
      </c>
      <c r="BU4" s="107" t="n">
        <v>9052.955025123039</v>
      </c>
      <c r="BV4" s="107" t="n">
        <v>1447.25738396625</v>
      </c>
      <c r="BW4" s="107" t="n">
        <v>35883.2126876939</v>
      </c>
      <c r="BX4" s="107" t="n">
        <v>35883.2126876939</v>
      </c>
      <c r="BY4" s="107" t="n">
        <v>46383.4250967832</v>
      </c>
      <c r="BZ4" s="109" t="n">
        <v>0.737612626247663</v>
      </c>
      <c r="CA4" s="118" t="n">
        <v>1251.0564786346</v>
      </c>
      <c r="CB4" s="107" t="n">
        <v>46383.4250967832</v>
      </c>
      <c r="CC4" s="109" t="n">
        <v>0.737612626247663</v>
      </c>
      <c r="CD4" s="107" t="n">
        <v>48611.1677128169</v>
      </c>
      <c r="CE4" s="109" t="n">
        <v>0.703809466214064</v>
      </c>
    </row>
    <row r="5" ht="30" customFormat="1" customHeight="1" s="40">
      <c r="A5" s="40" t="inlineStr">
        <is>
          <t>麥雅緻直播-汇总</t>
        </is>
      </c>
      <c r="B5" s="57" t="n"/>
      <c r="C5" s="57" t="n"/>
      <c r="D5" s="57" t="n"/>
      <c r="E5" s="57" t="n"/>
      <c r="F5" s="57" t="n"/>
      <c r="G5" s="57" t="n"/>
      <c r="H5" s="107">
        <f>SUM(H3:H4)</f>
        <v/>
      </c>
      <c r="I5" s="107">
        <f>SUM(I3:I4)</f>
        <v/>
      </c>
      <c r="J5" s="107">
        <f>I5/K5</f>
        <v/>
      </c>
      <c r="K5" s="57">
        <f>SUM(K3:K4)</f>
        <v/>
      </c>
      <c r="L5" s="57">
        <f>SUM(L3:L4)</f>
        <v/>
      </c>
      <c r="M5" s="57">
        <f>SUM(M3:M4)</f>
        <v/>
      </c>
      <c r="N5" s="57">
        <f>SUM(N3:N4)</f>
        <v/>
      </c>
      <c r="O5" s="57">
        <f>SUM(O3:O4)</f>
        <v/>
      </c>
      <c r="P5" s="57">
        <f>SUM(P3:P4)</f>
        <v/>
      </c>
      <c r="Q5" s="57">
        <f>SUM(Q3:Q4)</f>
        <v/>
      </c>
      <c r="R5" s="57">
        <f>SUM(R3:R4)</f>
        <v/>
      </c>
      <c r="S5" s="107">
        <f>SUM(S3:S4)</f>
        <v/>
      </c>
      <c r="T5" s="107">
        <f>SUM(T3:T4)</f>
        <v/>
      </c>
      <c r="U5" s="57" t="n"/>
      <c r="V5" s="107">
        <f>T5/R5</f>
        <v/>
      </c>
      <c r="W5" s="61">
        <f>L5/K5</f>
        <v/>
      </c>
      <c r="X5" s="61">
        <f>N5/L5</f>
        <v/>
      </c>
      <c r="Y5" s="61">
        <f>N5/K5</f>
        <v/>
      </c>
      <c r="Z5" s="61">
        <f>O5/N5</f>
        <v/>
      </c>
      <c r="AA5" s="61">
        <f>AVERAGE(AA3:AA4)</f>
        <v/>
      </c>
      <c r="AB5" s="61">
        <f>Q5/O5</f>
        <v/>
      </c>
      <c r="AC5" s="61">
        <f>Q5/K5</f>
        <v/>
      </c>
      <c r="AD5" s="61">
        <f>R5/K5</f>
        <v/>
      </c>
      <c r="AE5" s="107">
        <f>SUM(AE3:AE4)</f>
        <v/>
      </c>
      <c r="AF5" s="109">
        <f>T5/AE5</f>
        <v/>
      </c>
      <c r="AG5" s="57">
        <f>SUM(AG3:AG4)</f>
        <v/>
      </c>
      <c r="AH5" s="57">
        <f>SUM(AH3:AH4)</f>
        <v/>
      </c>
      <c r="AI5" s="57">
        <f>SUM(AI3:AI4)</f>
        <v/>
      </c>
      <c r="AJ5" s="107">
        <f>SUM(AJ3:AJ4)</f>
        <v/>
      </c>
      <c r="AK5" s="107">
        <f>SUM(AK3:AK4)</f>
        <v/>
      </c>
      <c r="AL5" s="107">
        <f>SUM(AL3:AL4)</f>
        <v/>
      </c>
      <c r="AM5" s="107">
        <f>SUM(AM3:AM4)</f>
        <v/>
      </c>
      <c r="AN5" s="107">
        <f>SUM(AN3:AN4)</f>
        <v/>
      </c>
      <c r="AO5" s="57">
        <f>SUM(AO3:AO4)</f>
        <v/>
      </c>
      <c r="AP5" s="57">
        <f>SUM(AP3:AP4)</f>
        <v/>
      </c>
      <c r="AQ5" s="57" t="n"/>
      <c r="AR5" s="57">
        <f>SUM(AR3:AR4)</f>
        <v/>
      </c>
      <c r="AS5" s="57">
        <f>SUM(AS3:AS4)</f>
        <v/>
      </c>
      <c r="AT5" s="57">
        <f>SUM(AT3:AT4)</f>
        <v/>
      </c>
      <c r="AU5" s="57">
        <f>SUM(AU3:AU4)</f>
        <v/>
      </c>
      <c r="AV5" s="57">
        <f>SUM(AV3:AV4)</f>
        <v/>
      </c>
      <c r="AW5" s="107">
        <f>SUM(AW3:AW4)</f>
        <v/>
      </c>
      <c r="AX5" s="107">
        <f>SUM(AX3:AX4)</f>
        <v/>
      </c>
      <c r="AY5" s="107" t="n"/>
      <c r="AZ5" s="107">
        <f>AX5/AV5</f>
        <v/>
      </c>
      <c r="BA5" s="62">
        <f>AP5/AO5</f>
        <v/>
      </c>
      <c r="BB5" s="62">
        <f>AR5/AP5</f>
        <v/>
      </c>
      <c r="BC5" s="62">
        <f>AR5/AO5</f>
        <v/>
      </c>
      <c r="BD5" s="62">
        <f>AS5/AR5</f>
        <v/>
      </c>
      <c r="BE5" s="62">
        <f>AVERAGE(BE3:BE4)</f>
        <v/>
      </c>
      <c r="BF5" s="62">
        <f>AU5/AS5</f>
        <v/>
      </c>
      <c r="BG5" s="62">
        <f>AU5/AO5</f>
        <v/>
      </c>
      <c r="BH5" s="62">
        <f>AV5/AO5</f>
        <v/>
      </c>
      <c r="BI5" s="57">
        <f>SUM(BI3:BI4)</f>
        <v/>
      </c>
      <c r="BJ5" s="57">
        <f>SUM(BJ3:BJ4)</f>
        <v/>
      </c>
      <c r="BK5" s="57">
        <f>SUM(BK3:BK4)</f>
        <v/>
      </c>
      <c r="BL5" s="107">
        <f>SUM(BL3:BL4)</f>
        <v/>
      </c>
      <c r="BM5" s="107">
        <f>SUM(BM3:BM4)</f>
        <v/>
      </c>
      <c r="BN5" s="107">
        <f>SUM(BN3:BN4)</f>
        <v/>
      </c>
      <c r="BO5" s="57">
        <f>SUM(BO3:BO4)</f>
        <v/>
      </c>
      <c r="BP5" s="57">
        <f>SUM(BP3:BP4)</f>
        <v/>
      </c>
      <c r="BQ5" s="107">
        <f>SUM(BQ3:BQ4)</f>
        <v/>
      </c>
      <c r="BR5" s="107">
        <f>SUM(BR3:BR4)</f>
        <v/>
      </c>
      <c r="BS5" s="107" t="n"/>
      <c r="BT5" s="107">
        <f>SUM(BT3:BT4)</f>
        <v/>
      </c>
      <c r="BU5" s="107">
        <f>SUM(BU3:BU4)</f>
        <v/>
      </c>
      <c r="BV5" s="107">
        <f>SUM(BV3:BV4)</f>
        <v/>
      </c>
      <c r="BW5" s="107">
        <f>SUM(BW3:BW4)</f>
        <v/>
      </c>
      <c r="BX5" s="107">
        <f>SUM(BX3:BX4)</f>
        <v/>
      </c>
      <c r="BY5" s="107">
        <f>SUM(BY3:BY4)</f>
        <v/>
      </c>
      <c r="BZ5" s="109">
        <f>BQ5/BY5</f>
        <v/>
      </c>
      <c r="CA5" s="107">
        <f>SUM(CA3:CA4)</f>
        <v/>
      </c>
      <c r="CB5" s="107">
        <f>SUM(CB3:CB4)</f>
        <v/>
      </c>
      <c r="CC5" s="109">
        <f>BR5/CB5</f>
        <v/>
      </c>
      <c r="CD5" s="107">
        <f>SUM(CD3:CD4)</f>
        <v/>
      </c>
      <c r="CE5" s="109">
        <f>BR5/CD5</f>
        <v/>
      </c>
    </row>
  </sheetData>
  <mergeCells count="3">
    <mergeCell ref="AO1:BH1"/>
    <mergeCell ref="BQ1:CE1"/>
    <mergeCell ref="I1:A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F64"/>
  <sheetViews>
    <sheetView topLeftCell="A37" zoomScale="80" zoomScaleNormal="80" workbookViewId="0">
      <selection activeCell="H4" sqref="H4:CE4"/>
    </sheetView>
  </sheetViews>
  <sheetFormatPr baseColWidth="8" defaultColWidth="8.891666666666669" defaultRowHeight="14.25"/>
  <cols>
    <col width="13.4416666666667" customWidth="1" min="1" max="1"/>
    <col width="15.6666666666667" customWidth="1" min="8" max="8"/>
    <col width="12.8916666666667" customWidth="1" min="9" max="9"/>
    <col width="9.66666666666667" customWidth="1" min="10" max="10"/>
    <col width="10" customWidth="1" min="19" max="19"/>
    <col width="11.8916666666667" customWidth="1" min="20" max="20"/>
    <col width="12.8916666666667" customWidth="1" min="22" max="23"/>
    <col width="11.775" customWidth="1" min="24" max="24"/>
    <col width="12.8916666666667" customWidth="1" min="25" max="31"/>
    <col width="11.775" customWidth="1" min="32" max="32"/>
    <col width="12.8916666666667" customWidth="1" min="36" max="39"/>
    <col width="15.6666666666667" customWidth="1" min="40" max="40"/>
    <col width="12.775" customWidth="1" min="50" max="50"/>
    <col width="12.775" customWidth="1" min="52" max="52"/>
    <col width="12.8916666666667" customWidth="1" min="53" max="56"/>
    <col width="12.8916666666667" customWidth="1" min="58" max="58"/>
    <col width="11.775" customWidth="1" min="59" max="59"/>
    <col width="15.6666666666667" customWidth="1" min="60" max="60"/>
    <col width="12.8916666666667" customWidth="1" min="64" max="66"/>
    <col width="15.6666666666667" customWidth="1" min="67" max="68"/>
    <col width="10" customWidth="1" min="69" max="69"/>
    <col width="11.8916666666667" customWidth="1" min="70" max="70"/>
    <col width="12.8916666666667" customWidth="1" min="72" max="78"/>
    <col width="11.775" customWidth="1" min="79" max="79"/>
    <col width="12.8916666666667" customWidth="1" min="80" max="80"/>
    <col width="11.775" customWidth="1" min="81" max="81"/>
    <col width="12.8916666666667" customWidth="1" min="82" max="82"/>
    <col width="15.6666666666667" customWidth="1" min="83" max="83"/>
  </cols>
  <sheetData>
    <row r="1" ht="28" customFormat="1" customHeight="1" s="41">
      <c r="B1" s="42" t="n"/>
      <c r="C1" s="43" t="n"/>
      <c r="D1" s="43" t="n"/>
      <c r="E1" s="43" t="n"/>
      <c r="F1" s="43" t="n"/>
      <c r="G1" s="44" t="n"/>
      <c r="H1" s="43" t="n"/>
      <c r="I1" s="103" t="inlineStr">
        <is>
          <t>主投</t>
        </is>
      </c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5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49" t="inlineStr">
        <is>
          <t>辅投</t>
        </is>
      </c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4" t="n"/>
      <c r="BB1" s="104" t="n"/>
      <c r="BC1" s="104" t="n"/>
      <c r="BD1" s="104" t="n"/>
      <c r="BE1" s="104" t="n"/>
      <c r="BF1" s="104" t="n"/>
      <c r="BG1" s="104" t="n"/>
      <c r="BH1" s="104" t="n"/>
      <c r="BI1" s="74" t="n"/>
      <c r="BJ1" s="74" t="n"/>
      <c r="BK1" s="74" t="n"/>
      <c r="BL1" s="74" t="n"/>
      <c r="BM1" s="74" t="n"/>
      <c r="BN1" s="74" t="n"/>
      <c r="BO1" s="74" t="n"/>
      <c r="BP1" s="75" t="n"/>
      <c r="BQ1" s="106" t="inlineStr">
        <is>
          <t>汇总</t>
        </is>
      </c>
      <c r="BR1" s="104" t="n"/>
      <c r="BS1" s="104" t="n"/>
      <c r="BT1" s="104" t="n"/>
      <c r="BU1" s="104" t="n"/>
      <c r="BV1" s="104" t="n"/>
      <c r="BW1" s="104" t="n"/>
      <c r="BX1" s="104" t="n"/>
      <c r="BY1" s="104" t="n"/>
      <c r="BZ1" s="104" t="n"/>
      <c r="CA1" s="104" t="n"/>
      <c r="CB1" s="104" t="n"/>
      <c r="CC1" s="104" t="n"/>
      <c r="CD1" s="104" t="n"/>
      <c r="CE1" s="105" t="n"/>
    </row>
    <row r="2" ht="54.75" customFormat="1" customHeight="1" s="89">
      <c r="B2" s="91" t="inlineStr">
        <is>
          <t>渠道组</t>
        </is>
      </c>
      <c r="C2" s="91" t="inlineStr">
        <is>
          <t>供应商</t>
        </is>
      </c>
      <c r="D2" s="91" t="inlineStr">
        <is>
          <t>渠道名称</t>
        </is>
      </c>
      <c r="E2" s="91" t="inlineStr">
        <is>
          <t>主投</t>
        </is>
      </c>
      <c r="F2" s="91" t="inlineStr">
        <is>
          <t>辅投</t>
        </is>
      </c>
      <c r="G2" s="91" t="inlineStr">
        <is>
          <t>结算方式</t>
        </is>
      </c>
      <c r="H2" s="91" t="n"/>
      <c r="I2" s="91" t="inlineStr">
        <is>
          <t>滚动消耗</t>
        </is>
      </c>
      <c r="J2" s="91" t="inlineStr">
        <is>
          <t>单例子成本</t>
        </is>
      </c>
      <c r="K2" s="91" t="inlineStr">
        <is>
          <t>例子数</t>
        </is>
      </c>
      <c r="L2" s="91" t="inlineStr">
        <is>
          <t>分发数</t>
        </is>
      </c>
      <c r="M2" s="91" t="inlineStr">
        <is>
          <t>剔除毛例子
分发数</t>
        </is>
      </c>
      <c r="N2" s="91" t="inlineStr">
        <is>
          <t>约课数</t>
        </is>
      </c>
      <c r="O2" s="91" t="inlineStr">
        <is>
          <t>到课数</t>
        </is>
      </c>
      <c r="P2" s="91" t="inlineStr">
        <is>
          <t>滚动到课数</t>
        </is>
      </c>
      <c r="Q2" s="91" t="inlineStr">
        <is>
          <t>当月成交数</t>
        </is>
      </c>
      <c r="R2" s="91" t="inlineStr">
        <is>
          <t>滚动成交数</t>
        </is>
      </c>
      <c r="S2" s="91" t="inlineStr">
        <is>
          <t>当月GMV</t>
        </is>
      </c>
      <c r="T2" s="91" t="inlineStr">
        <is>
          <t>滚动GMV</t>
        </is>
      </c>
      <c r="U2" s="91" t="inlineStr">
        <is>
          <t>海外GMV占比</t>
        </is>
      </c>
      <c r="V2" s="91" t="inlineStr">
        <is>
          <t>滚动ASP</t>
        </is>
      </c>
      <c r="W2" s="91" t="inlineStr">
        <is>
          <t>例子分发率</t>
        </is>
      </c>
      <c r="X2" s="91" t="inlineStr">
        <is>
          <t>分发约课率</t>
        </is>
      </c>
      <c r="Y2" s="91" t="inlineStr">
        <is>
          <t>例子约课率</t>
        </is>
      </c>
      <c r="Z2" s="91" t="inlineStr">
        <is>
          <t>约课到课率</t>
        </is>
      </c>
      <c r="AA2" s="91" t="inlineStr">
        <is>
          <t>滚动应到课率</t>
        </is>
      </c>
      <c r="AB2" s="91" t="inlineStr">
        <is>
          <t>到课转化率</t>
        </is>
      </c>
      <c r="AC2" s="91" t="inlineStr">
        <is>
          <t>注册转化率</t>
        </is>
      </c>
      <c r="AD2" s="91" t="inlineStr">
        <is>
          <t>滚动转化率</t>
        </is>
      </c>
      <c r="AE2" s="91" t="inlineStr">
        <is>
          <t>滚动ROI2总成本</t>
        </is>
      </c>
      <c r="AF2" s="91" t="inlineStr">
        <is>
          <t>滚动ROI2</t>
        </is>
      </c>
      <c r="AG2" s="91" t="inlineStr">
        <is>
          <t>滚动应到课人数</t>
        </is>
      </c>
      <c r="AH2" s="91" t="inlineStr">
        <is>
          <t>滚动到课人数</t>
        </is>
      </c>
      <c r="AI2" s="91" t="inlineStr">
        <is>
          <t>滚动到课人次</t>
        </is>
      </c>
      <c r="AJ2" s="91" t="inlineStr">
        <is>
          <t>运营成本</t>
        </is>
      </c>
      <c r="AK2" s="91" t="inlineStr">
        <is>
          <t>销售固定成本</t>
        </is>
      </c>
      <c r="AL2" s="91" t="inlineStr">
        <is>
          <t>销售变动成本</t>
        </is>
      </c>
      <c r="AM2" s="91" t="inlineStr">
        <is>
          <t>TMK费用</t>
        </is>
      </c>
      <c r="AN2" s="91" t="inlineStr">
        <is>
          <t>DEMO费用</t>
        </is>
      </c>
      <c r="AO2" s="91" t="inlineStr">
        <is>
          <t>例子数</t>
        </is>
      </c>
      <c r="AP2" s="91" t="inlineStr">
        <is>
          <t>分发数</t>
        </is>
      </c>
      <c r="AQ2" s="91" t="inlineStr">
        <is>
          <t>剔除毛例子分发数</t>
        </is>
      </c>
      <c r="AR2" s="91" t="inlineStr">
        <is>
          <t>约课数</t>
        </is>
      </c>
      <c r="AS2" s="91" t="inlineStr">
        <is>
          <t>到课数</t>
        </is>
      </c>
      <c r="AT2" s="91" t="inlineStr">
        <is>
          <t>滚动到课数</t>
        </is>
      </c>
      <c r="AU2" s="91" t="inlineStr">
        <is>
          <t>当月成交</t>
        </is>
      </c>
      <c r="AV2" s="91" t="inlineStr">
        <is>
          <t>滚动成交数</t>
        </is>
      </c>
      <c r="AW2" s="91" t="inlineStr">
        <is>
          <t>当月GMV</t>
        </is>
      </c>
      <c r="AX2" s="91" t="inlineStr">
        <is>
          <t>滚动GMV</t>
        </is>
      </c>
      <c r="AY2" s="91" t="inlineStr">
        <is>
          <t>海外GMV占比</t>
        </is>
      </c>
      <c r="AZ2" s="91" t="inlineStr">
        <is>
          <t>滚动ASP</t>
        </is>
      </c>
      <c r="BA2" s="91" t="inlineStr">
        <is>
          <t>例子分发率</t>
        </is>
      </c>
      <c r="BB2" s="91" t="inlineStr">
        <is>
          <t>分发约课率</t>
        </is>
      </c>
      <c r="BC2" s="91" t="inlineStr">
        <is>
          <t>例子约课率</t>
        </is>
      </c>
      <c r="BD2" s="91" t="inlineStr">
        <is>
          <t>约课到课率</t>
        </is>
      </c>
      <c r="BE2" s="91" t="inlineStr">
        <is>
          <t>滚动应到课率</t>
        </is>
      </c>
      <c r="BF2" s="91" t="inlineStr">
        <is>
          <t>到课转化率</t>
        </is>
      </c>
      <c r="BG2" s="91" t="inlineStr">
        <is>
          <t>注册转化率</t>
        </is>
      </c>
      <c r="BH2" s="91" t="inlineStr">
        <is>
          <t>滚动转化率</t>
        </is>
      </c>
      <c r="BI2" s="91" t="inlineStr">
        <is>
          <t>滚动应到课人数</t>
        </is>
      </c>
      <c r="BJ2" s="91" t="inlineStr">
        <is>
          <t>滚动到课人数</t>
        </is>
      </c>
      <c r="BK2" s="91" t="inlineStr">
        <is>
          <t>滚动到课人次</t>
        </is>
      </c>
      <c r="BL2" s="91" t="inlineStr">
        <is>
          <t>运营成本</t>
        </is>
      </c>
      <c r="BM2" s="91" t="inlineStr">
        <is>
          <t>销售固定成本</t>
        </is>
      </c>
      <c r="BN2" s="91" t="inlineStr">
        <is>
          <t>销售变动成本</t>
        </is>
      </c>
      <c r="BO2" s="91" t="inlineStr">
        <is>
          <t>TMK费用</t>
        </is>
      </c>
      <c r="BP2" s="91" t="inlineStr">
        <is>
          <t>DEMO费用</t>
        </is>
      </c>
      <c r="BQ2" s="91" t="inlineStr">
        <is>
          <t>当月GMV</t>
        </is>
      </c>
      <c r="BR2" s="91" t="inlineStr">
        <is>
          <t>滚动GMV</t>
        </is>
      </c>
      <c r="BS2" s="91" t="inlineStr">
        <is>
          <t>海外GMV占比</t>
        </is>
      </c>
      <c r="BT2" s="91" t="inlineStr">
        <is>
          <t>滚动其他成本</t>
        </is>
      </c>
      <c r="BU2" s="91" t="inlineStr">
        <is>
          <t>同源其他成本</t>
        </is>
      </c>
      <c r="BV2" s="91" t="inlineStr">
        <is>
          <t>运营成本</t>
        </is>
      </c>
      <c r="BW2" s="91" t="inlineStr">
        <is>
          <t>滚动消耗</t>
        </is>
      </c>
      <c r="BX2" s="91" t="inlineStr">
        <is>
          <t>同源消耗</t>
        </is>
      </c>
      <c r="BY2" s="91" t="inlineStr">
        <is>
          <t>当月ROI2总成本</t>
        </is>
      </c>
      <c r="BZ2" s="91" t="inlineStr">
        <is>
          <t>当月ROI2</t>
        </is>
      </c>
      <c r="CA2" s="91" t="n"/>
      <c r="CB2" s="91" t="inlineStr">
        <is>
          <t>滚动ROI2总成本</t>
        </is>
      </c>
      <c r="CC2" s="91" t="inlineStr">
        <is>
          <t>滚动ROI2</t>
        </is>
      </c>
      <c r="CD2" s="91" t="inlineStr">
        <is>
          <t>O-ROI总成本</t>
        </is>
      </c>
      <c r="CE2" s="91" t="inlineStr">
        <is>
          <t>O-ROI</t>
        </is>
      </c>
      <c r="CF2" s="89" t="inlineStr">
        <is>
          <t xml:space="preserve">   </t>
        </is>
      </c>
    </row>
    <row r="3" ht="16.5" customFormat="1" customHeight="1" s="39">
      <c r="A3" s="63" t="n">
        <v>45658</v>
      </c>
      <c r="B3" s="57" t="inlineStr">
        <is>
          <t>总计</t>
        </is>
      </c>
      <c r="C3" s="57" t="inlineStr">
        <is>
          <t>总计</t>
        </is>
      </c>
      <c r="D3" s="57" t="inlineStr">
        <is>
          <t>总计</t>
        </is>
      </c>
      <c r="E3" s="57" t="inlineStr">
        <is>
          <t>-</t>
        </is>
      </c>
      <c r="F3" s="57" t="inlineStr">
        <is>
          <t>-</t>
        </is>
      </c>
      <c r="G3" s="57" t="inlineStr">
        <is>
          <t>-</t>
        </is>
      </c>
      <c r="H3" s="57" t="n"/>
      <c r="I3" s="107" t="n">
        <v>47425.3233333333</v>
      </c>
      <c r="J3" s="107" t="n">
        <v>222.654100156494</v>
      </c>
      <c r="K3" s="57" t="n">
        <v>213</v>
      </c>
      <c r="L3" s="57" t="n">
        <v>92</v>
      </c>
      <c r="M3" s="57" t="n">
        <v>99</v>
      </c>
      <c r="N3" s="57" t="n">
        <v>87</v>
      </c>
      <c r="O3" s="57" t="n">
        <v>67</v>
      </c>
      <c r="P3" s="57" t="n">
        <v>112</v>
      </c>
      <c r="Q3" s="57" t="n">
        <v>21</v>
      </c>
      <c r="R3" s="57" t="n">
        <v>36</v>
      </c>
      <c r="S3" s="107" t="n">
        <v>96795.2</v>
      </c>
      <c r="T3" s="107" t="n">
        <v>164708.4</v>
      </c>
      <c r="U3" s="108" t="n">
        <v>1</v>
      </c>
      <c r="V3" s="107" t="n">
        <v>4575.23333333333</v>
      </c>
      <c r="W3" s="108" t="n">
        <v>0.431924882629108</v>
      </c>
      <c r="X3" s="108" t="n">
        <v>0.945652173913043</v>
      </c>
      <c r="Y3" s="108" t="n">
        <v>0.408450704225352</v>
      </c>
      <c r="Z3" s="108" t="n">
        <v>0.770114942528736</v>
      </c>
      <c r="AA3" s="108" t="n">
        <v>0.9411764705882349</v>
      </c>
      <c r="AB3" s="108" t="n">
        <v>0.313432835820896</v>
      </c>
      <c r="AC3" s="108" t="n">
        <v>0.0985915492957746</v>
      </c>
      <c r="AD3" s="108" t="n">
        <v>0.169014084507042</v>
      </c>
      <c r="AE3" s="107" t="n">
        <v>111441.109837393</v>
      </c>
      <c r="AF3" s="109" t="n">
        <v>1.47798599852722</v>
      </c>
      <c r="AG3" s="57" t="n">
        <v>119</v>
      </c>
      <c r="AH3" s="57" t="n">
        <v>112</v>
      </c>
      <c r="AI3" s="57" t="n">
        <v>124</v>
      </c>
      <c r="AJ3" s="107" t="n">
        <v>23881.7977993124</v>
      </c>
      <c r="AK3" s="107" t="n">
        <v>14045.9483573635</v>
      </c>
      <c r="AL3" s="107" t="n">
        <v>13655.9549158432</v>
      </c>
      <c r="AM3" s="107" t="n">
        <v>2366.33244476006</v>
      </c>
      <c r="AN3" s="107" t="n">
        <v>10065.7529867802</v>
      </c>
      <c r="AO3" s="57" t="n">
        <v>206</v>
      </c>
      <c r="AP3" s="57" t="n">
        <v>52</v>
      </c>
      <c r="AQ3" s="57" t="n">
        <v>81</v>
      </c>
      <c r="AR3" s="57" t="n">
        <v>50</v>
      </c>
      <c r="AS3" s="57" t="n">
        <v>32</v>
      </c>
      <c r="AT3" s="57" t="n">
        <v>41</v>
      </c>
      <c r="AU3" s="57" t="n">
        <v>2</v>
      </c>
      <c r="AV3" s="57" t="n">
        <v>5</v>
      </c>
      <c r="AW3" s="107" t="n">
        <v>6529.2</v>
      </c>
      <c r="AX3" s="107" t="n">
        <v>15657.6</v>
      </c>
      <c r="AY3" s="108" t="n">
        <v>1</v>
      </c>
      <c r="AZ3" s="107" t="n">
        <v>3131.52</v>
      </c>
      <c r="BA3" s="108" t="n">
        <v>0.252427184466019</v>
      </c>
      <c r="BB3" s="108" t="n">
        <v>0.961538461538462</v>
      </c>
      <c r="BC3" s="108" t="n">
        <v>0.242718446601942</v>
      </c>
      <c r="BD3" s="108" t="n">
        <v>0.64</v>
      </c>
      <c r="BE3" s="108" t="n">
        <v>0.630769230769231</v>
      </c>
      <c r="BF3" s="108" t="n">
        <v>0.0625</v>
      </c>
      <c r="BG3" s="108" t="n">
        <v>0.009708737864077671</v>
      </c>
      <c r="BH3" s="108" t="n">
        <v>0.0242718446601942</v>
      </c>
      <c r="BI3" s="57" t="n">
        <v>65</v>
      </c>
      <c r="BJ3" s="57" t="n">
        <v>41</v>
      </c>
      <c r="BK3" s="57" t="n">
        <v>42</v>
      </c>
      <c r="BL3" s="107" t="n">
        <v>22369.7932021854</v>
      </c>
      <c r="BM3" s="107" t="n">
        <v>8705.607010166739</v>
      </c>
      <c r="BN3" s="107" t="n">
        <v>1463.1578382205</v>
      </c>
      <c r="BO3" s="107" t="n">
        <v>2288.56565080081</v>
      </c>
      <c r="BP3" s="107" t="n">
        <v>3425.19636782758</v>
      </c>
      <c r="BQ3" s="107" t="n">
        <v>103324.4</v>
      </c>
      <c r="BR3" s="107" t="n">
        <v>180366</v>
      </c>
      <c r="BS3" s="108" t="n">
        <v>1</v>
      </c>
      <c r="BT3" s="107" t="n">
        <v>56016.5155717626</v>
      </c>
      <c r="BU3" s="107" t="n">
        <v>40726.8469705149</v>
      </c>
      <c r="BV3" s="107" t="n">
        <v>46251.5910014978</v>
      </c>
      <c r="BW3" s="107" t="n">
        <v>47425.3233333333</v>
      </c>
      <c r="BX3" s="107" t="n">
        <v>47425.3233333333</v>
      </c>
      <c r="BY3" s="107" t="n">
        <v>134403.761305346</v>
      </c>
      <c r="BZ3" s="109" t="n">
        <v>0.768761223618302</v>
      </c>
      <c r="CA3" s="109" t="n"/>
      <c r="CB3" s="107" t="n">
        <v>149693.429906594</v>
      </c>
      <c r="CC3" s="109" t="n">
        <v>1.20490258064462</v>
      </c>
      <c r="CD3" s="107" t="n">
        <v>134866.838905096</v>
      </c>
      <c r="CE3" s="109" t="n">
        <v>1.33736359111168</v>
      </c>
    </row>
    <row r="4" ht="16.5" customFormat="1" customHeight="1" s="39">
      <c r="A4" s="63" t="n">
        <v>45690</v>
      </c>
      <c r="B4" s="57" t="inlineStr">
        <is>
          <t>总计</t>
        </is>
      </c>
      <c r="C4" s="57" t="inlineStr">
        <is>
          <t>总计</t>
        </is>
      </c>
      <c r="D4" s="57" t="inlineStr">
        <is>
          <t>总计</t>
        </is>
      </c>
      <c r="E4" s="57" t="inlineStr">
        <is>
          <t>-</t>
        </is>
      </c>
      <c r="F4" s="57" t="inlineStr">
        <is>
          <t>-</t>
        </is>
      </c>
      <c r="G4" s="57" t="inlineStr">
        <is>
          <t>-</t>
        </is>
      </c>
      <c r="H4" s="57" t="n"/>
      <c r="I4" s="107" t="n">
        <v>89990.38610333329</v>
      </c>
      <c r="J4" s="107" t="n">
        <v>192.287149793447</v>
      </c>
      <c r="K4" s="57" t="n">
        <v>468</v>
      </c>
      <c r="L4" s="57" t="n">
        <v>352</v>
      </c>
      <c r="M4" s="57" t="n">
        <v>362</v>
      </c>
      <c r="N4" s="57" t="n">
        <v>270</v>
      </c>
      <c r="O4" s="57" t="n">
        <v>178</v>
      </c>
      <c r="P4" s="57" t="n">
        <v>202</v>
      </c>
      <c r="Q4" s="57" t="n">
        <v>42</v>
      </c>
      <c r="R4" s="57" t="n">
        <v>49</v>
      </c>
      <c r="S4" s="107" t="n">
        <v>198757.6</v>
      </c>
      <c r="T4" s="107" t="n">
        <v>241634.8</v>
      </c>
      <c r="U4" s="108" t="n">
        <v>1</v>
      </c>
      <c r="V4" s="107" t="n">
        <v>4931.32244897959</v>
      </c>
      <c r="W4" s="108" t="n">
        <v>0.752136752136752</v>
      </c>
      <c r="X4" s="108" t="n">
        <v>0.767045454545455</v>
      </c>
      <c r="Y4" s="108" t="n">
        <v>0.576923076923077</v>
      </c>
      <c r="Z4" s="108" t="n">
        <v>0.659259259259259</v>
      </c>
      <c r="AA4" s="108" t="n">
        <v>0.94392523364486</v>
      </c>
      <c r="AB4" s="108" t="n">
        <v>0.235955056179775</v>
      </c>
      <c r="AC4" s="108" t="n">
        <v>0.0897435897435897</v>
      </c>
      <c r="AD4" s="108" t="n">
        <v>0.104700854700855</v>
      </c>
      <c r="AE4" s="107" t="n">
        <v>207090.267779487</v>
      </c>
      <c r="AF4" s="109" t="n">
        <v>1.16680905670225</v>
      </c>
      <c r="AG4" s="57" t="n">
        <v>214</v>
      </c>
      <c r="AH4" s="57" t="n">
        <v>202</v>
      </c>
      <c r="AI4" s="57" t="n">
        <v>215</v>
      </c>
      <c r="AJ4" s="107" t="n">
        <v>26298.2559570394</v>
      </c>
      <c r="AK4" s="107" t="n">
        <v>46825.7819149172</v>
      </c>
      <c r="AL4" s="107" t="n">
        <v>22427.1127917532</v>
      </c>
      <c r="AM4" s="107" t="n">
        <v>3232.99168595249</v>
      </c>
      <c r="AN4" s="107" t="n">
        <v>18315.7393264911</v>
      </c>
      <c r="AO4" s="57" t="n">
        <v>446</v>
      </c>
      <c r="AP4" s="57" t="n">
        <v>138</v>
      </c>
      <c r="AQ4" s="57" t="n">
        <v>149</v>
      </c>
      <c r="AR4" s="57" t="n">
        <v>138</v>
      </c>
      <c r="AS4" s="57" t="n">
        <v>76</v>
      </c>
      <c r="AT4" s="57" t="n">
        <v>88</v>
      </c>
      <c r="AU4" s="57" t="n">
        <v>9</v>
      </c>
      <c r="AV4" s="57" t="n">
        <v>11</v>
      </c>
      <c r="AW4" s="107" t="n">
        <v>31959.6</v>
      </c>
      <c r="AX4" s="107" t="n">
        <v>40166.8</v>
      </c>
      <c r="AY4" s="108" t="n">
        <v>0.911746279633547</v>
      </c>
      <c r="AZ4" s="107" t="n">
        <v>3651.52727272727</v>
      </c>
      <c r="BA4" s="108" t="n">
        <v>0.309417040358744</v>
      </c>
      <c r="BB4" s="108" t="n">
        <v>1</v>
      </c>
      <c r="BC4" s="108" t="n">
        <v>0.309417040358744</v>
      </c>
      <c r="BD4" s="108" t="n">
        <v>0.550724637681159</v>
      </c>
      <c r="BE4" s="108" t="n">
        <v>0.633093525179856</v>
      </c>
      <c r="BF4" s="108" t="n">
        <v>0.118421052631579</v>
      </c>
      <c r="BG4" s="108" t="n">
        <v>0.0201793721973094</v>
      </c>
      <c r="BH4" s="108" t="n">
        <v>0.0246636771300448</v>
      </c>
      <c r="BI4" s="57" t="n">
        <v>139</v>
      </c>
      <c r="BJ4" s="57" t="n">
        <v>88</v>
      </c>
      <c r="BK4" s="57" t="n">
        <v>91</v>
      </c>
      <c r="BL4" s="107" t="n">
        <v>24173.3786255162</v>
      </c>
      <c r="BM4" s="107" t="n">
        <v>13382.9669005822</v>
      </c>
      <c r="BN4" s="107" t="n">
        <v>3869.24523121965</v>
      </c>
      <c r="BO4" s="107" t="n">
        <v>3259.12861267212</v>
      </c>
      <c r="BP4" s="107" t="n">
        <v>6721.59258321282</v>
      </c>
      <c r="BQ4" s="107" t="n">
        <v>230717.2</v>
      </c>
      <c r="BR4" s="107" t="n">
        <v>281801.6</v>
      </c>
      <c r="BS4" s="108" t="n">
        <v>0.986390824167208</v>
      </c>
      <c r="BT4" s="107" t="n">
        <v>118034.559046801</v>
      </c>
      <c r="BU4" s="107" t="n">
        <v>107891.534110172</v>
      </c>
      <c r="BV4" s="107" t="n">
        <v>50471.6345825555</v>
      </c>
      <c r="BW4" s="107" t="n">
        <v>89990.38610333329</v>
      </c>
      <c r="BX4" s="107" t="n">
        <v>89990.38610333329</v>
      </c>
      <c r="BY4" s="107" t="n">
        <v>247128.85980832</v>
      </c>
      <c r="BZ4" s="109" t="n">
        <v>0.928986904131317</v>
      </c>
      <c r="CA4" s="109" t="n"/>
      <c r="CB4" s="107" t="n">
        <v>257271.884744949</v>
      </c>
      <c r="CC4" s="109" t="n">
        <v>1.09534549521169</v>
      </c>
      <c r="CD4" s="107" t="n">
        <v>275350.250162393</v>
      </c>
      <c r="CE4" s="109" t="n">
        <v>1.02342961313383</v>
      </c>
    </row>
    <row r="5" ht="16.5" customFormat="1" customHeight="1" s="39">
      <c r="A5" s="63" t="n">
        <v>45718</v>
      </c>
      <c r="B5" s="57" t="inlineStr">
        <is>
          <t>总计</t>
        </is>
      </c>
      <c r="C5" s="57" t="inlineStr">
        <is>
          <t>总计</t>
        </is>
      </c>
      <c r="D5" s="57" t="inlineStr">
        <is>
          <t>总计</t>
        </is>
      </c>
      <c r="E5" s="57" t="inlineStr">
        <is>
          <t>-</t>
        </is>
      </c>
      <c r="F5" s="57" t="inlineStr">
        <is>
          <t>-</t>
        </is>
      </c>
      <c r="G5" s="57" t="inlineStr">
        <is>
          <t>-</t>
        </is>
      </c>
      <c r="H5" s="57" t="n"/>
      <c r="I5" s="107" t="n">
        <v>340451.942907333</v>
      </c>
      <c r="J5" s="107" t="n">
        <v>413.169833625404</v>
      </c>
      <c r="K5" s="57" t="n">
        <v>824</v>
      </c>
      <c r="L5" s="57" t="n">
        <v>426</v>
      </c>
      <c r="M5" s="57" t="n">
        <v>431</v>
      </c>
      <c r="N5" s="57" t="n">
        <v>440</v>
      </c>
      <c r="O5" s="57" t="n">
        <v>343</v>
      </c>
      <c r="P5" s="57" t="n">
        <v>395</v>
      </c>
      <c r="Q5" s="57" t="n">
        <v>128</v>
      </c>
      <c r="R5" s="57" t="n">
        <v>142</v>
      </c>
      <c r="S5" s="107" t="n">
        <v>617660</v>
      </c>
      <c r="T5" s="107" t="n">
        <v>682519.2</v>
      </c>
      <c r="U5" s="108" t="n">
        <v>1</v>
      </c>
      <c r="V5" s="107" t="n">
        <v>4806.47323943662</v>
      </c>
      <c r="W5" s="108" t="n">
        <v>0.516990291262136</v>
      </c>
      <c r="X5" s="108" t="n">
        <v>1.03286384976526</v>
      </c>
      <c r="Y5" s="108" t="n">
        <v>0.5339805825242721</v>
      </c>
      <c r="Z5" s="108" t="n">
        <v>0.779545454545455</v>
      </c>
      <c r="AA5" s="108" t="n">
        <v>0.9495192307692309</v>
      </c>
      <c r="AB5" s="108" t="n">
        <v>0.373177842565598</v>
      </c>
      <c r="AC5" s="108" t="n">
        <v>0.155339805825243</v>
      </c>
      <c r="AD5" s="108" t="n">
        <v>0.172330097087379</v>
      </c>
      <c r="AE5" s="107" t="n">
        <v>559377.458141302</v>
      </c>
      <c r="AF5" s="109" t="n">
        <v>1.22014069402774</v>
      </c>
      <c r="AG5" s="57" t="n">
        <v>416</v>
      </c>
      <c r="AH5" s="57" t="n">
        <v>395</v>
      </c>
      <c r="AI5" s="57" t="n">
        <v>417</v>
      </c>
      <c r="AJ5" s="107" t="n">
        <v>71584.4402085772</v>
      </c>
      <c r="AK5" s="107" t="n">
        <v>42608.3526403554</v>
      </c>
      <c r="AL5" s="107" t="n">
        <v>65338.6069185208</v>
      </c>
      <c r="AM5" s="107" t="n">
        <v>5545.23994869085</v>
      </c>
      <c r="AN5" s="107" t="n">
        <v>33848.875517825</v>
      </c>
      <c r="AO5" s="57" t="n">
        <v>64</v>
      </c>
      <c r="AP5" s="57" t="n">
        <v>38</v>
      </c>
      <c r="AQ5" s="57" t="n">
        <v>59</v>
      </c>
      <c r="AR5" s="57" t="n">
        <v>37</v>
      </c>
      <c r="AS5" s="57" t="n">
        <v>28</v>
      </c>
      <c r="AT5" s="57" t="n">
        <v>59</v>
      </c>
      <c r="AU5" s="57" t="n">
        <v>3</v>
      </c>
      <c r="AV5" s="57" t="n">
        <v>11</v>
      </c>
      <c r="AW5" s="107" t="n">
        <v>10964.4</v>
      </c>
      <c r="AX5" s="107" t="n">
        <v>31847.6</v>
      </c>
      <c r="AY5" s="108" t="n">
        <v>1</v>
      </c>
      <c r="AZ5" s="107" t="n">
        <v>2895.23636363636</v>
      </c>
      <c r="BA5" s="108" t="n">
        <v>0.59375</v>
      </c>
      <c r="BB5" s="108" t="n">
        <v>0.973684210526316</v>
      </c>
      <c r="BC5" s="108" t="n">
        <v>0.578125</v>
      </c>
      <c r="BD5" s="108" t="n">
        <v>0.756756756756757</v>
      </c>
      <c r="BE5" s="108" t="n">
        <v>0.746835443037975</v>
      </c>
      <c r="BF5" s="108" t="n">
        <v>0.107142857142857</v>
      </c>
      <c r="BG5" s="108" t="n">
        <v>0.046875</v>
      </c>
      <c r="BH5" s="108" t="n">
        <v>0.171875</v>
      </c>
      <c r="BI5" s="57" t="n">
        <v>79</v>
      </c>
      <c r="BJ5" s="57" t="n">
        <v>59</v>
      </c>
      <c r="BK5" s="57" t="n">
        <v>60</v>
      </c>
      <c r="BL5" s="107" t="n">
        <v>4688.99953844969</v>
      </c>
      <c r="BM5" s="107" t="n">
        <v>4956.47678962323</v>
      </c>
      <c r="BN5" s="107" t="n">
        <v>3130.11519076071</v>
      </c>
      <c r="BO5" s="107" t="n">
        <v>430.698248442008</v>
      </c>
      <c r="BP5" s="107" t="n">
        <v>4893.13766832511</v>
      </c>
      <c r="BQ5" s="107" t="n">
        <v>628624.4</v>
      </c>
      <c r="BR5" s="107" t="n">
        <v>714366.8</v>
      </c>
      <c r="BS5" s="108" t="n">
        <v>1</v>
      </c>
      <c r="BT5" s="107" t="n">
        <v>160928.066831751</v>
      </c>
      <c r="BU5" s="107" t="n">
        <v>143415.441014191</v>
      </c>
      <c r="BV5" s="107" t="n">
        <v>76436.93774111971</v>
      </c>
      <c r="BW5" s="107" t="n">
        <v>340451.942907333</v>
      </c>
      <c r="BX5" s="107" t="n">
        <v>340451.942907333</v>
      </c>
      <c r="BY5" s="107" t="n">
        <v>560304.321662643</v>
      </c>
      <c r="BZ5" s="109" t="n">
        <v>1.12193387717343</v>
      </c>
      <c r="CA5" s="109" t="n"/>
      <c r="CB5" s="107" t="n">
        <v>577816.947480204</v>
      </c>
      <c r="CC5" s="109" t="n">
        <v>1.23632026217866</v>
      </c>
      <c r="CD5" s="107" t="n">
        <v>568130.0097390841</v>
      </c>
      <c r="CE5" s="109" t="n">
        <v>1.25740022134736</v>
      </c>
    </row>
    <row r="7" ht="30" customFormat="1" customHeight="1" s="40">
      <c r="A7" s="40" t="inlineStr">
        <is>
          <t>海外港澳商务-汇总</t>
        </is>
      </c>
      <c r="B7" s="57" t="n"/>
      <c r="C7" s="57" t="n"/>
      <c r="D7" s="57" t="n"/>
      <c r="E7" s="57" t="n"/>
      <c r="F7" s="57" t="n"/>
      <c r="G7" s="57" t="n"/>
      <c r="H7" s="57" t="n"/>
      <c r="I7" s="107">
        <f>SUM(I3:I5)</f>
        <v/>
      </c>
      <c r="J7" s="107">
        <f>I7/K7</f>
        <v/>
      </c>
      <c r="K7" s="57">
        <f>SUM(K3:K5)</f>
        <v/>
      </c>
      <c r="L7" s="57">
        <f>SUM(L3:L5)</f>
        <v/>
      </c>
      <c r="M7" s="57">
        <f>SUM(M3:M5)</f>
        <v/>
      </c>
      <c r="N7" s="57">
        <f>SUM(N3:N5)</f>
        <v/>
      </c>
      <c r="O7" s="57">
        <f>SUM(O3:O5)</f>
        <v/>
      </c>
      <c r="P7" s="57">
        <f>SUM(P3:P5)</f>
        <v/>
      </c>
      <c r="Q7" s="57">
        <f>SUM(Q3:Q5)</f>
        <v/>
      </c>
      <c r="R7" s="57">
        <f>SUM(R3:R5)</f>
        <v/>
      </c>
      <c r="S7" s="107">
        <f>SUM(S3:S5)</f>
        <v/>
      </c>
      <c r="T7" s="107">
        <f>SUM(T3:T5)</f>
        <v/>
      </c>
      <c r="U7" s="57" t="n"/>
      <c r="V7" s="107">
        <f>T7/R7</f>
        <v/>
      </c>
      <c r="W7" s="61">
        <f>L7/K7</f>
        <v/>
      </c>
      <c r="X7" s="61">
        <f>N7/L7</f>
        <v/>
      </c>
      <c r="Y7" s="61">
        <f>N7/K7</f>
        <v/>
      </c>
      <c r="Z7" s="61">
        <f>O7/N7</f>
        <v/>
      </c>
      <c r="AA7" s="61">
        <f>AVERAGE(AA3:AA5)</f>
        <v/>
      </c>
      <c r="AB7" s="61">
        <f>Q7/O7</f>
        <v/>
      </c>
      <c r="AC7" s="61">
        <f>Q7/K7</f>
        <v/>
      </c>
      <c r="AD7" s="61">
        <f>R7/K7</f>
        <v/>
      </c>
      <c r="AE7" s="107">
        <f>SUM(AE3:AE5)</f>
        <v/>
      </c>
      <c r="AF7" s="109">
        <f>T7/AE7</f>
        <v/>
      </c>
      <c r="AG7" s="57">
        <f>SUM(AG3:AG5)</f>
        <v/>
      </c>
      <c r="AH7" s="57">
        <f>SUM(AH3:AH5)</f>
        <v/>
      </c>
      <c r="AI7" s="57">
        <f>SUM(AI3:AI5)</f>
        <v/>
      </c>
      <c r="AJ7" s="107">
        <f>SUM(AJ3:AJ5)</f>
        <v/>
      </c>
      <c r="AK7" s="107">
        <f>SUM(AK3:AK5)</f>
        <v/>
      </c>
      <c r="AL7" s="107">
        <f>SUM(AL3:AL5)</f>
        <v/>
      </c>
      <c r="AM7" s="107">
        <f>SUM(AM3:AM5)</f>
        <v/>
      </c>
      <c r="AN7" s="107" t="n"/>
      <c r="AO7" s="57">
        <f>SUM(AO3:AO5)</f>
        <v/>
      </c>
      <c r="AP7" s="57">
        <f>SUM(AP3:AP5)</f>
        <v/>
      </c>
      <c r="AQ7" s="57" t="n"/>
      <c r="AR7" s="57">
        <f>SUM(AR3:AR5)</f>
        <v/>
      </c>
      <c r="AS7" s="57">
        <f>SUM(AS3:AS5)</f>
        <v/>
      </c>
      <c r="AT7" s="57">
        <f>SUM(AT3:AT5)</f>
        <v/>
      </c>
      <c r="AU7" s="57">
        <f>SUM(AU3:AU5)</f>
        <v/>
      </c>
      <c r="AV7" s="57">
        <f>SUM(AV3:AV5)</f>
        <v/>
      </c>
      <c r="AW7" s="107">
        <f>SUM(AW3:AW5)</f>
        <v/>
      </c>
      <c r="AX7" s="107">
        <f>SUM(AX3:AX5)</f>
        <v/>
      </c>
      <c r="AY7" s="107" t="n"/>
      <c r="AZ7" s="107">
        <f>AX7/AV7</f>
        <v/>
      </c>
      <c r="BA7" s="62">
        <f>AP7/AO7</f>
        <v/>
      </c>
      <c r="BB7" s="62">
        <f>AR7/AP7</f>
        <v/>
      </c>
      <c r="BC7" s="62">
        <f>AR7/AO7</f>
        <v/>
      </c>
      <c r="BD7" s="62">
        <f>AS7/AR7</f>
        <v/>
      </c>
      <c r="BE7" s="62">
        <f>AVERAGE(BE3:BE5)</f>
        <v/>
      </c>
      <c r="BF7" s="62">
        <f>AU7/AS7</f>
        <v/>
      </c>
      <c r="BG7" s="62">
        <f>AU7/AO7</f>
        <v/>
      </c>
      <c r="BH7" s="62">
        <f>AV7/AO7</f>
        <v/>
      </c>
      <c r="BI7" s="57">
        <f>SUM(BI3:BI5)</f>
        <v/>
      </c>
      <c r="BJ7" s="57">
        <f>SUM(BJ3:BJ5)</f>
        <v/>
      </c>
      <c r="BK7" s="57">
        <f>SUM(BK3:BK5)</f>
        <v/>
      </c>
      <c r="BL7" s="107">
        <f>SUM(BL3:BL5)</f>
        <v/>
      </c>
      <c r="BM7" s="107">
        <f>SUM(BM3:BM5)</f>
        <v/>
      </c>
      <c r="BN7" s="107">
        <f>SUM(BN3:BN5)</f>
        <v/>
      </c>
      <c r="BO7" s="57">
        <f>SUM(BO3:BO5)</f>
        <v/>
      </c>
      <c r="BP7" s="57">
        <f>SUM(BP3:BP5)</f>
        <v/>
      </c>
      <c r="BQ7" s="107">
        <f>SUM(BQ3:BQ5)</f>
        <v/>
      </c>
      <c r="BR7" s="107">
        <f>SUM(BR3:BR5)</f>
        <v/>
      </c>
      <c r="BS7" s="107" t="n"/>
      <c r="BT7" s="107">
        <f>SUM(BT3:BT5)</f>
        <v/>
      </c>
      <c r="BU7" s="107">
        <f>SUM(BU3:BU5)</f>
        <v/>
      </c>
      <c r="BV7" s="107">
        <f>SUM(BV3:BV5)</f>
        <v/>
      </c>
      <c r="BW7" s="107">
        <f>SUM(BW3:BW5)</f>
        <v/>
      </c>
      <c r="BX7" s="107">
        <f>SUM(BX3:BX5)</f>
        <v/>
      </c>
      <c r="BY7" s="107">
        <f>SUM(BY3:BY5)</f>
        <v/>
      </c>
      <c r="BZ7" s="109">
        <f>BQ7/BY7</f>
        <v/>
      </c>
      <c r="CA7" s="109" t="n"/>
      <c r="CB7" s="107">
        <f>SUM(CB3:CB5)</f>
        <v/>
      </c>
      <c r="CC7" s="109">
        <f>BR7/CB7</f>
        <v/>
      </c>
      <c r="CD7" s="107">
        <f>SUM(CD3:CD5)</f>
        <v/>
      </c>
      <c r="CE7" s="109">
        <f>BR7/CD7</f>
        <v/>
      </c>
    </row>
    <row r="12" ht="28" customFormat="1" customHeight="1" s="41">
      <c r="B12" s="42" t="n"/>
      <c r="C12" s="43" t="n"/>
      <c r="D12" s="43" t="n"/>
      <c r="E12" s="43" t="n"/>
      <c r="F12" s="43" t="n"/>
      <c r="G12" s="44" t="n"/>
      <c r="H12" s="43" t="n"/>
      <c r="I12" s="103" t="inlineStr">
        <is>
          <t>主投</t>
        </is>
      </c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5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49" t="inlineStr">
        <is>
          <t>辅投</t>
        </is>
      </c>
      <c r="AP12" s="104" t="n"/>
      <c r="AQ12" s="104" t="n"/>
      <c r="AR12" s="104" t="n"/>
      <c r="AS12" s="104" t="n"/>
      <c r="AT12" s="104" t="n"/>
      <c r="AU12" s="104" t="n"/>
      <c r="AV12" s="104" t="n"/>
      <c r="AW12" s="104" t="n"/>
      <c r="AX12" s="104" t="n"/>
      <c r="AY12" s="104" t="n"/>
      <c r="AZ12" s="104" t="n"/>
      <c r="BA12" s="104" t="n"/>
      <c r="BB12" s="104" t="n"/>
      <c r="BC12" s="104" t="n"/>
      <c r="BD12" s="104" t="n"/>
      <c r="BE12" s="104" t="n"/>
      <c r="BF12" s="104" t="n"/>
      <c r="BG12" s="104" t="n"/>
      <c r="BH12" s="104" t="n"/>
      <c r="BI12" s="74" t="n"/>
      <c r="BJ12" s="74" t="n"/>
      <c r="BK12" s="74" t="n"/>
      <c r="BL12" s="74" t="n"/>
      <c r="BM12" s="74" t="n"/>
      <c r="BN12" s="74" t="n"/>
      <c r="BO12" s="74" t="n"/>
      <c r="BP12" s="75" t="n"/>
      <c r="BQ12" s="106" t="inlineStr">
        <is>
          <t>汇总</t>
        </is>
      </c>
      <c r="BR12" s="104" t="n"/>
      <c r="BS12" s="104" t="n"/>
      <c r="BT12" s="104" t="n"/>
      <c r="BU12" s="104" t="n"/>
      <c r="BV12" s="104" t="n"/>
      <c r="BW12" s="104" t="n"/>
      <c r="BX12" s="104" t="n"/>
      <c r="BY12" s="104" t="n"/>
      <c r="BZ12" s="104" t="n"/>
      <c r="CA12" s="104" t="n"/>
      <c r="CB12" s="104" t="n"/>
      <c r="CC12" s="104" t="n"/>
      <c r="CD12" s="104" t="n"/>
      <c r="CE12" s="105" t="n"/>
    </row>
    <row r="13" ht="54.75" customFormat="1" customHeight="1" s="89">
      <c r="B13" s="91" t="inlineStr">
        <is>
          <t>渠道组</t>
        </is>
      </c>
      <c r="C13" s="91" t="inlineStr">
        <is>
          <t>供应商</t>
        </is>
      </c>
      <c r="D13" s="91" t="inlineStr">
        <is>
          <t>渠道名称</t>
        </is>
      </c>
      <c r="E13" s="91" t="inlineStr">
        <is>
          <t>主投</t>
        </is>
      </c>
      <c r="F13" s="91" t="inlineStr">
        <is>
          <t>辅投</t>
        </is>
      </c>
      <c r="G13" s="91" t="inlineStr">
        <is>
          <t>结算方式</t>
        </is>
      </c>
      <c r="H13" s="91" t="n"/>
      <c r="I13" s="91" t="inlineStr">
        <is>
          <t>滚动消耗</t>
        </is>
      </c>
      <c r="J13" s="91" t="inlineStr">
        <is>
          <t>单例子成本</t>
        </is>
      </c>
      <c r="K13" s="91" t="inlineStr">
        <is>
          <t>例子数</t>
        </is>
      </c>
      <c r="L13" s="91" t="inlineStr">
        <is>
          <t>分发数</t>
        </is>
      </c>
      <c r="M13" s="91" t="inlineStr">
        <is>
          <t>剔除毛例子
分发数</t>
        </is>
      </c>
      <c r="N13" s="91" t="inlineStr">
        <is>
          <t>约课数</t>
        </is>
      </c>
      <c r="O13" s="91" t="inlineStr">
        <is>
          <t>到课数</t>
        </is>
      </c>
      <c r="P13" s="91" t="inlineStr">
        <is>
          <t>滚动到课数</t>
        </is>
      </c>
      <c r="Q13" s="91" t="inlineStr">
        <is>
          <t>当月成交数</t>
        </is>
      </c>
      <c r="R13" s="91" t="inlineStr">
        <is>
          <t>滚动成交数</t>
        </is>
      </c>
      <c r="S13" s="91" t="inlineStr">
        <is>
          <t>当月GMV</t>
        </is>
      </c>
      <c r="T13" s="91" t="inlineStr">
        <is>
          <t>滚动GMV</t>
        </is>
      </c>
      <c r="U13" s="91" t="inlineStr">
        <is>
          <t>海外GMV占比</t>
        </is>
      </c>
      <c r="V13" s="91" t="inlineStr">
        <is>
          <t>滚动ASP</t>
        </is>
      </c>
      <c r="W13" s="91" t="inlineStr">
        <is>
          <t>例子分发率</t>
        </is>
      </c>
      <c r="X13" s="91" t="inlineStr">
        <is>
          <t>分发约课率</t>
        </is>
      </c>
      <c r="Y13" s="91" t="inlineStr">
        <is>
          <t>例子约课率</t>
        </is>
      </c>
      <c r="Z13" s="91" t="inlineStr">
        <is>
          <t>约课到课率</t>
        </is>
      </c>
      <c r="AA13" s="91" t="inlineStr">
        <is>
          <t>滚动应到课率</t>
        </is>
      </c>
      <c r="AB13" s="91" t="inlineStr">
        <is>
          <t>到课转化率</t>
        </is>
      </c>
      <c r="AC13" s="91" t="inlineStr">
        <is>
          <t>注册转化率</t>
        </is>
      </c>
      <c r="AD13" s="91" t="inlineStr">
        <is>
          <t>滚动转化率</t>
        </is>
      </c>
      <c r="AE13" s="91" t="inlineStr">
        <is>
          <t>滚动ROI2总成本</t>
        </is>
      </c>
      <c r="AF13" s="91" t="inlineStr">
        <is>
          <t>滚动ROI2</t>
        </is>
      </c>
      <c r="AG13" s="91" t="inlineStr">
        <is>
          <t>滚动应到课人数</t>
        </is>
      </c>
      <c r="AH13" s="91" t="inlineStr">
        <is>
          <t>滚动到课人数</t>
        </is>
      </c>
      <c r="AI13" s="91" t="inlineStr">
        <is>
          <t>滚动到课人次</t>
        </is>
      </c>
      <c r="AJ13" s="91" t="inlineStr">
        <is>
          <t>运营成本</t>
        </is>
      </c>
      <c r="AK13" s="91" t="inlineStr">
        <is>
          <t>销售固定成本</t>
        </is>
      </c>
      <c r="AL13" s="91" t="inlineStr">
        <is>
          <t>销售变动成本</t>
        </is>
      </c>
      <c r="AM13" s="91" t="inlineStr">
        <is>
          <t>TMK费用</t>
        </is>
      </c>
      <c r="AN13" s="91" t="inlineStr">
        <is>
          <t>DEMO费用</t>
        </is>
      </c>
      <c r="AO13" s="91" t="inlineStr">
        <is>
          <t>例子数</t>
        </is>
      </c>
      <c r="AP13" s="91" t="inlineStr">
        <is>
          <t>分发数</t>
        </is>
      </c>
      <c r="AQ13" s="91" t="inlineStr">
        <is>
          <t>剔除毛例子分发数</t>
        </is>
      </c>
      <c r="AR13" s="91" t="inlineStr">
        <is>
          <t>约课数</t>
        </is>
      </c>
      <c r="AS13" s="91" t="inlineStr">
        <is>
          <t>到课数</t>
        </is>
      </c>
      <c r="AT13" s="91" t="inlineStr">
        <is>
          <t>滚动到课数</t>
        </is>
      </c>
      <c r="AU13" s="91" t="inlineStr">
        <is>
          <t>当月成交</t>
        </is>
      </c>
      <c r="AV13" s="91" t="inlineStr">
        <is>
          <t>滚动成交数</t>
        </is>
      </c>
      <c r="AW13" s="91" t="inlineStr">
        <is>
          <t>当月GMV</t>
        </is>
      </c>
      <c r="AX13" s="91" t="inlineStr">
        <is>
          <t>滚动GMV</t>
        </is>
      </c>
      <c r="AY13" s="91" t="inlineStr">
        <is>
          <t>海外GMV占比</t>
        </is>
      </c>
      <c r="AZ13" s="91" t="inlineStr">
        <is>
          <t>滚动ASP</t>
        </is>
      </c>
      <c r="BA13" s="91" t="inlineStr">
        <is>
          <t>例子分发率</t>
        </is>
      </c>
      <c r="BB13" s="91" t="inlineStr">
        <is>
          <t>分发约课率</t>
        </is>
      </c>
      <c r="BC13" s="91" t="inlineStr">
        <is>
          <t>例子约课率</t>
        </is>
      </c>
      <c r="BD13" s="91" t="inlineStr">
        <is>
          <t>约课到课率</t>
        </is>
      </c>
      <c r="BE13" s="91" t="inlineStr">
        <is>
          <t>滚动应到课率</t>
        </is>
      </c>
      <c r="BF13" s="91" t="inlineStr">
        <is>
          <t>到课转化率</t>
        </is>
      </c>
      <c r="BG13" s="91" t="inlineStr">
        <is>
          <t>注册转化率</t>
        </is>
      </c>
      <c r="BH13" s="91" t="inlineStr">
        <is>
          <t>滚动转化率</t>
        </is>
      </c>
      <c r="BI13" s="91" t="inlineStr">
        <is>
          <t>滚动应到课人数</t>
        </is>
      </c>
      <c r="BJ13" s="91" t="inlineStr">
        <is>
          <t>滚动到课人数</t>
        </is>
      </c>
      <c r="BK13" s="91" t="inlineStr">
        <is>
          <t>滚动到课人次</t>
        </is>
      </c>
      <c r="BL13" s="91" t="inlineStr">
        <is>
          <t>运营成本</t>
        </is>
      </c>
      <c r="BM13" s="91" t="inlineStr">
        <is>
          <t>销售固定成本</t>
        </is>
      </c>
      <c r="BN13" s="91" t="inlineStr">
        <is>
          <t>销售变动成本</t>
        </is>
      </c>
      <c r="BO13" s="91" t="inlineStr">
        <is>
          <t>TMK费用</t>
        </is>
      </c>
      <c r="BP13" s="91" t="inlineStr">
        <is>
          <t>DEMO费用</t>
        </is>
      </c>
      <c r="BQ13" s="91" t="inlineStr">
        <is>
          <t>当月GMV</t>
        </is>
      </c>
      <c r="BR13" s="91" t="inlineStr">
        <is>
          <t>滚动GMV</t>
        </is>
      </c>
      <c r="BS13" s="91" t="inlineStr">
        <is>
          <t>海外GMV占比</t>
        </is>
      </c>
      <c r="BT13" s="91" t="inlineStr">
        <is>
          <t>滚动其他成本</t>
        </is>
      </c>
      <c r="BU13" s="91" t="inlineStr">
        <is>
          <t>同源其他成本</t>
        </is>
      </c>
      <c r="BV13" s="91" t="inlineStr">
        <is>
          <t>运营成本</t>
        </is>
      </c>
      <c r="BW13" s="91" t="inlineStr">
        <is>
          <t>滚动消耗</t>
        </is>
      </c>
      <c r="BX13" s="91" t="inlineStr">
        <is>
          <t>同源消耗</t>
        </is>
      </c>
      <c r="BY13" s="91" t="inlineStr">
        <is>
          <t>当月ROI2总成本</t>
        </is>
      </c>
      <c r="BZ13" s="91" t="inlineStr">
        <is>
          <t>当月ROI2</t>
        </is>
      </c>
      <c r="CA13" s="91" t="n"/>
      <c r="CB13" s="91" t="inlineStr">
        <is>
          <t>滚动ROI2总成本</t>
        </is>
      </c>
      <c r="CC13" s="91" t="inlineStr">
        <is>
          <t>滚动ROI2</t>
        </is>
      </c>
      <c r="CD13" s="91" t="inlineStr">
        <is>
          <t>O-ROI总成本</t>
        </is>
      </c>
      <c r="CE13" s="91" t="inlineStr">
        <is>
          <t>O-ROI</t>
        </is>
      </c>
      <c r="CF13" s="89" t="inlineStr">
        <is>
          <t xml:space="preserve">   </t>
        </is>
      </c>
    </row>
    <row r="14" ht="16.5" customFormat="1" customHeight="1" s="39">
      <c r="A14" s="63" t="n"/>
      <c r="B14" s="57" t="n"/>
      <c r="C14" s="57" t="n"/>
      <c r="D14" s="57" t="n"/>
      <c r="E14" s="57" t="n"/>
      <c r="F14" s="57" t="n"/>
      <c r="G14" s="57" t="n"/>
      <c r="H14" s="57" t="n"/>
      <c r="I14" s="107" t="n"/>
      <c r="J14" s="10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107" t="n"/>
      <c r="T14" s="107" t="n"/>
      <c r="U14" s="108" t="n"/>
      <c r="V14" s="107" t="n"/>
      <c r="W14" s="108" t="n"/>
      <c r="X14" s="108" t="n"/>
      <c r="Y14" s="108" t="n"/>
      <c r="Z14" s="108" t="n"/>
      <c r="AA14" s="108" t="n"/>
      <c r="AB14" s="108" t="n"/>
      <c r="AC14" s="108" t="n"/>
      <c r="AD14" s="108" t="n"/>
      <c r="AE14" s="107" t="n"/>
      <c r="AF14" s="109" t="n"/>
      <c r="AG14" s="57" t="n"/>
      <c r="AH14" s="57" t="n"/>
      <c r="AI14" s="57" t="n"/>
      <c r="AJ14" s="107" t="n"/>
      <c r="AK14" s="107" t="n"/>
      <c r="AL14" s="107" t="n"/>
      <c r="AM14" s="107" t="n"/>
      <c r="AN14" s="107" t="n"/>
      <c r="AO14" s="57" t="n"/>
      <c r="AP14" s="57" t="n"/>
      <c r="AQ14" s="57" t="n"/>
      <c r="AR14" s="57" t="n"/>
      <c r="AS14" s="57" t="n"/>
      <c r="AT14" s="57" t="n"/>
      <c r="AU14" s="57" t="n"/>
      <c r="AV14" s="57" t="n"/>
      <c r="AW14" s="107" t="n"/>
      <c r="AX14" s="107" t="n"/>
      <c r="AY14" s="108" t="n"/>
      <c r="AZ14" s="107" t="n"/>
      <c r="BA14" s="108" t="n"/>
      <c r="BB14" s="108" t="n"/>
      <c r="BC14" s="108" t="n"/>
      <c r="BD14" s="108" t="n"/>
      <c r="BE14" s="108" t="n"/>
      <c r="BF14" s="108" t="n"/>
      <c r="BG14" s="108" t="n"/>
      <c r="BH14" s="108" t="n"/>
      <c r="BI14" s="57" t="n"/>
      <c r="BJ14" s="57" t="n"/>
      <c r="BK14" s="57" t="n"/>
      <c r="BL14" s="107" t="n"/>
      <c r="BM14" s="107" t="n"/>
      <c r="BN14" s="107" t="n"/>
      <c r="BO14" s="107" t="n"/>
      <c r="BP14" s="107" t="n"/>
      <c r="BQ14" s="107" t="n"/>
      <c r="BR14" s="107" t="n"/>
      <c r="BS14" s="108" t="n"/>
      <c r="BT14" s="107" t="n"/>
      <c r="BU14" s="107" t="n"/>
      <c r="BV14" s="107" t="n"/>
      <c r="BW14" s="107" t="n"/>
      <c r="BX14" s="107" t="n"/>
      <c r="BY14" s="107" t="n"/>
      <c r="BZ14" s="109" t="n"/>
      <c r="CA14" s="109" t="n"/>
      <c r="CB14" s="107" t="n"/>
      <c r="CC14" s="109" t="n"/>
      <c r="CD14" s="107" t="n"/>
      <c r="CE14" s="109" t="n"/>
    </row>
    <row r="15" ht="16.5" customFormat="1" customHeight="1" s="39">
      <c r="A15" s="63" t="n"/>
      <c r="B15" s="57" t="n"/>
      <c r="C15" s="57" t="n"/>
      <c r="D15" s="57" t="n"/>
      <c r="E15" s="57" t="n"/>
      <c r="F15" s="57" t="n"/>
      <c r="G15" s="57" t="n"/>
      <c r="H15" s="57" t="n"/>
      <c r="I15" s="107" t="n"/>
      <c r="J15" s="10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107" t="n"/>
      <c r="T15" s="107" t="n"/>
      <c r="U15" s="108" t="n"/>
      <c r="V15" s="107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7" t="n"/>
      <c r="AF15" s="109" t="n"/>
      <c r="AG15" s="57" t="n"/>
      <c r="AH15" s="57" t="n"/>
      <c r="AI15" s="57" t="n"/>
      <c r="AJ15" s="107" t="n"/>
      <c r="AK15" s="107" t="n"/>
      <c r="AL15" s="107" t="n"/>
      <c r="AM15" s="107" t="n"/>
      <c r="AN15" s="107" t="n"/>
      <c r="AO15" s="57" t="n"/>
      <c r="AP15" s="57" t="n"/>
      <c r="AQ15" s="57" t="n"/>
      <c r="AR15" s="57" t="n"/>
      <c r="AS15" s="57" t="n"/>
      <c r="AT15" s="57" t="n"/>
      <c r="AU15" s="57" t="n"/>
      <c r="AV15" s="57" t="n"/>
      <c r="AW15" s="107" t="n"/>
      <c r="AX15" s="107" t="n"/>
      <c r="AY15" s="108" t="n"/>
      <c r="AZ15" s="107" t="n"/>
      <c r="BA15" s="108" t="n"/>
      <c r="BB15" s="108" t="n"/>
      <c r="BC15" s="108" t="n"/>
      <c r="BD15" s="108" t="n"/>
      <c r="BE15" s="108" t="n"/>
      <c r="BF15" s="108" t="n"/>
      <c r="BG15" s="108" t="n"/>
      <c r="BH15" s="108" t="n"/>
      <c r="BI15" s="57" t="n"/>
      <c r="BJ15" s="57" t="n"/>
      <c r="BK15" s="57" t="n"/>
      <c r="BL15" s="107" t="n"/>
      <c r="BM15" s="107" t="n"/>
      <c r="BN15" s="107" t="n"/>
      <c r="BO15" s="107" t="n"/>
      <c r="BP15" s="107" t="n"/>
      <c r="BQ15" s="107" t="n"/>
      <c r="BR15" s="107" t="n"/>
      <c r="BS15" s="108" t="n"/>
      <c r="BT15" s="107" t="n"/>
      <c r="BU15" s="107" t="n"/>
      <c r="BV15" s="107" t="n"/>
      <c r="BW15" s="107" t="n"/>
      <c r="BX15" s="107" t="n"/>
      <c r="BY15" s="107" t="n"/>
      <c r="BZ15" s="109" t="n"/>
      <c r="CA15" s="109" t="n"/>
      <c r="CB15" s="107" t="n"/>
      <c r="CC15" s="109" t="n"/>
      <c r="CD15" s="107" t="n"/>
      <c r="CE15" s="109" t="n"/>
    </row>
    <row r="16" ht="16.5" customFormat="1" customHeight="1" s="39">
      <c r="A16" s="63" t="inlineStr">
        <is>
          <t>孙慧雪-4月</t>
        </is>
      </c>
      <c r="B16" s="57" t="n"/>
      <c r="C16" s="57" t="n"/>
      <c r="D16" s="57" t="n"/>
      <c r="E16" s="57" t="n"/>
      <c r="F16" s="57" t="n"/>
      <c r="G16" s="57" t="n"/>
      <c r="H16" s="57" t="n"/>
      <c r="I16" s="107" t="n">
        <v>80325.4788066132</v>
      </c>
      <c r="J16" s="107" t="n">
        <v>892.50532007348</v>
      </c>
      <c r="K16" s="57" t="n">
        <v>90</v>
      </c>
      <c r="L16" s="57" t="n">
        <v>48</v>
      </c>
      <c r="M16" s="57" t="n">
        <v>50</v>
      </c>
      <c r="N16" s="57" t="n">
        <v>48</v>
      </c>
      <c r="O16" s="57" t="n">
        <v>35</v>
      </c>
      <c r="P16" s="57" t="n">
        <v>45</v>
      </c>
      <c r="Q16" s="57" t="n">
        <v>14</v>
      </c>
      <c r="R16" s="57" t="n">
        <v>20</v>
      </c>
      <c r="S16" s="107" t="n">
        <v>58432</v>
      </c>
      <c r="T16" s="107" t="n">
        <v>80360</v>
      </c>
      <c r="U16" s="108" t="n">
        <v>1</v>
      </c>
      <c r="V16" s="107" t="n">
        <v>4018</v>
      </c>
      <c r="W16" s="108" t="n">
        <v>0.533333333333333</v>
      </c>
      <c r="X16" s="108" t="n">
        <v>1</v>
      </c>
      <c r="Y16" s="108" t="n">
        <v>0.533333333333333</v>
      </c>
      <c r="Z16" s="108" t="n">
        <v>0.729166666666667</v>
      </c>
      <c r="AA16" s="108" t="n">
        <v>0.918367346938776</v>
      </c>
      <c r="AB16" s="108" t="n">
        <v>0.4</v>
      </c>
      <c r="AC16" s="108" t="n">
        <v>0.155555555555556</v>
      </c>
      <c r="AD16" s="108" t="n">
        <v>0.222222222222222</v>
      </c>
      <c r="AE16" s="107" t="n">
        <v>109746.722928769</v>
      </c>
      <c r="AF16" s="109" t="n">
        <v>0.732231431203261</v>
      </c>
      <c r="AG16" s="57" t="n">
        <v>49</v>
      </c>
      <c r="AH16" s="57" t="n">
        <v>45</v>
      </c>
      <c r="AI16" s="57" t="n">
        <v>47</v>
      </c>
      <c r="AJ16" s="107" t="n">
        <v>9968.27612071186</v>
      </c>
      <c r="AK16" s="107" t="n">
        <v>7405.95862925945</v>
      </c>
      <c r="AL16" s="107" t="n">
        <v>7204.59690726319</v>
      </c>
      <c r="AM16" s="107" t="n">
        <v>889.523240056654</v>
      </c>
      <c r="AN16" s="107" t="n">
        <v>3952.88922486436</v>
      </c>
      <c r="AO16" s="57" t="n">
        <v>0</v>
      </c>
      <c r="AP16" s="57" t="n">
        <v>0</v>
      </c>
      <c r="AQ16" s="57" t="n">
        <v>0</v>
      </c>
      <c r="AR16" s="57" t="n">
        <v>0</v>
      </c>
      <c r="AS16" s="57" t="n">
        <v>0</v>
      </c>
      <c r="AT16" s="57" t="n">
        <v>0</v>
      </c>
      <c r="AU16" s="57" t="n">
        <v>0</v>
      </c>
      <c r="AV16" s="57" t="n">
        <v>0</v>
      </c>
      <c r="AW16" s="107" t="n">
        <v>0</v>
      </c>
      <c r="AX16" s="107" t="n">
        <v>0</v>
      </c>
      <c r="AY16" s="108" t="n"/>
      <c r="AZ16" s="107" t="n"/>
      <c r="BA16" s="108" t="n"/>
      <c r="BB16" s="108" t="n"/>
      <c r="BC16" s="108" t="n"/>
      <c r="BD16" s="108" t="n"/>
      <c r="BE16" s="108" t="n"/>
      <c r="BF16" s="108" t="n"/>
      <c r="BG16" s="108" t="n"/>
      <c r="BH16" s="108" t="n"/>
      <c r="BI16" s="57" t="n">
        <v>0</v>
      </c>
      <c r="BJ16" s="57" t="n">
        <v>0</v>
      </c>
      <c r="BK16" s="57" t="n">
        <v>0</v>
      </c>
      <c r="BL16" s="107" t="n">
        <v>0</v>
      </c>
      <c r="BM16" s="107" t="n">
        <v>0</v>
      </c>
      <c r="BN16" s="107" t="n">
        <v>0</v>
      </c>
      <c r="BO16" s="107" t="n">
        <v>0</v>
      </c>
      <c r="BP16" s="107" t="n">
        <v>0</v>
      </c>
      <c r="BQ16" s="107" t="n">
        <v>58432</v>
      </c>
      <c r="BR16" s="107" t="n">
        <v>80360</v>
      </c>
      <c r="BS16" s="108" t="n">
        <v>1</v>
      </c>
      <c r="BT16" s="107" t="n">
        <v>19555.4814250193</v>
      </c>
      <c r="BU16" s="107" t="n">
        <v>16349.7560832887</v>
      </c>
      <c r="BV16" s="107" t="n">
        <v>9968.27612071186</v>
      </c>
      <c r="BW16" s="107" t="n">
        <v>80325.4788066132</v>
      </c>
      <c r="BX16" s="107" t="n">
        <v>80325.4788066132</v>
      </c>
      <c r="BY16" s="107" t="n">
        <v>106643.511010614</v>
      </c>
      <c r="BZ16" s="109" t="n">
        <v>0.547918944587116</v>
      </c>
      <c r="CA16" s="109" t="n"/>
      <c r="CB16" s="107" t="n">
        <v>109849.236352344</v>
      </c>
      <c r="CC16" s="109" t="n">
        <v>0.731548098725449</v>
      </c>
      <c r="CD16" s="107" t="n">
        <v>106630.960231633</v>
      </c>
      <c r="CE16" s="109" t="n">
        <v>0.753627275093795</v>
      </c>
    </row>
    <row r="17" ht="16.5" customFormat="1" customHeight="1" s="39">
      <c r="A17" s="63" t="inlineStr">
        <is>
          <t>陈倩扬-4月</t>
        </is>
      </c>
      <c r="B17" s="57" t="n"/>
      <c r="C17" s="57" t="n"/>
      <c r="D17" s="57" t="n"/>
      <c r="E17" s="57" t="n"/>
      <c r="F17" s="57" t="n"/>
      <c r="G17" s="57" t="n"/>
      <c r="H17" s="57" t="n"/>
      <c r="I17" s="107" t="n">
        <v>48781.3305102439</v>
      </c>
      <c r="J17" s="107" t="n">
        <v>1084.02956689431</v>
      </c>
      <c r="K17" s="57" t="n">
        <v>45</v>
      </c>
      <c r="L17" s="57" t="n">
        <v>28</v>
      </c>
      <c r="M17" s="57" t="n">
        <v>31</v>
      </c>
      <c r="N17" s="57" t="n">
        <v>29</v>
      </c>
      <c r="O17" s="57" t="n">
        <v>21</v>
      </c>
      <c r="P17" s="57" t="n">
        <v>28</v>
      </c>
      <c r="Q17" s="57" t="n">
        <v>5</v>
      </c>
      <c r="R17" s="57" t="n">
        <v>11</v>
      </c>
      <c r="S17" s="107" t="n">
        <v>23940</v>
      </c>
      <c r="T17" s="107" t="n">
        <v>45568</v>
      </c>
      <c r="U17" s="108" t="n">
        <v>1</v>
      </c>
      <c r="V17" s="107" t="n">
        <v>4142.54545454545</v>
      </c>
      <c r="W17" s="108" t="n">
        <v>0.622222222222222</v>
      </c>
      <c r="X17" s="108" t="n">
        <v>1.03571428571429</v>
      </c>
      <c r="Y17" s="108" t="n">
        <v>0.644444444444444</v>
      </c>
      <c r="Z17" s="108" t="n">
        <v>0.724137931034483</v>
      </c>
      <c r="AA17" s="108" t="n">
        <v>0.933333333333333</v>
      </c>
      <c r="AB17" s="108" t="n">
        <v>0.238095238095238</v>
      </c>
      <c r="AC17" s="108" t="n">
        <v>0.111111111111111</v>
      </c>
      <c r="AD17" s="108" t="n">
        <v>0.244444444444444</v>
      </c>
      <c r="AE17" s="107" t="n">
        <v>65326.2956005454</v>
      </c>
      <c r="AF17" s="109" t="n">
        <v>0.697544527530496</v>
      </c>
      <c r="AG17" s="57" t="n">
        <v>30</v>
      </c>
      <c r="AH17" s="57" t="n">
        <v>28</v>
      </c>
      <c r="AI17" s="57" t="n">
        <v>29</v>
      </c>
      <c r="AJ17" s="107" t="n">
        <v>4984.13806035593</v>
      </c>
      <c r="AK17" s="107" t="n">
        <v>4591.69435014086</v>
      </c>
      <c r="AL17" s="107" t="n">
        <v>4085.35430400907</v>
      </c>
      <c r="AM17" s="107" t="n">
        <v>444.761620028327</v>
      </c>
      <c r="AN17" s="107" t="n">
        <v>2439.01675576737</v>
      </c>
      <c r="AO17" s="57" t="n">
        <v>0</v>
      </c>
      <c r="AP17" s="57" t="n">
        <v>0</v>
      </c>
      <c r="AQ17" s="57" t="n">
        <v>0</v>
      </c>
      <c r="AR17" s="57" t="n">
        <v>0</v>
      </c>
      <c r="AS17" s="57" t="n">
        <v>0</v>
      </c>
      <c r="AT17" s="57" t="n">
        <v>0</v>
      </c>
      <c r="AU17" s="57" t="n">
        <v>0</v>
      </c>
      <c r="AV17" s="57" t="n">
        <v>0</v>
      </c>
      <c r="AW17" s="107" t="n">
        <v>0</v>
      </c>
      <c r="AX17" s="107" t="n">
        <v>0</v>
      </c>
      <c r="AY17" s="108" t="n"/>
      <c r="AZ17" s="107" t="n"/>
      <c r="BA17" s="108" t="n"/>
      <c r="BB17" s="108" t="n"/>
      <c r="BC17" s="108" t="n"/>
      <c r="BD17" s="108" t="n"/>
      <c r="BE17" s="108" t="n"/>
      <c r="BF17" s="108" t="n"/>
      <c r="BG17" s="108" t="n"/>
      <c r="BH17" s="108" t="n"/>
      <c r="BI17" s="57" t="n">
        <v>0</v>
      </c>
      <c r="BJ17" s="57" t="n">
        <v>0</v>
      </c>
      <c r="BK17" s="57" t="n">
        <v>0</v>
      </c>
      <c r="BL17" s="107" t="n">
        <v>0</v>
      </c>
      <c r="BM17" s="107" t="n">
        <v>0</v>
      </c>
      <c r="BN17" s="107" t="n">
        <v>0</v>
      </c>
      <c r="BO17" s="107" t="n">
        <v>0</v>
      </c>
      <c r="BP17" s="107" t="n">
        <v>0</v>
      </c>
      <c r="BQ17" s="107" t="n">
        <v>23940</v>
      </c>
      <c r="BR17" s="107" t="n">
        <v>45568</v>
      </c>
      <c r="BS17" s="108" t="n">
        <v>1</v>
      </c>
      <c r="BT17" s="107" t="n">
        <v>12047.2928156579</v>
      </c>
      <c r="BU17" s="107" t="n">
        <v>8888.552558941579</v>
      </c>
      <c r="BV17" s="107" t="n">
        <v>5193.43191443755</v>
      </c>
      <c r="BW17" s="107" t="n">
        <v>48781.3305102439</v>
      </c>
      <c r="BX17" s="107" t="n">
        <v>48781.3305102439</v>
      </c>
      <c r="BY17" s="107" t="n">
        <v>62863.314983623</v>
      </c>
      <c r="BZ17" s="109" t="n">
        <v>0.380826241922444</v>
      </c>
      <c r="CA17" s="109" t="n"/>
      <c r="CB17" s="107" t="n">
        <v>66022.0552403394</v>
      </c>
      <c r="CC17" s="109" t="n">
        <v>0.6901936002161591</v>
      </c>
      <c r="CD17" s="107" t="n">
        <v>64353.6233259018</v>
      </c>
      <c r="CE17" s="109" t="n">
        <v>0.708087558166429</v>
      </c>
    </row>
    <row r="18" ht="16.5" customFormat="1" customHeight="1" s="39">
      <c r="A18" s="63" t="inlineStr">
        <is>
          <t>bob-4月</t>
        </is>
      </c>
      <c r="B18" s="57" t="n"/>
      <c r="C18" s="57" t="n"/>
      <c r="D18" s="57" t="n"/>
      <c r="E18" s="57" t="n"/>
      <c r="F18" s="57" t="n"/>
      <c r="G18" s="57" t="n"/>
      <c r="H18" s="57" t="n"/>
      <c r="I18" s="107" t="n">
        <v>46341.6565882226</v>
      </c>
      <c r="J18" s="107" t="n">
        <v>311.017829451158</v>
      </c>
      <c r="K18" s="57" t="n">
        <v>149</v>
      </c>
      <c r="L18" s="57" t="n">
        <v>82</v>
      </c>
      <c r="M18" s="57" t="n">
        <v>82</v>
      </c>
      <c r="N18" s="57" t="n">
        <v>79</v>
      </c>
      <c r="O18" s="57" t="n">
        <v>57</v>
      </c>
      <c r="P18" s="57" t="n">
        <v>57</v>
      </c>
      <c r="Q18" s="57" t="n">
        <v>22</v>
      </c>
      <c r="R18" s="57" t="n">
        <v>22</v>
      </c>
      <c r="S18" s="107" t="n">
        <v>96736</v>
      </c>
      <c r="T18" s="107" t="n">
        <v>96736</v>
      </c>
      <c r="U18" s="108" t="n">
        <v>1</v>
      </c>
      <c r="V18" s="107" t="n">
        <v>4397.09090909091</v>
      </c>
      <c r="W18" s="108" t="n">
        <v>0.550335570469799</v>
      </c>
      <c r="X18" s="108" t="n">
        <v>0.963414634146341</v>
      </c>
      <c r="Y18" s="108" t="n">
        <v>0.530201342281879</v>
      </c>
      <c r="Z18" s="108" t="n">
        <v>0.721518987341772</v>
      </c>
      <c r="AA18" s="108" t="n">
        <v>0.966101694915254</v>
      </c>
      <c r="AB18" s="108" t="n">
        <v>0.385964912280702</v>
      </c>
      <c r="AC18" s="108" t="n">
        <v>0.147651006711409</v>
      </c>
      <c r="AD18" s="108" t="n">
        <v>0.147651006711409</v>
      </c>
      <c r="AE18" s="107" t="n">
        <v>90013.9234148371</v>
      </c>
      <c r="AF18" s="109" t="n">
        <v>1.07467818677543</v>
      </c>
      <c r="AG18" s="57" t="n">
        <v>59</v>
      </c>
      <c r="AH18" s="57" t="n">
        <v>57</v>
      </c>
      <c r="AI18" s="57" t="n">
        <v>58</v>
      </c>
      <c r="AJ18" s="107" t="n">
        <v>16503.0349109563</v>
      </c>
      <c r="AK18" s="107" t="n">
        <v>12145.7721519855</v>
      </c>
      <c r="AL18" s="107" t="n">
        <v>8672.771110266451</v>
      </c>
      <c r="AM18" s="107" t="n">
        <v>1472.65514187157</v>
      </c>
      <c r="AN18" s="107" t="n">
        <v>4878.03351153474</v>
      </c>
      <c r="AO18" s="57" t="n">
        <v>0</v>
      </c>
      <c r="AP18" s="57" t="n">
        <v>0</v>
      </c>
      <c r="AQ18" s="57" t="n">
        <v>0</v>
      </c>
      <c r="AR18" s="57" t="n">
        <v>0</v>
      </c>
      <c r="AS18" s="57" t="n">
        <v>0</v>
      </c>
      <c r="AT18" s="57" t="n">
        <v>0</v>
      </c>
      <c r="AU18" s="57" t="n">
        <v>0</v>
      </c>
      <c r="AV18" s="57" t="n">
        <v>0</v>
      </c>
      <c r="AW18" s="107" t="n">
        <v>0</v>
      </c>
      <c r="AX18" s="107" t="n">
        <v>0</v>
      </c>
      <c r="AY18" s="108" t="n"/>
      <c r="AZ18" s="107" t="n"/>
      <c r="BA18" s="108" t="n"/>
      <c r="BB18" s="108" t="n"/>
      <c r="BC18" s="108" t="n"/>
      <c r="BD18" s="108" t="n"/>
      <c r="BE18" s="108" t="n"/>
      <c r="BF18" s="108" t="n"/>
      <c r="BG18" s="108" t="n"/>
      <c r="BH18" s="108" t="n"/>
      <c r="BI18" s="57" t="n">
        <v>0</v>
      </c>
      <c r="BJ18" s="57" t="n">
        <v>0</v>
      </c>
      <c r="BK18" s="57" t="n">
        <v>0</v>
      </c>
      <c r="BL18" s="107" t="n">
        <v>0</v>
      </c>
      <c r="BM18" s="107" t="n">
        <v>0</v>
      </c>
      <c r="BN18" s="107" t="n">
        <v>0</v>
      </c>
      <c r="BO18" s="107" t="n">
        <v>0</v>
      </c>
      <c r="BP18" s="107" t="n">
        <v>0</v>
      </c>
      <c r="BQ18" s="107" t="n">
        <v>96736</v>
      </c>
      <c r="BR18" s="107" t="n">
        <v>96736</v>
      </c>
      <c r="BS18" s="108" t="n">
        <v>1</v>
      </c>
      <c r="BT18" s="107" t="n">
        <v>27169.2319156583</v>
      </c>
      <c r="BU18" s="107" t="n">
        <v>27169.2319156583</v>
      </c>
      <c r="BV18" s="107" t="n">
        <v>16503.0349109563</v>
      </c>
      <c r="BW18" s="107" t="n">
        <v>46341.6565882226</v>
      </c>
      <c r="BX18" s="107" t="n">
        <v>46341.6565882226</v>
      </c>
      <c r="BY18" s="107" t="n">
        <v>90013.9234148371</v>
      </c>
      <c r="BZ18" s="109" t="n">
        <v>1.07467818677543</v>
      </c>
      <c r="CA18" s="109" t="n"/>
      <c r="CB18" s="107" t="n">
        <v>90013.9234148371</v>
      </c>
      <c r="CC18" s="109" t="n">
        <v>1.07467818677543</v>
      </c>
      <c r="CD18" s="107" t="n">
        <v>84685.88850388089</v>
      </c>
      <c r="CE18" s="109" t="n">
        <v>1.14229184707163</v>
      </c>
    </row>
    <row r="19" ht="16.5" customFormat="1" customHeight="1" s="39">
      <c r="A19" s="63" t="inlineStr">
        <is>
          <t>叶翠翠-4月</t>
        </is>
      </c>
      <c r="B19" s="57" t="n"/>
      <c r="C19" s="57" t="n"/>
      <c r="D19" s="57" t="n"/>
      <c r="E19" s="57" t="n"/>
      <c r="F19" s="57" t="n"/>
      <c r="G19" s="57" t="n"/>
      <c r="H19" s="57" t="n"/>
      <c r="I19" s="107" t="n">
        <v>15480.5183466667</v>
      </c>
      <c r="J19" s="107" t="n">
        <v>418.392387747749</v>
      </c>
      <c r="K19" s="57" t="n">
        <v>37</v>
      </c>
      <c r="L19" s="57" t="n">
        <v>15</v>
      </c>
      <c r="M19" s="57" t="n">
        <v>15</v>
      </c>
      <c r="N19" s="57" t="n">
        <v>15</v>
      </c>
      <c r="O19" s="57" t="n">
        <v>9</v>
      </c>
      <c r="P19" s="57" t="n">
        <v>9</v>
      </c>
      <c r="Q19" s="57" t="n">
        <v>4</v>
      </c>
      <c r="R19" s="57" t="n">
        <v>4</v>
      </c>
      <c r="S19" s="107" t="n">
        <v>16752</v>
      </c>
      <c r="T19" s="107" t="n">
        <v>16752</v>
      </c>
      <c r="U19" s="108" t="n">
        <v>1</v>
      </c>
      <c r="V19" s="107" t="n">
        <v>4188</v>
      </c>
      <c r="W19" s="108" t="n">
        <v>0.405405405405405</v>
      </c>
      <c r="X19" s="108" t="n">
        <v>1</v>
      </c>
      <c r="Y19" s="108" t="n">
        <v>0.405405405405405</v>
      </c>
      <c r="Z19" s="108" t="n">
        <v>0.6</v>
      </c>
      <c r="AA19" s="108" t="n">
        <v>1</v>
      </c>
      <c r="AB19" s="108" t="n">
        <v>0.444444444444444</v>
      </c>
      <c r="AC19" s="108" t="n">
        <v>0.108108108108108</v>
      </c>
      <c r="AD19" s="108" t="n">
        <v>0.108108108108108</v>
      </c>
      <c r="AE19" s="107" t="n">
        <v>24424.8882432886</v>
      </c>
      <c r="AF19" s="109" t="n">
        <v>0.685857795259435</v>
      </c>
      <c r="AG19" s="57" t="n">
        <v>9</v>
      </c>
      <c r="AH19" s="57" t="n">
        <v>9</v>
      </c>
      <c r="AI19" s="57" t="n">
        <v>9</v>
      </c>
      <c r="AJ19" s="107" t="n">
        <v>4098.06907184821</v>
      </c>
      <c r="AK19" s="107" t="n">
        <v>2221.78758877784</v>
      </c>
      <c r="AL19" s="107" t="n">
        <v>1501.8841138685</v>
      </c>
      <c r="AM19" s="107" t="n">
        <v>365.692887578847</v>
      </c>
      <c r="AN19" s="107" t="n">
        <v>756.936234548494</v>
      </c>
      <c r="AO19" s="57" t="n">
        <v>0</v>
      </c>
      <c r="AP19" s="57" t="n">
        <v>0</v>
      </c>
      <c r="AQ19" s="57" t="n">
        <v>0</v>
      </c>
      <c r="AR19" s="57" t="n">
        <v>0</v>
      </c>
      <c r="AS19" s="57" t="n">
        <v>0</v>
      </c>
      <c r="AT19" s="57" t="n">
        <v>0</v>
      </c>
      <c r="AU19" s="57" t="n">
        <v>0</v>
      </c>
      <c r="AV19" s="57" t="n">
        <v>0</v>
      </c>
      <c r="AW19" s="107" t="n">
        <v>0</v>
      </c>
      <c r="AX19" s="107" t="n">
        <v>0</v>
      </c>
      <c r="AY19" s="108" t="n"/>
      <c r="AZ19" s="107" t="n"/>
      <c r="BA19" s="108" t="n"/>
      <c r="BB19" s="108" t="n"/>
      <c r="BC19" s="108" t="n"/>
      <c r="BD19" s="108" t="n"/>
      <c r="BE19" s="108" t="n"/>
      <c r="BF19" s="108" t="n"/>
      <c r="BG19" s="108" t="n"/>
      <c r="BH19" s="108" t="n"/>
      <c r="BI19" s="57" t="n">
        <v>0</v>
      </c>
      <c r="BJ19" s="57" t="n">
        <v>0</v>
      </c>
      <c r="BK19" s="57" t="n">
        <v>0</v>
      </c>
      <c r="BL19" s="107" t="n">
        <v>0</v>
      </c>
      <c r="BM19" s="107" t="n">
        <v>0</v>
      </c>
      <c r="BN19" s="107" t="n">
        <v>0</v>
      </c>
      <c r="BO19" s="107" t="n">
        <v>0</v>
      </c>
      <c r="BP19" s="107" t="n">
        <v>0</v>
      </c>
      <c r="BQ19" s="107" t="n">
        <v>16752</v>
      </c>
      <c r="BR19" s="107" t="n">
        <v>16752</v>
      </c>
      <c r="BS19" s="108" t="n">
        <v>1</v>
      </c>
      <c r="BT19" s="107" t="n">
        <v>4846.30082477368</v>
      </c>
      <c r="BU19" s="107" t="n">
        <v>4846.30082477368</v>
      </c>
      <c r="BV19" s="107" t="n">
        <v>4098.06907184821</v>
      </c>
      <c r="BW19" s="107" t="n">
        <v>15480.5183466667</v>
      </c>
      <c r="BX19" s="107" t="n">
        <v>15480.5183466667</v>
      </c>
      <c r="BY19" s="107" t="n">
        <v>24424.8882432886</v>
      </c>
      <c r="BZ19" s="109" t="n">
        <v>0.685857795259435</v>
      </c>
      <c r="CA19" s="109" t="n"/>
      <c r="CB19" s="107" t="n">
        <v>24424.8882432886</v>
      </c>
      <c r="CC19" s="109" t="n">
        <v>0.685857795259435</v>
      </c>
      <c r="CD19" s="107" t="n">
        <v>23101.8191714404</v>
      </c>
      <c r="CE19" s="109" t="n">
        <v>0.7251376991431761</v>
      </c>
    </row>
    <row r="20" ht="16.5" customFormat="1" customHeight="1" s="39">
      <c r="A20" s="63" t="inlineStr">
        <is>
          <t>陈琪-4月</t>
        </is>
      </c>
      <c r="B20" s="57" t="n"/>
      <c r="C20" s="57" t="n"/>
      <c r="D20" s="57" t="n"/>
      <c r="E20" s="57" t="n"/>
      <c r="F20" s="57" t="n"/>
      <c r="G20" s="57" t="n"/>
      <c r="H20" s="57" t="n"/>
      <c r="I20" s="107" t="n">
        <v>131731.980626263</v>
      </c>
      <c r="J20" s="107" t="n">
        <v>539.8851665010779</v>
      </c>
      <c r="K20" s="57" t="n">
        <v>244</v>
      </c>
      <c r="L20" s="57" t="n">
        <v>122</v>
      </c>
      <c r="M20" s="64" t="n">
        <v>128</v>
      </c>
      <c r="N20" s="57" t="n">
        <v>127</v>
      </c>
      <c r="O20" s="57" t="n">
        <v>100</v>
      </c>
      <c r="P20" s="57" t="n">
        <v>124</v>
      </c>
      <c r="Q20" s="57" t="n">
        <v>41</v>
      </c>
      <c r="R20" s="57" t="n">
        <v>48</v>
      </c>
      <c r="S20" s="107" t="n">
        <v>180708</v>
      </c>
      <c r="T20" s="107" t="n">
        <v>211424</v>
      </c>
      <c r="U20" s="108" t="n">
        <v>1</v>
      </c>
      <c r="V20" s="107" t="n">
        <v>4404.66666666667</v>
      </c>
      <c r="W20" s="108" t="n">
        <v>0.5</v>
      </c>
      <c r="X20" s="108" t="n">
        <v>1.04098360655738</v>
      </c>
      <c r="Y20" s="108" t="n">
        <v>0.520491803278688</v>
      </c>
      <c r="Z20" s="108" t="n">
        <v>0.78740157480315</v>
      </c>
      <c r="AA20" s="108" t="n">
        <v>0.984126984126984</v>
      </c>
      <c r="AB20" s="108" t="n">
        <v>0.41</v>
      </c>
      <c r="AC20" s="108" t="n">
        <v>0.168032786885246</v>
      </c>
      <c r="AD20" s="108" t="n">
        <v>0.19672131147541</v>
      </c>
      <c r="AE20" s="107" t="n">
        <v>210352.88585484</v>
      </c>
      <c r="AF20" s="109" t="n">
        <v>1.00509198692857</v>
      </c>
      <c r="AG20" s="57" t="n">
        <v>126</v>
      </c>
      <c r="AH20" s="57" t="n">
        <v>124</v>
      </c>
      <c r="AI20" s="57" t="n">
        <v>134</v>
      </c>
      <c r="AJ20" s="107" t="n">
        <v>27025.1041494855</v>
      </c>
      <c r="AK20" s="110" t="n">
        <v>18959.2540909042</v>
      </c>
      <c r="AL20" s="110" t="n">
        <v>18955.0111563117</v>
      </c>
      <c r="AM20" s="107" t="n">
        <v>2411.59633970915</v>
      </c>
      <c r="AN20" s="107" t="n">
        <v>11269.9394921665</v>
      </c>
      <c r="AO20" s="57" t="n">
        <v>20</v>
      </c>
      <c r="AP20" s="57" t="n">
        <v>18</v>
      </c>
      <c r="AQ20" s="57" t="n">
        <v>20</v>
      </c>
      <c r="AR20" s="57" t="n">
        <v>18</v>
      </c>
      <c r="AS20" s="57" t="n">
        <v>11</v>
      </c>
      <c r="AT20" s="57" t="n">
        <v>13</v>
      </c>
      <c r="AU20" s="57" t="n">
        <v>0</v>
      </c>
      <c r="AV20" s="57" t="n">
        <v>0</v>
      </c>
      <c r="AW20" s="107" t="n">
        <v>0</v>
      </c>
      <c r="AX20" s="107" t="n">
        <v>0</v>
      </c>
      <c r="AY20" s="108" t="n"/>
      <c r="AZ20" s="107" t="n"/>
      <c r="BA20" s="108" t="n">
        <v>0.9</v>
      </c>
      <c r="BB20" s="108" t="n">
        <v>1</v>
      </c>
      <c r="BC20" s="108" t="n">
        <v>0.9</v>
      </c>
      <c r="BD20" s="108" t="n">
        <v>0.611111111111111</v>
      </c>
      <c r="BE20" s="108" t="n">
        <v>0.65</v>
      </c>
      <c r="BF20" s="108" t="n">
        <v>0</v>
      </c>
      <c r="BG20" s="108" t="n">
        <v>0</v>
      </c>
      <c r="BH20" s="108" t="n">
        <v>0</v>
      </c>
      <c r="BI20" s="57" t="n">
        <v>20</v>
      </c>
      <c r="BJ20" s="57" t="n">
        <v>13</v>
      </c>
      <c r="BK20" s="57" t="n">
        <v>14</v>
      </c>
      <c r="BL20" s="107" t="n">
        <v>2092.93854081619</v>
      </c>
      <c r="BM20" s="107" t="n">
        <v>2050.26847151346</v>
      </c>
      <c r="BN20" s="107" t="n">
        <v>0</v>
      </c>
      <c r="BO20" s="107" t="n">
        <v>197.671831123701</v>
      </c>
      <c r="BP20" s="107" t="n">
        <v>1114.10832311042</v>
      </c>
      <c r="BQ20" s="107" t="n">
        <v>180708</v>
      </c>
      <c r="BR20" s="107" t="n">
        <v>211424</v>
      </c>
      <c r="BS20" s="108" t="n">
        <v>1</v>
      </c>
      <c r="BT20" s="107" t="n">
        <v>54957.8497048392</v>
      </c>
      <c r="BU20" s="107" t="n">
        <v>48848.5360139482</v>
      </c>
      <c r="BV20" s="107" t="n">
        <v>29118.0426903017</v>
      </c>
      <c r="BW20" s="107" t="n">
        <v>131731.980626263</v>
      </c>
      <c r="BX20" s="107" t="n">
        <v>131731.980626263</v>
      </c>
      <c r="BY20" s="107" t="n">
        <v>209698.559330513</v>
      </c>
      <c r="BZ20" s="109" t="n">
        <v>0.861751270857231</v>
      </c>
      <c r="CA20" s="109" t="n"/>
      <c r="CB20" s="107" t="n">
        <v>215807.873021404</v>
      </c>
      <c r="CC20" s="109" t="n">
        <v>0.979686222935115</v>
      </c>
      <c r="CD20" s="107" t="n">
        <v>206489.830331102</v>
      </c>
      <c r="CE20" s="109" t="n">
        <v>1.02389546090956</v>
      </c>
    </row>
    <row r="21"/>
    <row r="22" ht="30" customFormat="1" customHeight="1" s="40">
      <c r="A22" s="40" t="inlineStr">
        <is>
          <t>4月-汇总</t>
        </is>
      </c>
      <c r="B22" s="57" t="n"/>
      <c r="C22" s="57" t="n"/>
      <c r="D22" s="57" t="n"/>
      <c r="E22" s="57" t="n"/>
      <c r="F22" s="57" t="n"/>
      <c r="G22" s="57" t="n"/>
      <c r="H22" s="57" t="n"/>
      <c r="I22" s="107">
        <f>SUM(I14:I20)</f>
        <v/>
      </c>
      <c r="J22" s="107">
        <f>I22/K22</f>
        <v/>
      </c>
      <c r="K22" s="57">
        <f>SUM(K14:K20)</f>
        <v/>
      </c>
      <c r="L22" s="57">
        <f>SUM(L14:L20)</f>
        <v/>
      </c>
      <c r="M22" s="57">
        <f>SUM(M14:M20)</f>
        <v/>
      </c>
      <c r="N22" s="57">
        <f>SUM(N14:N20)</f>
        <v/>
      </c>
      <c r="O22" s="57">
        <f>SUM(O14:O20)</f>
        <v/>
      </c>
      <c r="P22" s="57">
        <f>SUM(P14:P20)</f>
        <v/>
      </c>
      <c r="Q22" s="57">
        <f>SUM(Q14:Q20)</f>
        <v/>
      </c>
      <c r="R22" s="57">
        <f>SUM(R14:R20)</f>
        <v/>
      </c>
      <c r="S22" s="107">
        <f>SUM(S14:S20)</f>
        <v/>
      </c>
      <c r="T22" s="107">
        <f>SUM(T14:T20)</f>
        <v/>
      </c>
      <c r="U22" s="57" t="n"/>
      <c r="V22" s="107">
        <f>T22/R22</f>
        <v/>
      </c>
      <c r="W22" s="61">
        <f>L22/K22</f>
        <v/>
      </c>
      <c r="X22" s="61">
        <f>N22/L22</f>
        <v/>
      </c>
      <c r="Y22" s="61">
        <f>N22/K22</f>
        <v/>
      </c>
      <c r="Z22" s="61">
        <f>O22/N22</f>
        <v/>
      </c>
      <c r="AA22" s="61">
        <f>AVERAGE(AA14:AA20)</f>
        <v/>
      </c>
      <c r="AB22" s="61">
        <f>Q22/O22</f>
        <v/>
      </c>
      <c r="AC22" s="61">
        <f>Q22/K22</f>
        <v/>
      </c>
      <c r="AD22" s="61">
        <f>R22/K22</f>
        <v/>
      </c>
      <c r="AE22" s="107">
        <f>SUM(AE14:AE20)</f>
        <v/>
      </c>
      <c r="AF22" s="109">
        <f>T22/AE22</f>
        <v/>
      </c>
      <c r="AG22" s="57">
        <f>SUM(AG14:AG20)</f>
        <v/>
      </c>
      <c r="AH22" s="57">
        <f>SUM(AH14:AH20)</f>
        <v/>
      </c>
      <c r="AI22" s="57">
        <f>SUM(AI14:AI20)</f>
        <v/>
      </c>
      <c r="AJ22" s="107">
        <f>SUM(AJ14:AJ20)</f>
        <v/>
      </c>
      <c r="AK22" s="107">
        <f>SUM(AK14:AK20)</f>
        <v/>
      </c>
      <c r="AL22" s="107">
        <f>SUM(AL14:AL20)</f>
        <v/>
      </c>
      <c r="AM22" s="107">
        <f>SUM(AM14:AM20)</f>
        <v/>
      </c>
      <c r="AN22" s="107">
        <f>SUM(AN14:AN20)</f>
        <v/>
      </c>
      <c r="AO22" s="57">
        <f>SUM(AO14:AO20)</f>
        <v/>
      </c>
      <c r="AP22" s="57">
        <f>SUM(AP14:AP20)</f>
        <v/>
      </c>
      <c r="AQ22" s="57" t="n"/>
      <c r="AR22" s="57">
        <f>SUM(AR14:AR20)</f>
        <v/>
      </c>
      <c r="AS22" s="57">
        <f>SUM(AS14:AS20)</f>
        <v/>
      </c>
      <c r="AT22" s="57">
        <f>SUM(AT14:AT20)</f>
        <v/>
      </c>
      <c r="AU22" s="57">
        <f>SUM(AU14:AU20)</f>
        <v/>
      </c>
      <c r="AV22" s="57">
        <f>SUM(AV14:AV20)</f>
        <v/>
      </c>
      <c r="AW22" s="107">
        <f>SUM(AW14:AW20)</f>
        <v/>
      </c>
      <c r="AX22" s="107">
        <f>SUM(AX14:AX20)</f>
        <v/>
      </c>
      <c r="AY22" s="107" t="n"/>
      <c r="AZ22" s="107">
        <f>AX22/AV22</f>
        <v/>
      </c>
      <c r="BA22" s="62">
        <f>AP22/AO22</f>
        <v/>
      </c>
      <c r="BB22" s="62">
        <f>AR22/AP22</f>
        <v/>
      </c>
      <c r="BC22" s="62">
        <f>AR22/AO22</f>
        <v/>
      </c>
      <c r="BD22" s="62">
        <f>AS22/AR22</f>
        <v/>
      </c>
      <c r="BE22" s="62">
        <f>AVERAGE(BE14:BE20)</f>
        <v/>
      </c>
      <c r="BF22" s="62">
        <f>AU22/AS22</f>
        <v/>
      </c>
      <c r="BG22" s="62">
        <f>AU22/AO22</f>
        <v/>
      </c>
      <c r="BH22" s="62">
        <f>AV22/AO22</f>
        <v/>
      </c>
      <c r="BI22" s="57">
        <f>SUM(BI14:BI20)</f>
        <v/>
      </c>
      <c r="BJ22" s="57">
        <f>SUM(BJ14:BJ20)</f>
        <v/>
      </c>
      <c r="BK22" s="57">
        <f>SUM(BK14:BK20)</f>
        <v/>
      </c>
      <c r="BL22" s="107">
        <f>SUM(BL14:BL20)</f>
        <v/>
      </c>
      <c r="BM22" s="107">
        <f>SUM(BM14:BM20)</f>
        <v/>
      </c>
      <c r="BN22" s="107">
        <f>SUM(BN14:BN20)</f>
        <v/>
      </c>
      <c r="BO22" s="57">
        <f>SUM(BO14:BO20)</f>
        <v/>
      </c>
      <c r="BP22" s="57">
        <f>SUM(BP14:BP20)</f>
        <v/>
      </c>
      <c r="BQ22" s="107">
        <f>SUM(BQ14:BQ20)</f>
        <v/>
      </c>
      <c r="BR22" s="107">
        <f>SUM(BR14:BR20)</f>
        <v/>
      </c>
      <c r="BS22" s="107" t="n"/>
      <c r="BT22" s="107">
        <f>SUM(BT14:BT20)</f>
        <v/>
      </c>
      <c r="BU22" s="107">
        <f>SUM(BU14:BU20)</f>
        <v/>
      </c>
      <c r="BV22" s="107">
        <f>SUM(BV14:BV20)</f>
        <v/>
      </c>
      <c r="BW22" s="107">
        <f>SUM(BW14:BW20)</f>
        <v/>
      </c>
      <c r="BX22" s="107">
        <f>SUM(BX14:BX20)</f>
        <v/>
      </c>
      <c r="BY22" s="107">
        <f>SUM(BY14:BY20)</f>
        <v/>
      </c>
      <c r="BZ22" s="109">
        <f>BQ22/BY22</f>
        <v/>
      </c>
      <c r="CA22" s="109" t="n"/>
      <c r="CB22" s="107">
        <f>SUM(CB14:CB20)</f>
        <v/>
      </c>
      <c r="CC22" s="109">
        <f>BR22/CB22</f>
        <v/>
      </c>
      <c r="CD22" s="107">
        <f>SUM(CD14:CD20)</f>
        <v/>
      </c>
      <c r="CE22" s="109">
        <f>BR22/CD22</f>
        <v/>
      </c>
    </row>
    <row r="25" ht="28" customFormat="1" customHeight="1" s="41">
      <c r="B25" s="42" t="n"/>
      <c r="C25" s="43" t="n"/>
      <c r="D25" s="43" t="n"/>
      <c r="E25" s="43" t="n"/>
      <c r="F25" s="43" t="n"/>
      <c r="G25" s="44" t="n"/>
      <c r="H25" s="43" t="n"/>
      <c r="I25" s="103" t="inlineStr">
        <is>
          <t>主投</t>
        </is>
      </c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5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49" t="inlineStr">
        <is>
          <t>辅投</t>
        </is>
      </c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74" t="n"/>
      <c r="BJ25" s="74" t="n"/>
      <c r="BK25" s="74" t="n"/>
      <c r="BL25" s="74" t="n"/>
      <c r="BM25" s="74" t="n"/>
      <c r="BN25" s="74" t="n"/>
      <c r="BO25" s="74" t="n"/>
      <c r="BP25" s="75" t="n"/>
      <c r="BQ25" s="106" t="inlineStr">
        <is>
          <t>汇总</t>
        </is>
      </c>
      <c r="BR25" s="104" t="n"/>
      <c r="BS25" s="104" t="n"/>
      <c r="BT25" s="104" t="n"/>
      <c r="BU25" s="104" t="n"/>
      <c r="BV25" s="104" t="n"/>
      <c r="BW25" s="104" t="n"/>
      <c r="BX25" s="104" t="n"/>
      <c r="BY25" s="104" t="n"/>
      <c r="BZ25" s="104" t="n"/>
      <c r="CA25" s="104" t="n"/>
      <c r="CB25" s="104" t="n"/>
      <c r="CC25" s="104" t="n"/>
      <c r="CD25" s="104" t="n"/>
      <c r="CE25" s="105" t="n"/>
    </row>
    <row r="26" ht="54.75" customFormat="1" customHeight="1" s="89">
      <c r="B26" s="91" t="inlineStr">
        <is>
          <t>渠道组</t>
        </is>
      </c>
      <c r="C26" s="91" t="inlineStr">
        <is>
          <t>供应商</t>
        </is>
      </c>
      <c r="D26" s="91" t="inlineStr">
        <is>
          <t>渠道名称</t>
        </is>
      </c>
      <c r="E26" s="91" t="inlineStr">
        <is>
          <t>主投</t>
        </is>
      </c>
      <c r="F26" s="91" t="inlineStr">
        <is>
          <t>辅投</t>
        </is>
      </c>
      <c r="G26" s="91" t="inlineStr">
        <is>
          <t>结算方式</t>
        </is>
      </c>
      <c r="H26" s="91" t="n"/>
      <c r="I26" s="91" t="inlineStr">
        <is>
          <t>滚动消耗</t>
        </is>
      </c>
      <c r="J26" s="91" t="inlineStr">
        <is>
          <t>单例子成本</t>
        </is>
      </c>
      <c r="K26" s="91" t="inlineStr">
        <is>
          <t>例子数</t>
        </is>
      </c>
      <c r="L26" s="91" t="inlineStr">
        <is>
          <t>分发数</t>
        </is>
      </c>
      <c r="M26" s="91" t="inlineStr">
        <is>
          <t>剔除毛例子
分发数</t>
        </is>
      </c>
      <c r="N26" s="91" t="inlineStr">
        <is>
          <t>约课数</t>
        </is>
      </c>
      <c r="O26" s="91" t="inlineStr">
        <is>
          <t>到课数</t>
        </is>
      </c>
      <c r="P26" s="91" t="inlineStr">
        <is>
          <t>滚动到课数</t>
        </is>
      </c>
      <c r="Q26" s="91" t="inlineStr">
        <is>
          <t>当月成交数</t>
        </is>
      </c>
      <c r="R26" s="91" t="inlineStr">
        <is>
          <t>滚动成交数</t>
        </is>
      </c>
      <c r="S26" s="91" t="inlineStr">
        <is>
          <t>当月GMV</t>
        </is>
      </c>
      <c r="T26" s="91" t="inlineStr">
        <is>
          <t>滚动GMV</t>
        </is>
      </c>
      <c r="U26" s="91" t="inlineStr">
        <is>
          <t>海外GMV占比</t>
        </is>
      </c>
      <c r="V26" s="91" t="inlineStr">
        <is>
          <t>滚动ASP</t>
        </is>
      </c>
      <c r="W26" s="91" t="inlineStr">
        <is>
          <t>例子分发率</t>
        </is>
      </c>
      <c r="X26" s="91" t="inlineStr">
        <is>
          <t>分发约课率</t>
        </is>
      </c>
      <c r="Y26" s="91" t="inlineStr">
        <is>
          <t>例子约课率</t>
        </is>
      </c>
      <c r="Z26" s="91" t="inlineStr">
        <is>
          <t>约课到课率</t>
        </is>
      </c>
      <c r="AA26" s="91" t="inlineStr">
        <is>
          <t>滚动应到课率</t>
        </is>
      </c>
      <c r="AB26" s="91" t="inlineStr">
        <is>
          <t>到课转化率</t>
        </is>
      </c>
      <c r="AC26" s="91" t="inlineStr">
        <is>
          <t>注册转化率</t>
        </is>
      </c>
      <c r="AD26" s="91" t="inlineStr">
        <is>
          <t>滚动转化率</t>
        </is>
      </c>
      <c r="AE26" s="91" t="inlineStr">
        <is>
          <t>滚动ROI2总成本</t>
        </is>
      </c>
      <c r="AF26" s="91" t="inlineStr">
        <is>
          <t>滚动ROI2</t>
        </is>
      </c>
      <c r="AG26" s="91" t="inlineStr">
        <is>
          <t>滚动应到课人数</t>
        </is>
      </c>
      <c r="AH26" s="91" t="inlineStr">
        <is>
          <t>滚动到课人数</t>
        </is>
      </c>
      <c r="AI26" s="91" t="inlineStr">
        <is>
          <t>滚动到课人次</t>
        </is>
      </c>
      <c r="AJ26" s="91" t="inlineStr">
        <is>
          <t>运营成本</t>
        </is>
      </c>
      <c r="AK26" s="91" t="inlineStr">
        <is>
          <t>销售固定成本</t>
        </is>
      </c>
      <c r="AL26" s="91" t="inlineStr">
        <is>
          <t>销售变动成本</t>
        </is>
      </c>
      <c r="AM26" s="91" t="inlineStr">
        <is>
          <t>TMK费用</t>
        </is>
      </c>
      <c r="AN26" s="91" t="inlineStr">
        <is>
          <t>DEMO费用</t>
        </is>
      </c>
      <c r="AO26" s="91" t="inlineStr">
        <is>
          <t>例子数</t>
        </is>
      </c>
      <c r="AP26" s="91" t="inlineStr">
        <is>
          <t>分发数</t>
        </is>
      </c>
      <c r="AQ26" s="91" t="inlineStr">
        <is>
          <t>剔除毛例子分发数</t>
        </is>
      </c>
      <c r="AR26" s="91" t="inlineStr">
        <is>
          <t>约课数</t>
        </is>
      </c>
      <c r="AS26" s="91" t="inlineStr">
        <is>
          <t>到课数</t>
        </is>
      </c>
      <c r="AT26" s="91" t="inlineStr">
        <is>
          <t>滚动到课数</t>
        </is>
      </c>
      <c r="AU26" s="91" t="inlineStr">
        <is>
          <t>当月成交</t>
        </is>
      </c>
      <c r="AV26" s="91" t="inlineStr">
        <is>
          <t>滚动成交数</t>
        </is>
      </c>
      <c r="AW26" s="91" t="inlineStr">
        <is>
          <t>当月GMV</t>
        </is>
      </c>
      <c r="AX26" s="91" t="inlineStr">
        <is>
          <t>滚动GMV</t>
        </is>
      </c>
      <c r="AY26" s="91" t="inlineStr">
        <is>
          <t>海外GMV占比</t>
        </is>
      </c>
      <c r="AZ26" s="91" t="inlineStr">
        <is>
          <t>滚动ASP</t>
        </is>
      </c>
      <c r="BA26" s="91" t="inlineStr">
        <is>
          <t>例子分发率</t>
        </is>
      </c>
      <c r="BB26" s="91" t="inlineStr">
        <is>
          <t>分发约课率</t>
        </is>
      </c>
      <c r="BC26" s="91" t="inlineStr">
        <is>
          <t>例子约课率</t>
        </is>
      </c>
      <c r="BD26" s="91" t="inlineStr">
        <is>
          <t>约课到课率</t>
        </is>
      </c>
      <c r="BE26" s="91" t="inlineStr">
        <is>
          <t>滚动应到课率</t>
        </is>
      </c>
      <c r="BF26" s="91" t="inlineStr">
        <is>
          <t>到课转化率</t>
        </is>
      </c>
      <c r="BG26" s="91" t="inlineStr">
        <is>
          <t>注册转化率</t>
        </is>
      </c>
      <c r="BH26" s="91" t="inlineStr">
        <is>
          <t>滚动转化率</t>
        </is>
      </c>
      <c r="BI26" s="91" t="inlineStr">
        <is>
          <t>滚动应到课人数</t>
        </is>
      </c>
      <c r="BJ26" s="91" t="inlineStr">
        <is>
          <t>滚动到课人数</t>
        </is>
      </c>
      <c r="BK26" s="91" t="inlineStr">
        <is>
          <t>滚动到课人次</t>
        </is>
      </c>
      <c r="BL26" s="91" t="inlineStr">
        <is>
          <t>运营成本</t>
        </is>
      </c>
      <c r="BM26" s="91" t="inlineStr">
        <is>
          <t>销售固定成本</t>
        </is>
      </c>
      <c r="BN26" s="91" t="inlineStr">
        <is>
          <t>销售变动成本</t>
        </is>
      </c>
      <c r="BO26" s="91" t="inlineStr">
        <is>
          <t>TMK费用</t>
        </is>
      </c>
      <c r="BP26" s="91" t="inlineStr">
        <is>
          <t>DEMO费用</t>
        </is>
      </c>
      <c r="BQ26" s="91" t="inlineStr">
        <is>
          <t>当月GMV</t>
        </is>
      </c>
      <c r="BR26" s="91" t="inlineStr">
        <is>
          <t>滚动GMV</t>
        </is>
      </c>
      <c r="BS26" s="91" t="inlineStr">
        <is>
          <t>海外GMV占比</t>
        </is>
      </c>
      <c r="BT26" s="91" t="inlineStr">
        <is>
          <t>滚动其他成本</t>
        </is>
      </c>
      <c r="BU26" s="91" t="inlineStr">
        <is>
          <t>同源其他成本</t>
        </is>
      </c>
      <c r="BV26" s="91" t="inlineStr">
        <is>
          <t>运营成本</t>
        </is>
      </c>
      <c r="BW26" s="91" t="inlineStr">
        <is>
          <t>滚动消耗</t>
        </is>
      </c>
      <c r="BX26" s="91" t="inlineStr">
        <is>
          <t>同源消耗</t>
        </is>
      </c>
      <c r="BY26" s="91" t="inlineStr">
        <is>
          <t>当月ROI2总成本</t>
        </is>
      </c>
      <c r="BZ26" s="91" t="inlineStr">
        <is>
          <t>当月ROI2</t>
        </is>
      </c>
      <c r="CA26" s="91" t="n"/>
      <c r="CB26" s="91" t="inlineStr">
        <is>
          <t>滚动ROI2总成本</t>
        </is>
      </c>
      <c r="CC26" s="91" t="inlineStr">
        <is>
          <t>滚动ROI2</t>
        </is>
      </c>
      <c r="CD26" s="91" t="inlineStr">
        <is>
          <t>O-ROI总成本</t>
        </is>
      </c>
      <c r="CE26" s="91" t="inlineStr">
        <is>
          <t>O-ROI</t>
        </is>
      </c>
      <c r="CF26" s="89" t="inlineStr">
        <is>
          <t xml:space="preserve">   </t>
        </is>
      </c>
    </row>
    <row r="27" ht="16.5" customFormat="1" customHeight="1" s="39">
      <c r="A27" s="63" t="n"/>
      <c r="B27" s="57" t="n"/>
      <c r="C27" s="57" t="n"/>
      <c r="D27" s="57" t="n"/>
      <c r="E27" s="57" t="n"/>
      <c r="F27" s="57" t="n"/>
      <c r="G27" s="57" t="n"/>
      <c r="H27" s="57" t="n"/>
      <c r="I27" s="107" t="n"/>
      <c r="J27" s="10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107" t="n"/>
      <c r="T27" s="107" t="n"/>
      <c r="U27" s="108" t="n"/>
      <c r="V27" s="107" t="n"/>
      <c r="W27" s="108" t="n"/>
      <c r="X27" s="108" t="n"/>
      <c r="Y27" s="108" t="n"/>
      <c r="Z27" s="108" t="n"/>
      <c r="AA27" s="108" t="n"/>
      <c r="AB27" s="108" t="n"/>
      <c r="AC27" s="108" t="n"/>
      <c r="AD27" s="108" t="n"/>
      <c r="AE27" s="107" t="n"/>
      <c r="AF27" s="109" t="n"/>
      <c r="AG27" s="57" t="n"/>
      <c r="AH27" s="57" t="n"/>
      <c r="AI27" s="57" t="n"/>
      <c r="AJ27" s="107" t="n"/>
      <c r="AK27" s="107" t="n"/>
      <c r="AL27" s="107" t="n"/>
      <c r="AM27" s="107" t="n"/>
      <c r="AN27" s="107" t="n"/>
      <c r="AO27" s="57" t="n"/>
      <c r="AP27" s="57" t="n"/>
      <c r="AQ27" s="57" t="n"/>
      <c r="AR27" s="57" t="n"/>
      <c r="AS27" s="57" t="n"/>
      <c r="AT27" s="57" t="n"/>
      <c r="AU27" s="57" t="n"/>
      <c r="AV27" s="57" t="n"/>
      <c r="AW27" s="107" t="n"/>
      <c r="AX27" s="107" t="n"/>
      <c r="AY27" s="108" t="n"/>
      <c r="AZ27" s="107" t="n"/>
      <c r="BA27" s="108" t="n"/>
      <c r="BB27" s="108" t="n"/>
      <c r="BC27" s="108" t="n"/>
      <c r="BD27" s="108" t="n"/>
      <c r="BE27" s="108" t="n"/>
      <c r="BF27" s="108" t="n"/>
      <c r="BG27" s="108" t="n"/>
      <c r="BH27" s="108" t="n"/>
      <c r="BI27" s="57" t="n"/>
      <c r="BJ27" s="57" t="n"/>
      <c r="BK27" s="57" t="n"/>
      <c r="BL27" s="107" t="n"/>
      <c r="BM27" s="107" t="n"/>
      <c r="BN27" s="107" t="n"/>
      <c r="BO27" s="107" t="n"/>
      <c r="BP27" s="107" t="n"/>
      <c r="BQ27" s="107" t="n"/>
      <c r="BR27" s="107" t="n"/>
      <c r="BS27" s="108" t="n"/>
      <c r="BT27" s="107" t="n"/>
      <c r="BU27" s="107" t="n"/>
      <c r="BV27" s="107" t="n"/>
      <c r="BW27" s="107" t="n"/>
      <c r="BX27" s="107" t="n"/>
      <c r="BY27" s="107" t="n"/>
      <c r="BZ27" s="109" t="n"/>
      <c r="CA27" s="109" t="n"/>
      <c r="CB27" s="107" t="n"/>
      <c r="CC27" s="109" t="n"/>
      <c r="CD27" s="107" t="n"/>
      <c r="CE27" s="109" t="n"/>
    </row>
    <row r="28" ht="16.5" customFormat="1" customHeight="1" s="39">
      <c r="A28" s="63" t="n"/>
      <c r="B28" s="57" t="n"/>
      <c r="C28" s="57" t="n"/>
      <c r="D28" s="57" t="n"/>
      <c r="E28" s="57" t="n"/>
      <c r="F28" s="57" t="n"/>
      <c r="G28" s="57" t="n"/>
      <c r="H28" s="57" t="n"/>
      <c r="I28" s="107" t="n">
        <v>110487.999494179</v>
      </c>
      <c r="J28" s="107" t="n">
        <v>584.592589916291</v>
      </c>
      <c r="K28" s="57" t="n">
        <v>189</v>
      </c>
      <c r="L28" s="57" t="n">
        <v>84</v>
      </c>
      <c r="M28" s="57" t="n">
        <v>88</v>
      </c>
      <c r="N28" s="57" t="n">
        <v>80</v>
      </c>
      <c r="O28" s="57" t="n">
        <v>52</v>
      </c>
      <c r="P28" s="57" t="n">
        <v>67</v>
      </c>
      <c r="Q28" s="57" t="n">
        <v>20</v>
      </c>
      <c r="R28" s="57" t="n">
        <v>29</v>
      </c>
      <c r="S28" s="107" t="n">
        <v>87960</v>
      </c>
      <c r="T28" s="107" t="n">
        <v>131352</v>
      </c>
      <c r="U28" s="108" t="n">
        <v>1</v>
      </c>
      <c r="V28" s="107" t="n">
        <v>4529.37931034483</v>
      </c>
      <c r="W28" s="108" t="n">
        <v>0.444444444444444</v>
      </c>
      <c r="X28" s="108" t="n">
        <v>0.952380952380952</v>
      </c>
      <c r="Y28" s="108" t="n">
        <v>0.423280423280423</v>
      </c>
      <c r="Z28" s="108" t="n">
        <v>0.65</v>
      </c>
      <c r="AA28" s="108" t="n">
        <v>0.957142857142857</v>
      </c>
      <c r="AB28" s="108" t="n">
        <v>0.384615384615385</v>
      </c>
      <c r="AC28" s="108" t="n">
        <v>0.105820105820106</v>
      </c>
      <c r="AD28" s="108" t="n">
        <v>0.153439153439153</v>
      </c>
      <c r="AE28" s="107" t="n">
        <v>152693.578168413</v>
      </c>
      <c r="AF28" s="109" t="n">
        <v>0.860232640924333</v>
      </c>
      <c r="AG28" s="57" t="n">
        <v>70</v>
      </c>
      <c r="AH28" s="57" t="n">
        <v>67</v>
      </c>
      <c r="AI28" s="57" t="n">
        <v>74</v>
      </c>
      <c r="AJ28" s="107" t="n">
        <v>11718.3060746058</v>
      </c>
      <c r="AK28" s="107" t="n">
        <v>10340.1424645967</v>
      </c>
      <c r="AL28" s="107" t="n">
        <v>11776.234606307</v>
      </c>
      <c r="AM28" s="107" t="n">
        <v>2147.19760021458</v>
      </c>
      <c r="AN28" s="107" t="n">
        <v>6223.69792850984</v>
      </c>
      <c r="AO28" s="57" t="n">
        <v>3</v>
      </c>
      <c r="AP28" s="57" t="n">
        <v>3</v>
      </c>
      <c r="AQ28" s="57" t="n">
        <v>4</v>
      </c>
      <c r="AR28" s="57" t="n">
        <v>3</v>
      </c>
      <c r="AS28" s="57" t="n">
        <v>1</v>
      </c>
      <c r="AT28" s="57" t="n">
        <v>3</v>
      </c>
      <c r="AU28" s="57" t="n">
        <v>0</v>
      </c>
      <c r="AV28" s="57" t="n">
        <v>0</v>
      </c>
      <c r="AW28" s="107" t="n">
        <v>0</v>
      </c>
      <c r="AX28" s="107" t="n">
        <v>0</v>
      </c>
      <c r="AY28" s="108" t="n"/>
      <c r="AZ28" s="107" t="n"/>
      <c r="BA28" s="108" t="n">
        <v>1</v>
      </c>
      <c r="BB28" s="108" t="n">
        <v>1</v>
      </c>
      <c r="BC28" s="108" t="n">
        <v>1</v>
      </c>
      <c r="BD28" s="108" t="n">
        <v>0.333333333333333</v>
      </c>
      <c r="BE28" s="108" t="n">
        <v>0.6</v>
      </c>
      <c r="BF28" s="108" t="n">
        <v>0</v>
      </c>
      <c r="BG28" s="108" t="n">
        <v>0</v>
      </c>
      <c r="BH28" s="108" t="n">
        <v>0</v>
      </c>
      <c r="BI28" s="57" t="n">
        <v>5</v>
      </c>
      <c r="BJ28" s="57" t="n">
        <v>3</v>
      </c>
      <c r="BK28" s="57" t="n">
        <v>3</v>
      </c>
      <c r="BL28" s="107" t="n">
        <v>167.125059711594</v>
      </c>
      <c r="BM28" s="107" t="n">
        <v>500.821779898508</v>
      </c>
      <c r="BN28" s="107" t="n">
        <v>0</v>
      </c>
      <c r="BO28" s="107" t="n">
        <v>34.0825015907076</v>
      </c>
      <c r="BP28" s="107" t="n">
        <v>238.737497809376</v>
      </c>
      <c r="BQ28" s="107" t="n">
        <v>87960</v>
      </c>
      <c r="BR28" s="107" t="n">
        <v>131352</v>
      </c>
      <c r="BS28" s="108" t="n">
        <v>1</v>
      </c>
      <c r="BT28" s="107" t="n">
        <v>31260.9143789268</v>
      </c>
      <c r="BU28" s="107" t="n">
        <v>25354.7165752233</v>
      </c>
      <c r="BV28" s="107" t="n">
        <v>11885.4311343174</v>
      </c>
      <c r="BW28" s="107" t="n">
        <v>110487.999494179</v>
      </c>
      <c r="BX28" s="107" t="n">
        <v>110487.999494179</v>
      </c>
      <c r="BY28" s="107" t="n">
        <v>147728.14720372</v>
      </c>
      <c r="BZ28" s="109" t="n">
        <v>0.595418013865033</v>
      </c>
      <c r="CA28" s="109" t="n"/>
      <c r="CB28" s="107" t="n">
        <v>153634.345007423</v>
      </c>
      <c r="CC28" s="109" t="n">
        <v>0.8549650795442481</v>
      </c>
      <c r="CD28" s="107" t="n">
        <v>156148.913873106</v>
      </c>
      <c r="CE28" s="109" t="n">
        <v>0.841197013427471</v>
      </c>
    </row>
    <row r="29" ht="16.5" customFormat="1" customHeight="1" s="39">
      <c r="A29" s="63" t="n"/>
      <c r="B29" s="57" t="n"/>
      <c r="C29" s="57" t="n"/>
      <c r="D29" s="57" t="n"/>
      <c r="E29" s="57" t="n"/>
      <c r="F29" s="57" t="n"/>
      <c r="G29" s="57" t="n"/>
      <c r="H29" s="57" t="n"/>
      <c r="I29" s="107" t="n">
        <v>83971.5021337287</v>
      </c>
      <c r="J29" s="107" t="n">
        <v>368.296061990038</v>
      </c>
      <c r="K29" s="57" t="n">
        <v>228</v>
      </c>
      <c r="L29" s="57" t="n">
        <v>97</v>
      </c>
      <c r="M29" s="57" t="n">
        <v>97</v>
      </c>
      <c r="N29" s="57" t="n">
        <v>98</v>
      </c>
      <c r="O29" s="57" t="n">
        <v>61</v>
      </c>
      <c r="P29" s="57" t="n">
        <v>61</v>
      </c>
      <c r="Q29" s="57" t="n">
        <v>21</v>
      </c>
      <c r="R29" s="57" t="n">
        <v>21</v>
      </c>
      <c r="S29" s="107" t="n">
        <v>116448</v>
      </c>
      <c r="T29" s="107" t="n">
        <v>116448</v>
      </c>
      <c r="U29" s="108" t="n">
        <v>1</v>
      </c>
      <c r="V29" s="107" t="n">
        <v>5545.14285714286</v>
      </c>
      <c r="W29" s="108" t="n">
        <v>0.425438596491228</v>
      </c>
      <c r="X29" s="108" t="n">
        <v>1.01030927835052</v>
      </c>
      <c r="Y29" s="108" t="n">
        <v>0.429824561403509</v>
      </c>
      <c r="Z29" s="108" t="n">
        <v>0.622448979591837</v>
      </c>
      <c r="AA29" s="108" t="n">
        <v>0.924242424242424</v>
      </c>
      <c r="AB29" s="108" t="n">
        <v>0.344262295081967</v>
      </c>
      <c r="AC29" s="108" t="n">
        <v>0.0921052631578947</v>
      </c>
      <c r="AD29" s="108" t="n">
        <v>0.0921052631578947</v>
      </c>
      <c r="AE29" s="107" t="n">
        <v>128170.799386584</v>
      </c>
      <c r="AF29" s="109" t="n">
        <v>0.908537674394729</v>
      </c>
      <c r="AG29" s="57" t="n">
        <v>66</v>
      </c>
      <c r="AH29" s="57" t="n">
        <v>61</v>
      </c>
      <c r="AI29" s="57" t="n">
        <v>67</v>
      </c>
      <c r="AJ29" s="107" t="n">
        <v>14136.3692328577</v>
      </c>
      <c r="AK29" s="107" t="n">
        <v>11397.6570348396</v>
      </c>
      <c r="AL29" s="107" t="n">
        <v>10440.0311181805</v>
      </c>
      <c r="AM29" s="107" t="n">
        <v>2590.27012089378</v>
      </c>
      <c r="AN29" s="107" t="n">
        <v>5634.96974608323</v>
      </c>
      <c r="AO29" s="57" t="n">
        <v>0</v>
      </c>
      <c r="AP29" s="57" t="n">
        <v>0</v>
      </c>
      <c r="AQ29" s="57" t="n">
        <v>0</v>
      </c>
      <c r="AR29" s="57" t="n">
        <v>0</v>
      </c>
      <c r="AS29" s="57" t="n">
        <v>0</v>
      </c>
      <c r="AT29" s="57" t="n">
        <v>0</v>
      </c>
      <c r="AU29" s="57" t="n">
        <v>0</v>
      </c>
      <c r="AV29" s="57" t="n">
        <v>0</v>
      </c>
      <c r="AW29" s="107" t="n">
        <v>0</v>
      </c>
      <c r="AX29" s="107" t="n">
        <v>0</v>
      </c>
      <c r="AY29" s="108" t="n"/>
      <c r="AZ29" s="107" t="n"/>
      <c r="BA29" s="108" t="n"/>
      <c r="BB29" s="108" t="n"/>
      <c r="BC29" s="108" t="n"/>
      <c r="BD29" s="108" t="n"/>
      <c r="BE29" s="108" t="n"/>
      <c r="BF29" s="108" t="n"/>
      <c r="BG29" s="108" t="n"/>
      <c r="BH29" s="108" t="n"/>
      <c r="BI29" s="57" t="n">
        <v>0</v>
      </c>
      <c r="BJ29" s="57" t="n">
        <v>0</v>
      </c>
      <c r="BK29" s="57" t="n">
        <v>0</v>
      </c>
      <c r="BL29" s="107" t="n">
        <v>0</v>
      </c>
      <c r="BM29" s="107" t="n">
        <v>0</v>
      </c>
      <c r="BN29" s="107" t="n">
        <v>0</v>
      </c>
      <c r="BO29" s="107" t="n">
        <v>0</v>
      </c>
      <c r="BP29" s="107" t="n">
        <v>0</v>
      </c>
      <c r="BQ29" s="107" t="n">
        <v>116448</v>
      </c>
      <c r="BR29" s="107" t="n">
        <v>116448</v>
      </c>
      <c r="BS29" s="108" t="n">
        <v>1</v>
      </c>
      <c r="BT29" s="107" t="n">
        <v>30062.9280199971</v>
      </c>
      <c r="BU29" s="107" t="n">
        <v>30062.9280199971</v>
      </c>
      <c r="BV29" s="107" t="n">
        <v>14136.3692328577</v>
      </c>
      <c r="BW29" s="107" t="n">
        <v>83971.5021337287</v>
      </c>
      <c r="BX29" s="107" t="n">
        <v>83971.5021337287</v>
      </c>
      <c r="BY29" s="107" t="n">
        <v>128170.799386584</v>
      </c>
      <c r="BZ29" s="109" t="n">
        <v>0.908537674394729</v>
      </c>
      <c r="CA29" s="109" t="n"/>
      <c r="CB29" s="107" t="n">
        <v>128170.799386584</v>
      </c>
      <c r="CC29" s="109" t="n">
        <v>0.908537674394729</v>
      </c>
      <c r="CD29" s="107" t="n">
        <v>131134.430153726</v>
      </c>
      <c r="CE29" s="109" t="n">
        <v>0.88800477390637</v>
      </c>
    </row>
    <row r="30" ht="16.5" customFormat="1" customHeight="1" s="39">
      <c r="A30" s="63" t="n"/>
      <c r="B30" s="67" t="n"/>
      <c r="C30" s="67" t="n"/>
      <c r="D30" s="67" t="n"/>
      <c r="E30" s="67" t="n"/>
      <c r="F30" s="67" t="n"/>
      <c r="G30" s="67" t="n"/>
      <c r="H30" s="67" t="n"/>
      <c r="I30" s="117" t="n">
        <v>54585.8676779787</v>
      </c>
      <c r="J30" s="117" t="n">
        <v>791.0995315649089</v>
      </c>
      <c r="K30" s="67" t="n">
        <v>69</v>
      </c>
      <c r="L30" s="67" t="n">
        <v>36</v>
      </c>
      <c r="M30" s="67" t="n">
        <v>37</v>
      </c>
      <c r="N30" s="67" t="n">
        <v>35</v>
      </c>
      <c r="O30" s="67" t="n">
        <v>23</v>
      </c>
      <c r="P30" s="67" t="n">
        <v>30</v>
      </c>
      <c r="Q30" s="67" t="n">
        <v>6</v>
      </c>
      <c r="R30" s="67" t="n">
        <v>10</v>
      </c>
      <c r="S30" s="117" t="n">
        <v>27428</v>
      </c>
      <c r="T30" s="117" t="n">
        <v>48671.2</v>
      </c>
      <c r="U30" s="121" t="n">
        <v>1</v>
      </c>
      <c r="V30" s="117" t="n">
        <v>4867.12</v>
      </c>
      <c r="W30" s="121" t="n">
        <v>0.521739130434783</v>
      </c>
      <c r="X30" s="121" t="n">
        <v>0.972222222222222</v>
      </c>
      <c r="Y30" s="121" t="n">
        <v>0.507246376811594</v>
      </c>
      <c r="Z30" s="121" t="n">
        <v>0.657142857142857</v>
      </c>
      <c r="AA30" s="121" t="n">
        <v>0.9090909090909089</v>
      </c>
      <c r="AB30" s="121" t="n">
        <v>0.260869565217391</v>
      </c>
      <c r="AC30" s="121" t="n">
        <v>0.0869565217391304</v>
      </c>
      <c r="AD30" s="121" t="n">
        <v>0.144927536231884</v>
      </c>
      <c r="AE30" s="117" t="n">
        <v>71470.8544736991</v>
      </c>
      <c r="AF30" s="122" t="n">
        <v>0.680993677190619</v>
      </c>
      <c r="AG30" s="67" t="n">
        <v>33</v>
      </c>
      <c r="AH30" s="67" t="n">
        <v>30</v>
      </c>
      <c r="AI30" s="67" t="n">
        <v>37</v>
      </c>
      <c r="AJ30" s="117" t="n">
        <v>4278.11174152274</v>
      </c>
      <c r="AK30" s="117" t="n">
        <v>4347.55989988726</v>
      </c>
      <c r="AL30" s="117" t="n">
        <v>4363.56865346924</v>
      </c>
      <c r="AM30" s="117" t="n">
        <v>783.897536586275</v>
      </c>
      <c r="AN30" s="67" t="n">
        <v>3111.84896425492</v>
      </c>
      <c r="AO30" s="67" t="n">
        <v>0</v>
      </c>
      <c r="AP30" s="67" t="n">
        <v>0</v>
      </c>
      <c r="AQ30" s="67" t="n">
        <v>0</v>
      </c>
      <c r="AR30" s="67" t="n">
        <v>0</v>
      </c>
      <c r="AS30" s="67" t="n">
        <v>0</v>
      </c>
      <c r="AT30" s="67" t="n">
        <v>0</v>
      </c>
      <c r="AU30" s="67" t="n">
        <v>0</v>
      </c>
      <c r="AV30" s="117" t="n">
        <v>0</v>
      </c>
      <c r="AW30" s="117" t="n">
        <v>0</v>
      </c>
      <c r="AX30" s="121" t="n">
        <v>0</v>
      </c>
      <c r="AY30" s="117" t="n"/>
      <c r="AZ30" s="121" t="n"/>
      <c r="BA30" s="121" t="n"/>
      <c r="BB30" s="121" t="n"/>
      <c r="BC30" s="121" t="n"/>
      <c r="BD30" s="121" t="n"/>
      <c r="BE30" s="121" t="n"/>
      <c r="BF30" s="121" t="n"/>
      <c r="BG30" s="121" t="n"/>
      <c r="BH30" s="67" t="n"/>
      <c r="BI30" s="67" t="n">
        <v>0</v>
      </c>
      <c r="BJ30" s="67" t="n">
        <v>0</v>
      </c>
      <c r="BK30" s="117" t="n">
        <v>0</v>
      </c>
      <c r="BL30" s="117" t="n">
        <v>0</v>
      </c>
      <c r="BM30" s="117" t="n">
        <v>0</v>
      </c>
      <c r="BN30" s="117" t="n">
        <v>0</v>
      </c>
      <c r="BO30" s="117" t="n">
        <v>0</v>
      </c>
      <c r="BP30" s="117" t="n">
        <v>0</v>
      </c>
      <c r="BQ30" s="117" t="n">
        <v>27428</v>
      </c>
      <c r="BR30" s="121" t="n">
        <v>48671.2</v>
      </c>
      <c r="BS30" s="117" t="n">
        <v>1</v>
      </c>
      <c r="BT30" s="117" t="n">
        <v>12606.8750541977</v>
      </c>
      <c r="BU30" s="117" t="n">
        <v>9743.79493400074</v>
      </c>
      <c r="BV30" s="117" t="n">
        <v>4278.11174152274</v>
      </c>
      <c r="BW30" s="117" t="n">
        <v>54585.8676779787</v>
      </c>
      <c r="BX30" s="117" t="n">
        <v>54585.8676779787</v>
      </c>
      <c r="BY30" s="122" t="n">
        <v>68607.7743535022</v>
      </c>
      <c r="BZ30" s="122" t="n">
        <v>0.399779766337806</v>
      </c>
      <c r="CA30" s="122" t="n"/>
      <c r="CB30" s="122" t="n">
        <v>71470.8544736991</v>
      </c>
      <c r="CC30" s="122" t="n">
        <v>0.680993677190619</v>
      </c>
      <c r="CD30" s="122" t="n">
        <v>72367.7427321764</v>
      </c>
      <c r="CE30" s="39" t="n">
        <v>0.672553794860312</v>
      </c>
    </row>
    <row r="31" ht="16.5" customFormat="1" customHeight="1" s="39">
      <c r="A31" s="63" t="n"/>
      <c r="B31" s="67" t="n"/>
      <c r="C31" s="67" t="n"/>
      <c r="D31" s="67" t="n"/>
      <c r="E31" s="67" t="n"/>
      <c r="F31" s="67" t="n"/>
      <c r="G31" s="67" t="n"/>
      <c r="H31" s="67" t="n"/>
      <c r="I31" s="117" t="n">
        <v>101407.794248105</v>
      </c>
      <c r="J31" s="117" t="n">
        <v>751.168846282259</v>
      </c>
      <c r="K31" s="67" t="n">
        <v>135</v>
      </c>
      <c r="L31" s="67" t="n">
        <v>57</v>
      </c>
      <c r="M31" s="67" t="n">
        <v>62</v>
      </c>
      <c r="N31" s="67" t="n">
        <v>59</v>
      </c>
      <c r="O31" s="67" t="n">
        <v>47</v>
      </c>
      <c r="P31" s="67" t="n">
        <v>54</v>
      </c>
      <c r="Q31" s="67" t="n">
        <v>25</v>
      </c>
      <c r="R31" s="67" t="n">
        <v>26</v>
      </c>
      <c r="S31" s="117" t="n">
        <v>120500</v>
      </c>
      <c r="T31" s="117" t="n">
        <v>124088</v>
      </c>
      <c r="U31" s="121" t="n">
        <v>1</v>
      </c>
      <c r="V31" s="117" t="n">
        <v>4772.61538461538</v>
      </c>
      <c r="W31" s="121" t="n">
        <v>0.422222222222222</v>
      </c>
      <c r="X31" s="121" t="n">
        <v>1.03508771929825</v>
      </c>
      <c r="Y31" s="121" t="n">
        <v>0.437037037037037</v>
      </c>
      <c r="Z31" s="121" t="n">
        <v>0.796610169491525</v>
      </c>
      <c r="AA31" s="121" t="n">
        <v>0.964285714285714</v>
      </c>
      <c r="AB31" s="121" t="n">
        <v>0.531914893617021</v>
      </c>
      <c r="AC31" s="121" t="n">
        <v>0.185185185185185</v>
      </c>
      <c r="AD31" s="121" t="n">
        <v>0.192592592592593</v>
      </c>
      <c r="AE31" s="117" t="n">
        <v>134515.743120339</v>
      </c>
      <c r="AF31" s="122" t="n">
        <v>0.922479385100592</v>
      </c>
      <c r="AG31" s="67" t="n">
        <v>56</v>
      </c>
      <c r="AH31" s="67" t="n">
        <v>54</v>
      </c>
      <c r="AI31" s="67" t="n">
        <v>57</v>
      </c>
      <c r="AJ31" s="117" t="n">
        <v>8370.2186247184</v>
      </c>
      <c r="AK31" s="117" t="n">
        <v>7285.10037278406</v>
      </c>
      <c r="AL31" s="117" t="n">
        <v>11124.9878176764</v>
      </c>
      <c r="AM31" s="117" t="n">
        <v>1533.71257158184</v>
      </c>
      <c r="AN31" s="67" t="n">
        <v>4793.9294854738</v>
      </c>
      <c r="AO31" s="67" t="n">
        <v>0</v>
      </c>
      <c r="AP31" s="67" t="n">
        <v>0</v>
      </c>
      <c r="AQ31" s="67" t="n">
        <v>0</v>
      </c>
      <c r="AR31" s="67" t="n">
        <v>0</v>
      </c>
      <c r="AS31" s="67" t="n">
        <v>0</v>
      </c>
      <c r="AT31" s="67" t="n">
        <v>0</v>
      </c>
      <c r="AU31" s="67" t="n">
        <v>0</v>
      </c>
      <c r="AV31" s="117" t="n">
        <v>0</v>
      </c>
      <c r="AW31" s="117" t="n">
        <v>0</v>
      </c>
      <c r="AX31" s="121" t="n">
        <v>0</v>
      </c>
      <c r="AY31" s="117" t="n"/>
      <c r="AZ31" s="121" t="n"/>
      <c r="BA31" s="121" t="n"/>
      <c r="BB31" s="121" t="n"/>
      <c r="BC31" s="121" t="n"/>
      <c r="BD31" s="121" t="n"/>
      <c r="BE31" s="121" t="n"/>
      <c r="BF31" s="121" t="n"/>
      <c r="BG31" s="121" t="n"/>
      <c r="BH31" s="67" t="n"/>
      <c r="BI31" s="67" t="n">
        <v>0</v>
      </c>
      <c r="BJ31" s="67" t="n">
        <v>0</v>
      </c>
      <c r="BK31" s="117" t="n">
        <v>0</v>
      </c>
      <c r="BL31" s="117" t="n">
        <v>0</v>
      </c>
      <c r="BM31" s="117" t="n">
        <v>0</v>
      </c>
      <c r="BN31" s="117" t="n">
        <v>0</v>
      </c>
      <c r="BO31" s="117" t="n">
        <v>0</v>
      </c>
      <c r="BP31" s="117" t="n">
        <v>0</v>
      </c>
      <c r="BQ31" s="117" t="n">
        <v>120500</v>
      </c>
      <c r="BR31" s="121" t="n">
        <v>124088</v>
      </c>
      <c r="BS31" s="117" t="n">
        <v>1</v>
      </c>
      <c r="BT31" s="117" t="n">
        <v>24737.7302475161</v>
      </c>
      <c r="BU31" s="117" t="n">
        <v>23239.8153529982</v>
      </c>
      <c r="BV31" s="117" t="n">
        <v>8370.2186247184</v>
      </c>
      <c r="BW31" s="117" t="n">
        <v>101407.794248105</v>
      </c>
      <c r="BX31" s="117" t="n">
        <v>101407.794248105</v>
      </c>
      <c r="BY31" s="122" t="n">
        <v>133017.828225822</v>
      </c>
      <c r="BZ31" s="122" t="n">
        <v>0.905893605445352</v>
      </c>
      <c r="CA31" s="122" t="n"/>
      <c r="CB31" s="122" t="n">
        <v>134515.743120339</v>
      </c>
      <c r="CC31" s="122" t="n">
        <v>0.922479385100592</v>
      </c>
      <c r="CD31" s="122" t="n">
        <v>136270.524495621</v>
      </c>
      <c r="CE31" s="71" t="n">
        <v>0.910600443194063</v>
      </c>
    </row>
    <row r="32" ht="16.5" customFormat="1" customHeight="1" s="39">
      <c r="A32" s="63" t="n"/>
      <c r="B32" s="67" t="n"/>
      <c r="C32" s="67" t="n"/>
      <c r="D32" s="67" t="n"/>
      <c r="E32" s="67" t="n"/>
      <c r="F32" s="67" t="n"/>
      <c r="G32" s="67" t="n"/>
      <c r="H32" s="67" t="n"/>
      <c r="I32" s="117" t="n">
        <v>67417.5012667026</v>
      </c>
      <c r="J32" s="117" t="n">
        <v>1105.2049387984</v>
      </c>
      <c r="K32" s="67" t="n">
        <v>61</v>
      </c>
      <c r="L32" s="67" t="n">
        <v>28</v>
      </c>
      <c r="M32" s="67" t="n">
        <v>31</v>
      </c>
      <c r="N32" s="67" t="n">
        <v>26</v>
      </c>
      <c r="O32" s="67" t="n">
        <v>16</v>
      </c>
      <c r="P32" s="67" t="n">
        <v>22</v>
      </c>
      <c r="Q32" s="67" t="n">
        <v>5</v>
      </c>
      <c r="R32" s="67" t="n">
        <v>5</v>
      </c>
      <c r="S32" s="117" t="n">
        <v>18140</v>
      </c>
      <c r="T32" s="117" t="n">
        <v>18140</v>
      </c>
      <c r="U32" s="121" t="n">
        <v>1</v>
      </c>
      <c r="V32" s="117" t="n">
        <v>3628</v>
      </c>
      <c r="W32" s="121" t="n">
        <v>0.459016393442623</v>
      </c>
      <c r="X32" s="121" t="n">
        <v>0.928571428571429</v>
      </c>
      <c r="Y32" s="121" t="n">
        <v>0.426229508196721</v>
      </c>
      <c r="Z32" s="121" t="n">
        <v>0.615384615384615</v>
      </c>
      <c r="AA32" s="121" t="n">
        <v>0.916666666666667</v>
      </c>
      <c r="AB32" s="121" t="n">
        <v>0.3125</v>
      </c>
      <c r="AC32" s="121" t="n">
        <v>0.08196721311475411</v>
      </c>
      <c r="AD32" s="121" t="n">
        <v>0.08196721311475411</v>
      </c>
      <c r="AE32" s="117" t="n">
        <v>79011.7735693085</v>
      </c>
      <c r="AF32" s="122" t="n">
        <v>0.229586037378186</v>
      </c>
      <c r="AG32" s="67" t="n">
        <v>24</v>
      </c>
      <c r="AH32" s="67" t="n">
        <v>22</v>
      </c>
      <c r="AI32" s="67" t="n">
        <v>22</v>
      </c>
      <c r="AJ32" s="117" t="n">
        <v>3782.09878598387</v>
      </c>
      <c r="AK32" s="117" t="n">
        <v>3642.55018639203</v>
      </c>
      <c r="AL32" s="117" t="n">
        <v>1626.32389121148</v>
      </c>
      <c r="AM32" s="117" t="n">
        <v>693.010865677721</v>
      </c>
      <c r="AN32" s="67" t="n">
        <v>1850.28857334076</v>
      </c>
      <c r="AO32" s="67" t="n">
        <v>0</v>
      </c>
      <c r="AP32" s="67" t="n">
        <v>0</v>
      </c>
      <c r="AQ32" s="67" t="n">
        <v>0</v>
      </c>
      <c r="AR32" s="67" t="n">
        <v>0</v>
      </c>
      <c r="AS32" s="67" t="n">
        <v>0</v>
      </c>
      <c r="AT32" s="67" t="n">
        <v>0</v>
      </c>
      <c r="AU32" s="67" t="n">
        <v>0</v>
      </c>
      <c r="AV32" s="117" t="n">
        <v>0</v>
      </c>
      <c r="AW32" s="117" t="n">
        <v>0</v>
      </c>
      <c r="AX32" s="121" t="n">
        <v>0</v>
      </c>
      <c r="AY32" s="117" t="n"/>
      <c r="AZ32" s="121" t="n"/>
      <c r="BA32" s="121" t="n"/>
      <c r="BB32" s="121" t="n"/>
      <c r="BC32" s="121" t="n"/>
      <c r="BD32" s="121" t="n"/>
      <c r="BE32" s="121" t="n"/>
      <c r="BF32" s="121" t="n"/>
      <c r="BG32" s="121" t="n"/>
      <c r="BH32" s="67" t="n"/>
      <c r="BI32" s="67" t="n">
        <v>0</v>
      </c>
      <c r="BJ32" s="67" t="n">
        <v>0</v>
      </c>
      <c r="BK32" s="117" t="n">
        <v>0</v>
      </c>
      <c r="BL32" s="117" t="n">
        <v>0</v>
      </c>
      <c r="BM32" s="117" t="n">
        <v>0</v>
      </c>
      <c r="BN32" s="117" t="n">
        <v>0</v>
      </c>
      <c r="BO32" s="117" t="n">
        <v>0</v>
      </c>
      <c r="BP32" s="117" t="n">
        <v>0</v>
      </c>
      <c r="BQ32" s="117" t="n">
        <v>18140</v>
      </c>
      <c r="BR32" s="121" t="n">
        <v>18140</v>
      </c>
      <c r="BS32" s="117" t="n">
        <v>1</v>
      </c>
      <c r="BT32" s="117" t="n">
        <v>7812.17351662199</v>
      </c>
      <c r="BU32" s="117" t="n">
        <v>6955.04450350871</v>
      </c>
      <c r="BV32" s="117" t="n">
        <v>3782.09878598387</v>
      </c>
      <c r="BW32" s="117" t="n">
        <v>67417.5012667026</v>
      </c>
      <c r="BX32" s="117" t="n">
        <v>67417.5012667026</v>
      </c>
      <c r="BY32" s="122" t="n">
        <v>78154.6445561952</v>
      </c>
      <c r="BZ32" s="122" t="n">
        <v>0.232103928090376</v>
      </c>
      <c r="CA32" s="122" t="n"/>
      <c r="CB32" s="122" t="n">
        <v>79011.7735693085</v>
      </c>
      <c r="CC32" s="122" t="n">
        <v>0.229586037378186</v>
      </c>
      <c r="CD32" s="122" t="n">
        <v>79804.6747833246</v>
      </c>
      <c r="CE32" s="39" t="n">
        <v>0.227304979930705</v>
      </c>
    </row>
    <row r="33" ht="16.5" customFormat="1" customHeight="1" s="39">
      <c r="A33" s="63" t="n"/>
      <c r="B33" s="67" t="n"/>
      <c r="C33" s="67" t="n"/>
      <c r="D33" s="67" t="n"/>
      <c r="E33" s="67" t="n"/>
      <c r="F33" s="67" t="n"/>
      <c r="G33" s="67" t="n"/>
      <c r="H33" s="67" t="n"/>
      <c r="I33" s="117" t="n">
        <v>124442.652881827</v>
      </c>
      <c r="J33" s="117" t="n">
        <v>719.3216929585381</v>
      </c>
      <c r="K33" s="67" t="n">
        <v>173</v>
      </c>
      <c r="L33" s="67" t="n">
        <v>72</v>
      </c>
      <c r="M33" s="67" t="n">
        <v>78</v>
      </c>
      <c r="N33" s="67" t="n">
        <v>75</v>
      </c>
      <c r="O33" s="67" t="n">
        <v>53</v>
      </c>
      <c r="P33" s="67" t="n">
        <v>71</v>
      </c>
      <c r="Q33" s="67" t="n">
        <v>13</v>
      </c>
      <c r="R33" s="67" t="n">
        <v>17</v>
      </c>
      <c r="S33" s="117" t="n">
        <v>76044</v>
      </c>
      <c r="T33" s="117" t="n">
        <v>90496</v>
      </c>
      <c r="U33" s="121" t="n">
        <v>1</v>
      </c>
      <c r="V33" s="117" t="n">
        <v>5323.29411764706</v>
      </c>
      <c r="W33" s="121" t="n">
        <v>0.416184971098266</v>
      </c>
      <c r="X33" s="121" t="n">
        <v>1.04166666666667</v>
      </c>
      <c r="Y33" s="121" t="n">
        <v>0.433526011560694</v>
      </c>
      <c r="Z33" s="121" t="n">
        <v>0.706666666666667</v>
      </c>
      <c r="AA33" s="121" t="n">
        <v>0.986111111111111</v>
      </c>
      <c r="AB33" s="121" t="n">
        <v>0.245283018867925</v>
      </c>
      <c r="AC33" s="121" t="n">
        <v>0.07514450867052019</v>
      </c>
      <c r="AD33" s="121" t="n">
        <v>0.0982658959537572</v>
      </c>
      <c r="AE33" s="117" t="n">
        <v>160636.511544033</v>
      </c>
      <c r="AF33" s="122" t="n">
        <v>0.563358847438577</v>
      </c>
      <c r="AG33" s="67" t="n">
        <v>72</v>
      </c>
      <c r="AH33" s="67" t="n">
        <v>71</v>
      </c>
      <c r="AI33" s="67" t="n">
        <v>74</v>
      </c>
      <c r="AJ33" s="117" t="n">
        <v>10726.280163528</v>
      </c>
      <c r="AK33" s="117" t="n">
        <v>9165.12627543802</v>
      </c>
      <c r="AL33" s="117" t="n">
        <v>8113.33003633262</v>
      </c>
      <c r="AM33" s="117" t="n">
        <v>1965.42425839747</v>
      </c>
      <c r="AN33" s="67" t="n">
        <v>6223.69792850984</v>
      </c>
      <c r="AO33" s="67" t="n">
        <v>0</v>
      </c>
      <c r="AP33" s="67" t="n">
        <v>0</v>
      </c>
      <c r="AQ33" s="67" t="n">
        <v>0</v>
      </c>
      <c r="AR33" s="67" t="n">
        <v>0</v>
      </c>
      <c r="AS33" s="67" t="n">
        <v>0</v>
      </c>
      <c r="AT33" s="67" t="n">
        <v>0</v>
      </c>
      <c r="AU33" s="67" t="n">
        <v>0</v>
      </c>
      <c r="AV33" s="117" t="n">
        <v>0</v>
      </c>
      <c r="AW33" s="117" t="n">
        <v>0</v>
      </c>
      <c r="AX33" s="121" t="n">
        <v>0</v>
      </c>
      <c r="AY33" s="117" t="n"/>
      <c r="AZ33" s="121" t="n"/>
      <c r="BA33" s="121" t="n"/>
      <c r="BB33" s="121" t="n"/>
      <c r="BC33" s="121" t="n"/>
      <c r="BD33" s="121" t="n"/>
      <c r="BE33" s="121" t="n"/>
      <c r="BF33" s="121" t="n"/>
      <c r="BG33" s="121" t="n"/>
      <c r="BH33" s="67" t="n"/>
      <c r="BI33" s="67" t="n">
        <v>0</v>
      </c>
      <c r="BJ33" s="67" t="n">
        <v>0</v>
      </c>
      <c r="BK33" s="117" t="n">
        <v>0</v>
      </c>
      <c r="BL33" s="117" t="n">
        <v>0</v>
      </c>
      <c r="BM33" s="117" t="n">
        <v>0</v>
      </c>
      <c r="BN33" s="117" t="n">
        <v>0</v>
      </c>
      <c r="BO33" s="117" t="n">
        <v>0</v>
      </c>
      <c r="BP33" s="117" t="n">
        <v>0</v>
      </c>
      <c r="BQ33" s="117" t="n">
        <v>76044</v>
      </c>
      <c r="BR33" s="121" t="n">
        <v>90496</v>
      </c>
      <c r="BS33" s="117" t="n">
        <v>1</v>
      </c>
      <c r="BT33" s="117" t="n">
        <v>25467.5784986779</v>
      </c>
      <c r="BU33" s="117" t="n">
        <v>21868.9124181511</v>
      </c>
      <c r="BV33" s="117" t="n">
        <v>10726.280163528</v>
      </c>
      <c r="BW33" s="117" t="n">
        <v>124442.652881827</v>
      </c>
      <c r="BX33" s="117" t="n">
        <v>124442.652881827</v>
      </c>
      <c r="BY33" s="122" t="n">
        <v>157037.845463506</v>
      </c>
      <c r="BZ33" s="122" t="n">
        <v>0.484239959963484</v>
      </c>
      <c r="CA33" s="122" t="n"/>
      <c r="CB33" s="122" t="n">
        <v>160636.511544033</v>
      </c>
      <c r="CC33" s="122" t="n">
        <v>0.563358847438577</v>
      </c>
      <c r="CD33" s="122" t="n">
        <v>162885.231380505</v>
      </c>
      <c r="CE33" s="39" t="n">
        <v>0.555581369980674</v>
      </c>
    </row>
    <row r="34"/>
    <row r="35" ht="30" customFormat="1" customHeight="1" s="40">
      <c r="A35" s="40" t="inlineStr">
        <is>
          <t>5月-汇总</t>
        </is>
      </c>
      <c r="B35" s="57" t="n"/>
      <c r="C35" s="57" t="n"/>
      <c r="D35" s="57" t="n"/>
      <c r="E35" s="57" t="n"/>
      <c r="F35" s="57" t="n"/>
      <c r="G35" s="57" t="n"/>
      <c r="H35" s="57" t="n"/>
      <c r="I35" s="107">
        <f>SUM(I27:I33)</f>
        <v/>
      </c>
      <c r="J35" s="107">
        <f>I35/K35</f>
        <v/>
      </c>
      <c r="K35" s="57">
        <f>SUM(K27:K33)</f>
        <v/>
      </c>
      <c r="L35" s="57">
        <f>SUM(L27:L33)</f>
        <v/>
      </c>
      <c r="M35" s="57">
        <f>SUM(M27:M33)</f>
        <v/>
      </c>
      <c r="N35" s="57">
        <f>SUM(N27:N33)</f>
        <v/>
      </c>
      <c r="O35" s="57">
        <f>SUM(O27:O33)</f>
        <v/>
      </c>
      <c r="P35" s="57">
        <f>SUM(P27:P33)</f>
        <v/>
      </c>
      <c r="Q35" s="57">
        <f>SUM(Q27:Q33)</f>
        <v/>
      </c>
      <c r="R35" s="57">
        <f>SUM(R27:R33)</f>
        <v/>
      </c>
      <c r="S35" s="107">
        <f>SUM(S27:S33)</f>
        <v/>
      </c>
      <c r="T35" s="107">
        <f>SUM(T27:T33)</f>
        <v/>
      </c>
      <c r="U35" s="57" t="n"/>
      <c r="V35" s="107">
        <f>T35/R35</f>
        <v/>
      </c>
      <c r="W35" s="61">
        <f>L35/K35</f>
        <v/>
      </c>
      <c r="X35" s="61">
        <f>N35/L35</f>
        <v/>
      </c>
      <c r="Y35" s="61">
        <f>N35/K35</f>
        <v/>
      </c>
      <c r="Z35" s="61">
        <f>O35/N35</f>
        <v/>
      </c>
      <c r="AA35" s="61">
        <f>AVERAGE(AA27:AA33)</f>
        <v/>
      </c>
      <c r="AB35" s="61">
        <f>Q35/O35</f>
        <v/>
      </c>
      <c r="AC35" s="61">
        <f>Q35/K35</f>
        <v/>
      </c>
      <c r="AD35" s="61">
        <f>R35/K35</f>
        <v/>
      </c>
      <c r="AE35" s="107">
        <f>SUM(AE27:AE33)</f>
        <v/>
      </c>
      <c r="AF35" s="109">
        <f>T35/AE35</f>
        <v/>
      </c>
      <c r="AG35" s="57">
        <f>SUM(AG27:AG33)</f>
        <v/>
      </c>
      <c r="AH35" s="57">
        <f>SUM(AH27:AH33)</f>
        <v/>
      </c>
      <c r="AI35" s="57">
        <f>SUM(AI27:AI33)</f>
        <v/>
      </c>
      <c r="AJ35" s="107">
        <f>SUM(AJ27:AJ33)</f>
        <v/>
      </c>
      <c r="AK35" s="107">
        <f>SUM(AK27:AK33)</f>
        <v/>
      </c>
      <c r="AL35" s="107">
        <f>SUM(AL27:AL33)</f>
        <v/>
      </c>
      <c r="AM35" s="107">
        <f>SUM(AM27:AM33)</f>
        <v/>
      </c>
      <c r="AN35" s="107">
        <f>SUM(AN27:AN33)</f>
        <v/>
      </c>
      <c r="AO35" s="57">
        <f>SUM(AO27:AO33)</f>
        <v/>
      </c>
      <c r="AP35" s="57">
        <f>SUM(AP27:AP33)</f>
        <v/>
      </c>
      <c r="AQ35" s="57" t="n"/>
      <c r="AR35" s="57">
        <f>SUM(AR27:AR33)</f>
        <v/>
      </c>
      <c r="AS35" s="57">
        <f>SUM(AS27:AS33)</f>
        <v/>
      </c>
      <c r="AT35" s="57">
        <f>SUM(AT27:AT33)</f>
        <v/>
      </c>
      <c r="AU35" s="57">
        <f>SUM(AU27:AU33)</f>
        <v/>
      </c>
      <c r="AV35" s="57">
        <f>SUM(AV27:AV33)</f>
        <v/>
      </c>
      <c r="AW35" s="107">
        <f>SUM(AW27:AW33)</f>
        <v/>
      </c>
      <c r="AX35" s="107">
        <f>SUM(AX27:AX33)</f>
        <v/>
      </c>
      <c r="AY35" s="107" t="n"/>
      <c r="AZ35" s="107">
        <f>AX35/AV35</f>
        <v/>
      </c>
      <c r="BA35" s="62">
        <f>AP35/AO35</f>
        <v/>
      </c>
      <c r="BB35" s="62">
        <f>AR35/AP35</f>
        <v/>
      </c>
      <c r="BC35" s="62">
        <f>AR35/AO35</f>
        <v/>
      </c>
      <c r="BD35" s="62">
        <f>AS35/AR35</f>
        <v/>
      </c>
      <c r="BE35" s="62">
        <f>AVERAGE(BE27:BE33)</f>
        <v/>
      </c>
      <c r="BF35" s="62">
        <f>AU35/AS35</f>
        <v/>
      </c>
      <c r="BG35" s="62">
        <f>AU35/AO35</f>
        <v/>
      </c>
      <c r="BH35" s="62">
        <f>AV35/AO35</f>
        <v/>
      </c>
      <c r="BI35" s="57">
        <f>SUM(BI27:BI33)</f>
        <v/>
      </c>
      <c r="BJ35" s="57">
        <f>SUM(BJ27:BJ33)</f>
        <v/>
      </c>
      <c r="BK35" s="57">
        <f>SUM(BK27:BK33)</f>
        <v/>
      </c>
      <c r="BL35" s="107">
        <f>SUM(BL27:BL33)</f>
        <v/>
      </c>
      <c r="BM35" s="107">
        <f>SUM(BM27:BM33)</f>
        <v/>
      </c>
      <c r="BN35" s="107">
        <f>SUM(BN27:BN33)</f>
        <v/>
      </c>
      <c r="BO35" s="57">
        <f>SUM(BO27:BO33)</f>
        <v/>
      </c>
      <c r="BP35" s="57">
        <f>SUM(BP27:BP33)</f>
        <v/>
      </c>
      <c r="BQ35" s="107">
        <f>SUM(BQ27:BQ33)</f>
        <v/>
      </c>
      <c r="BR35" s="107">
        <f>SUM(BR27:BR33)</f>
        <v/>
      </c>
      <c r="BS35" s="107" t="n"/>
      <c r="BT35" s="107">
        <f>SUM(BT27:BT33)</f>
        <v/>
      </c>
      <c r="BU35" s="107">
        <f>SUM(BU27:BU33)</f>
        <v/>
      </c>
      <c r="BV35" s="107">
        <f>SUM(BV27:BV33)</f>
        <v/>
      </c>
      <c r="BW35" s="107">
        <f>SUM(BW27:BW33)</f>
        <v/>
      </c>
      <c r="BX35" s="107">
        <f>SUM(BX27:BX33)</f>
        <v/>
      </c>
      <c r="BY35" s="107">
        <f>SUM(BY27:BY33)</f>
        <v/>
      </c>
      <c r="BZ35" s="109">
        <f>BQ35/BY35</f>
        <v/>
      </c>
      <c r="CA35" s="109" t="n"/>
      <c r="CB35" s="107">
        <f>SUM(CB27:CB33)</f>
        <v/>
      </c>
      <c r="CC35" s="109">
        <f>BR35/CB35</f>
        <v/>
      </c>
      <c r="CD35" s="107">
        <f>SUM(CD27:CD33)</f>
        <v/>
      </c>
      <c r="CE35" s="109">
        <f>BR35/CD35</f>
        <v/>
      </c>
    </row>
    <row r="39" ht="28" customFormat="1" customHeight="1" s="41">
      <c r="B39" s="42" t="n"/>
      <c r="C39" s="43" t="n"/>
      <c r="D39" s="43" t="n"/>
      <c r="E39" s="43" t="n"/>
      <c r="F39" s="43" t="n"/>
      <c r="G39" s="44" t="n"/>
      <c r="H39" s="43" t="n"/>
      <c r="I39" s="103" t="inlineStr">
        <is>
          <t>主投</t>
        </is>
      </c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5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49" t="inlineStr">
        <is>
          <t>辅投</t>
        </is>
      </c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74" t="n"/>
      <c r="BJ39" s="74" t="n"/>
      <c r="BK39" s="74" t="n"/>
      <c r="BL39" s="74" t="n"/>
      <c r="BM39" s="74" t="n"/>
      <c r="BN39" s="74" t="n"/>
      <c r="BO39" s="74" t="n"/>
      <c r="BP39" s="75" t="n"/>
      <c r="BQ39" s="106" t="inlineStr">
        <is>
          <t>汇总</t>
        </is>
      </c>
      <c r="BR39" s="104" t="n"/>
      <c r="BS39" s="104" t="n"/>
      <c r="BT39" s="104" t="n"/>
      <c r="BU39" s="104" t="n"/>
      <c r="BV39" s="104" t="n"/>
      <c r="BW39" s="104" t="n"/>
      <c r="BX39" s="104" t="n"/>
      <c r="BY39" s="104" t="n"/>
      <c r="BZ39" s="104" t="n"/>
      <c r="CA39" s="104" t="n"/>
      <c r="CB39" s="104" t="n"/>
      <c r="CC39" s="104" t="n"/>
      <c r="CD39" s="104" t="n"/>
      <c r="CE39" s="105" t="n"/>
    </row>
    <row r="40" ht="54.75" customFormat="1" customHeight="1" s="89">
      <c r="B40" s="91" t="inlineStr">
        <is>
          <t>渠道组</t>
        </is>
      </c>
      <c r="C40" s="91" t="inlineStr">
        <is>
          <t>供应商</t>
        </is>
      </c>
      <c r="D40" s="91" t="inlineStr">
        <is>
          <t>渠道名称</t>
        </is>
      </c>
      <c r="E40" s="91" t="inlineStr">
        <is>
          <t>主投</t>
        </is>
      </c>
      <c r="F40" s="91" t="inlineStr">
        <is>
          <t>辅投</t>
        </is>
      </c>
      <c r="G40" s="91" t="inlineStr">
        <is>
          <t>结算方式</t>
        </is>
      </c>
      <c r="H40" s="91" t="inlineStr">
        <is>
          <t>滚动消耗</t>
        </is>
      </c>
      <c r="I40" s="91" t="inlineStr">
        <is>
          <t>滚动消耗(不含赠课成本)</t>
        </is>
      </c>
      <c r="J40" s="91" t="inlineStr">
        <is>
          <t>单例子成本</t>
        </is>
      </c>
      <c r="K40" s="91" t="inlineStr">
        <is>
          <t>例子数</t>
        </is>
      </c>
      <c r="L40" s="91" t="inlineStr">
        <is>
          <t>分发数</t>
        </is>
      </c>
      <c r="M40" s="91" t="inlineStr">
        <is>
          <t>剔除毛例子
分发数</t>
        </is>
      </c>
      <c r="N40" s="91" t="inlineStr">
        <is>
          <t>约课数</t>
        </is>
      </c>
      <c r="O40" s="91" t="inlineStr">
        <is>
          <t>到课数</t>
        </is>
      </c>
      <c r="P40" s="91" t="inlineStr">
        <is>
          <t>滚动到课数</t>
        </is>
      </c>
      <c r="Q40" s="91" t="inlineStr">
        <is>
          <t>当月成交数</t>
        </is>
      </c>
      <c r="R40" s="91" t="inlineStr">
        <is>
          <t>滚动成交数</t>
        </is>
      </c>
      <c r="S40" s="91" t="inlineStr">
        <is>
          <t>当月GMV</t>
        </is>
      </c>
      <c r="T40" s="91" t="inlineStr">
        <is>
          <t>滚动GMV</t>
        </is>
      </c>
      <c r="U40" s="91" t="inlineStr">
        <is>
          <t>海外GMV占比</t>
        </is>
      </c>
      <c r="V40" s="91" t="inlineStr">
        <is>
          <t>滚动ASP</t>
        </is>
      </c>
      <c r="W40" s="91" t="inlineStr">
        <is>
          <t>例子分发率</t>
        </is>
      </c>
      <c r="X40" s="91" t="inlineStr">
        <is>
          <t>分发约课率</t>
        </is>
      </c>
      <c r="Y40" s="91" t="inlineStr">
        <is>
          <t>例子约课率</t>
        </is>
      </c>
      <c r="Z40" s="91" t="inlineStr">
        <is>
          <t>约课到课率</t>
        </is>
      </c>
      <c r="AA40" s="91" t="inlineStr">
        <is>
          <t>滚动应到课率</t>
        </is>
      </c>
      <c r="AB40" s="91" t="inlineStr">
        <is>
          <t>到课转化率</t>
        </is>
      </c>
      <c r="AC40" s="91" t="inlineStr">
        <is>
          <t>注册转化率</t>
        </is>
      </c>
      <c r="AD40" s="91" t="inlineStr">
        <is>
          <t>滚动转化率</t>
        </is>
      </c>
      <c r="AE40" s="91" t="inlineStr">
        <is>
          <t>滚动ROI2总成本</t>
        </is>
      </c>
      <c r="AF40" s="91" t="inlineStr">
        <is>
          <t>滚动ROI2</t>
        </is>
      </c>
      <c r="AG40" s="91" t="inlineStr">
        <is>
          <t>滚动应到课人数</t>
        </is>
      </c>
      <c r="AH40" s="91" t="inlineStr">
        <is>
          <t>滚动到课人数</t>
        </is>
      </c>
      <c r="AI40" s="91" t="inlineStr">
        <is>
          <t>滚动到课人次</t>
        </is>
      </c>
      <c r="AJ40" s="91" t="inlineStr">
        <is>
          <t>运营成本</t>
        </is>
      </c>
      <c r="AK40" s="91" t="inlineStr">
        <is>
          <t>销售固定成本</t>
        </is>
      </c>
      <c r="AL40" s="91" t="inlineStr">
        <is>
          <t>销售变动成本</t>
        </is>
      </c>
      <c r="AM40" s="91" t="inlineStr">
        <is>
          <t>TMK费用</t>
        </is>
      </c>
      <c r="AN40" s="91" t="inlineStr">
        <is>
          <t>DEMO费用</t>
        </is>
      </c>
      <c r="AO40" s="91" t="inlineStr">
        <is>
          <t>例子数</t>
        </is>
      </c>
      <c r="AP40" s="91" t="inlineStr">
        <is>
          <t>分发数</t>
        </is>
      </c>
      <c r="AQ40" s="91" t="inlineStr">
        <is>
          <t>剔除毛例子分发数</t>
        </is>
      </c>
      <c r="AR40" s="91" t="inlineStr">
        <is>
          <t>约课数</t>
        </is>
      </c>
      <c r="AS40" s="91" t="inlineStr">
        <is>
          <t>到课数</t>
        </is>
      </c>
      <c r="AT40" s="91" t="inlineStr">
        <is>
          <t>滚动到课数</t>
        </is>
      </c>
      <c r="AU40" s="91" t="inlineStr">
        <is>
          <t>当月成交</t>
        </is>
      </c>
      <c r="AV40" s="91" t="inlineStr">
        <is>
          <t>滚动成交数</t>
        </is>
      </c>
      <c r="AW40" s="91" t="inlineStr">
        <is>
          <t>当月GMV</t>
        </is>
      </c>
      <c r="AX40" s="91" t="inlineStr">
        <is>
          <t>滚动GMV</t>
        </is>
      </c>
      <c r="AY40" s="91" t="inlineStr">
        <is>
          <t>海外GMV占比</t>
        </is>
      </c>
      <c r="AZ40" s="91" t="inlineStr">
        <is>
          <t>滚动ASP</t>
        </is>
      </c>
      <c r="BA40" s="91" t="inlineStr">
        <is>
          <t>例子分发率</t>
        </is>
      </c>
      <c r="BB40" s="91" t="inlineStr">
        <is>
          <t>分发约课率</t>
        </is>
      </c>
      <c r="BC40" s="91" t="inlineStr">
        <is>
          <t>例子约课率</t>
        </is>
      </c>
      <c r="BD40" s="91" t="inlineStr">
        <is>
          <t>约课到课率</t>
        </is>
      </c>
      <c r="BE40" s="91" t="inlineStr">
        <is>
          <t>滚动应到课率</t>
        </is>
      </c>
      <c r="BF40" s="91" t="inlineStr">
        <is>
          <t>到课转化率</t>
        </is>
      </c>
      <c r="BG40" s="91" t="inlineStr">
        <is>
          <t>注册转化率</t>
        </is>
      </c>
      <c r="BH40" s="91" t="inlineStr">
        <is>
          <t>滚动转化率</t>
        </is>
      </c>
      <c r="BI40" s="91" t="inlineStr">
        <is>
          <t>滚动应到课人数</t>
        </is>
      </c>
      <c r="BJ40" s="91" t="inlineStr">
        <is>
          <t>滚动到课人数</t>
        </is>
      </c>
      <c r="BK40" s="91" t="inlineStr">
        <is>
          <t>滚动到课人次</t>
        </is>
      </c>
      <c r="BL40" s="91" t="inlineStr">
        <is>
          <t>运营成本</t>
        </is>
      </c>
      <c r="BM40" s="91" t="inlineStr">
        <is>
          <t>销售固定成本</t>
        </is>
      </c>
      <c r="BN40" s="91" t="inlineStr">
        <is>
          <t>销售变动成本</t>
        </is>
      </c>
      <c r="BO40" s="91" t="inlineStr">
        <is>
          <t>TMK费用</t>
        </is>
      </c>
      <c r="BP40" s="91" t="inlineStr">
        <is>
          <t>DEMO费用</t>
        </is>
      </c>
      <c r="BQ40" s="91" t="inlineStr">
        <is>
          <t>当月GMV</t>
        </is>
      </c>
      <c r="BR40" s="91" t="inlineStr">
        <is>
          <t>滚动GMV</t>
        </is>
      </c>
      <c r="BS40" s="91" t="inlineStr">
        <is>
          <t>海外GMV占比</t>
        </is>
      </c>
      <c r="BT40" s="91" t="inlineStr">
        <is>
          <t>滚动其他成本</t>
        </is>
      </c>
      <c r="BU40" s="91" t="inlineStr">
        <is>
          <t>同源其他成本</t>
        </is>
      </c>
      <c r="BV40" s="91" t="inlineStr">
        <is>
          <t>运营成本</t>
        </is>
      </c>
      <c r="BW40" s="91" t="inlineStr">
        <is>
          <t>滚动消耗</t>
        </is>
      </c>
      <c r="BX40" s="91" t="inlineStr">
        <is>
          <t>同源消耗</t>
        </is>
      </c>
      <c r="BY40" s="91" t="inlineStr">
        <is>
          <t>当月ROI2总成本</t>
        </is>
      </c>
      <c r="BZ40" s="91" t="inlineStr">
        <is>
          <t>当月ROI2</t>
        </is>
      </c>
      <c r="CA40" s="91" t="inlineStr">
        <is>
          <t>滚动赠课成本</t>
        </is>
      </c>
      <c r="CB40" s="91" t="inlineStr">
        <is>
          <t>滚动ROI2总成本</t>
        </is>
      </c>
      <c r="CC40" s="91" t="inlineStr">
        <is>
          <t>滚动ROI2</t>
        </is>
      </c>
      <c r="CD40" s="91" t="inlineStr">
        <is>
          <t>O-ROI总成本</t>
        </is>
      </c>
      <c r="CE40" s="91" t="inlineStr">
        <is>
          <t>O-ROI</t>
        </is>
      </c>
      <c r="CF40" s="89" t="inlineStr">
        <is>
          <t xml:space="preserve">   </t>
        </is>
      </c>
    </row>
    <row r="41" ht="16.5" customFormat="1" customHeight="1" s="39">
      <c r="A41" s="63" t="n"/>
      <c r="B41" s="57" t="n"/>
      <c r="C41" s="57" t="inlineStr">
        <is>
          <t>Bob林盛斌</t>
        </is>
      </c>
      <c r="D41" s="57" t="inlineStr">
        <is>
          <t>总计</t>
        </is>
      </c>
      <c r="E41" s="57" t="inlineStr">
        <is>
          <t>-</t>
        </is>
      </c>
      <c r="F41" s="57" t="inlineStr">
        <is>
          <t>-</t>
        </is>
      </c>
      <c r="G41" s="57" t="inlineStr">
        <is>
          <t>-</t>
        </is>
      </c>
      <c r="H41" s="57" t="n">
        <v>105682.872822659</v>
      </c>
      <c r="I41" s="107" t="n">
        <v>100124.37988081</v>
      </c>
      <c r="J41" s="107" t="n">
        <v>974.874285862572</v>
      </c>
      <c r="K41" s="57" t="n">
        <v>108</v>
      </c>
      <c r="L41" s="57" t="n">
        <v>66</v>
      </c>
      <c r="M41" s="57" t="n">
        <v>70</v>
      </c>
      <c r="N41" s="57" t="n">
        <v>69</v>
      </c>
      <c r="O41" s="57" t="n">
        <v>54</v>
      </c>
      <c r="P41" s="57" t="n">
        <v>63</v>
      </c>
      <c r="Q41" s="57" t="n">
        <v>23</v>
      </c>
      <c r="R41" s="57" t="n">
        <v>29</v>
      </c>
      <c r="S41" s="107" t="n">
        <v>124424</v>
      </c>
      <c r="T41" s="107" t="n">
        <v>155552</v>
      </c>
      <c r="U41" s="108" t="n">
        <v>1</v>
      </c>
      <c r="V41" s="107" t="n">
        <v>5363.86206896552</v>
      </c>
      <c r="W41" s="108" t="n">
        <v>0.611111111111111</v>
      </c>
      <c r="X41" s="108" t="n">
        <v>1.04545454545455</v>
      </c>
      <c r="Y41" s="108" t="n">
        <v>0.638888888888889</v>
      </c>
      <c r="Z41" s="108" t="n">
        <v>0.7826086956521739</v>
      </c>
      <c r="AA41" s="108" t="n">
        <v>0.926470588235294</v>
      </c>
      <c r="AB41" s="108" t="n">
        <v>0.425925925925926</v>
      </c>
      <c r="AC41" s="108" t="n">
        <v>0.212962962962963</v>
      </c>
      <c r="AD41" s="108" t="n">
        <v>0.268518518518519</v>
      </c>
      <c r="AE41" s="107" t="n">
        <v>141650.125959526</v>
      </c>
      <c r="AF41" s="109" t="n">
        <v>1.0981423344759</v>
      </c>
      <c r="AG41" s="57" t="n">
        <v>68</v>
      </c>
      <c r="AH41" s="57" t="n">
        <v>63</v>
      </c>
      <c r="AI41" s="57" t="n">
        <v>68</v>
      </c>
      <c r="AJ41" s="107" t="n">
        <v>6736.45026705022</v>
      </c>
      <c r="AK41" s="107" t="n">
        <v>7866.98125095781</v>
      </c>
      <c r="AL41" s="107" t="n">
        <v>15015.9458019688</v>
      </c>
      <c r="AM41" s="107" t="n">
        <v>872.199833180292</v>
      </c>
      <c r="AN41" s="107" t="n">
        <v>5872.12593321159</v>
      </c>
      <c r="AO41" s="57" t="n">
        <v>72</v>
      </c>
      <c r="AP41" s="57" t="n">
        <v>32</v>
      </c>
      <c r="AQ41" s="57" t="n">
        <v>32</v>
      </c>
      <c r="AR41" s="57" t="n">
        <v>32</v>
      </c>
      <c r="AS41" s="57" t="n">
        <v>24</v>
      </c>
      <c r="AT41" s="57" t="n">
        <v>24</v>
      </c>
      <c r="AU41" s="57" t="n">
        <v>4</v>
      </c>
      <c r="AV41" s="57" t="n">
        <v>4</v>
      </c>
      <c r="AW41" s="107" t="n">
        <v>13404.4</v>
      </c>
      <c r="AX41" s="107" t="n">
        <v>13404.4</v>
      </c>
      <c r="AY41" s="108" t="n">
        <v>1</v>
      </c>
      <c r="AZ41" s="107" t="n">
        <v>3351.1</v>
      </c>
      <c r="BA41" s="108" t="n">
        <v>0.444444444444444</v>
      </c>
      <c r="BB41" s="108" t="n">
        <v>1</v>
      </c>
      <c r="BC41" s="108" t="n">
        <v>0.444444444444444</v>
      </c>
      <c r="BD41" s="108" t="n">
        <v>0.75</v>
      </c>
      <c r="BE41" s="108" t="n">
        <v>0.75</v>
      </c>
      <c r="BF41" s="108" t="n">
        <v>0.166666666666667</v>
      </c>
      <c r="BG41" s="108" t="n">
        <v>0.0555555555555556</v>
      </c>
      <c r="BH41" s="108" t="n">
        <v>0.0555555555555556</v>
      </c>
      <c r="BI41" s="57" t="n">
        <v>32</v>
      </c>
      <c r="BJ41" s="57" t="n">
        <v>24</v>
      </c>
      <c r="BK41" s="57" t="n">
        <v>28</v>
      </c>
      <c r="BL41" s="107" t="n">
        <v>4030.45175003871</v>
      </c>
      <c r="BM41" s="107" t="n">
        <v>2878.62154436572</v>
      </c>
      <c r="BN41" s="107" t="n">
        <v>1393.11173321358</v>
      </c>
      <c r="BO41" s="107" t="n">
        <v>581.466555453528</v>
      </c>
      <c r="BP41" s="107" t="n">
        <v>2210.50868118792</v>
      </c>
      <c r="BQ41" s="107" t="n">
        <v>137828.4</v>
      </c>
      <c r="BR41" s="107" t="n">
        <v>168956.4</v>
      </c>
      <c r="BS41" s="108" t="n">
        <v>1</v>
      </c>
      <c r="BT41" s="107" t="n">
        <v>36690.9613335392</v>
      </c>
      <c r="BU41" s="107" t="n">
        <v>32372.9834701771</v>
      </c>
      <c r="BV41" s="107" t="n">
        <v>10766.9020170889</v>
      </c>
      <c r="BW41" s="107" t="n">
        <v>105682.872822659</v>
      </c>
      <c r="BX41" s="107" t="n">
        <v>104614.86392769</v>
      </c>
      <c r="BY41" s="107" t="n">
        <v>147754.749414956</v>
      </c>
      <c r="BZ41" s="109" t="n">
        <v>0.932818745561411</v>
      </c>
      <c r="CA41" s="109" t="n">
        <v>5558.49294184865</v>
      </c>
      <c r="CB41" s="107" t="n">
        <v>153140.736173287</v>
      </c>
      <c r="CC41" s="109" t="n">
        <v>1.10327535456547</v>
      </c>
      <c r="CD41" s="107" t="n">
        <v>155873.834156198</v>
      </c>
      <c r="CE41" s="109" t="n">
        <v>1.08393048079315</v>
      </c>
    </row>
    <row r="42" ht="16.5" customFormat="1" customHeight="1" s="39">
      <c r="A42" s="63" t="n"/>
      <c r="B42" s="57" t="n"/>
      <c r="C42" s="57" t="inlineStr">
        <is>
          <t>Tracy葉翠翠</t>
        </is>
      </c>
      <c r="D42" s="57" t="inlineStr">
        <is>
          <t>总计</t>
        </is>
      </c>
      <c r="E42" s="57" t="inlineStr">
        <is>
          <t>-</t>
        </is>
      </c>
      <c r="F42" s="57" t="inlineStr">
        <is>
          <t>-</t>
        </is>
      </c>
      <c r="G42" s="57" t="inlineStr">
        <is>
          <t>-</t>
        </is>
      </c>
      <c r="H42" s="57" t="n">
        <v>27427.5610407665</v>
      </c>
      <c r="I42" s="107" t="n">
        <v>26537.5536282927</v>
      </c>
      <c r="J42" s="107" t="n">
        <v>2285.63008673054</v>
      </c>
      <c r="K42" s="57" t="n">
        <v>12</v>
      </c>
      <c r="L42" s="57" t="n">
        <v>7</v>
      </c>
      <c r="M42" s="57" t="n">
        <v>7</v>
      </c>
      <c r="N42" s="57" t="n">
        <v>7</v>
      </c>
      <c r="O42" s="57" t="n">
        <v>7</v>
      </c>
      <c r="P42" s="57" t="n">
        <v>8</v>
      </c>
      <c r="Q42" s="57" t="n">
        <v>4</v>
      </c>
      <c r="R42" s="57" t="n">
        <v>5</v>
      </c>
      <c r="S42" s="107" t="n">
        <v>14252</v>
      </c>
      <c r="T42" s="107" t="n">
        <v>17840</v>
      </c>
      <c r="U42" s="108" t="n">
        <v>1</v>
      </c>
      <c r="V42" s="107" t="n">
        <v>3568</v>
      </c>
      <c r="W42" s="108" t="n">
        <v>0.583333333333333</v>
      </c>
      <c r="X42" s="108" t="n">
        <v>1</v>
      </c>
      <c r="Y42" s="108" t="n">
        <v>0.583333333333333</v>
      </c>
      <c r="Z42" s="108" t="n">
        <v>1</v>
      </c>
      <c r="AA42" s="108" t="n">
        <v>0.888888888888889</v>
      </c>
      <c r="AB42" s="108" t="n">
        <v>0.571428571428571</v>
      </c>
      <c r="AC42" s="108" t="n">
        <v>0.333333333333333</v>
      </c>
      <c r="AD42" s="108" t="n">
        <v>0.416666666666667</v>
      </c>
      <c r="AE42" s="107" t="n">
        <v>31472.6569111288</v>
      </c>
      <c r="AF42" s="109" t="n">
        <v>0.566841244143317</v>
      </c>
      <c r="AG42" s="57" t="n">
        <v>9</v>
      </c>
      <c r="AH42" s="57" t="n">
        <v>8</v>
      </c>
      <c r="AI42" s="57" t="n">
        <v>8</v>
      </c>
      <c r="AJ42" s="107" t="n">
        <v>748.494474116691</v>
      </c>
      <c r="AK42" s="107" t="n">
        <v>786.6981250957811</v>
      </c>
      <c r="AL42" s="107" t="n">
        <v>1722.15383349055</v>
      </c>
      <c r="AM42" s="107" t="n">
        <v>96.911092575588</v>
      </c>
      <c r="AN42" s="107" t="n">
        <v>690.8383450837169</v>
      </c>
      <c r="AO42" s="57" t="n">
        <v>0</v>
      </c>
      <c r="AP42" s="57" t="n">
        <v>0</v>
      </c>
      <c r="AQ42" s="57" t="n">
        <v>0</v>
      </c>
      <c r="AR42" s="57" t="n">
        <v>0</v>
      </c>
      <c r="AS42" s="57" t="n">
        <v>0</v>
      </c>
      <c r="AT42" s="57" t="n">
        <v>0</v>
      </c>
      <c r="AU42" s="57" t="n">
        <v>0</v>
      </c>
      <c r="AV42" s="57" t="n">
        <v>0</v>
      </c>
      <c r="AW42" s="107" t="n">
        <v>0</v>
      </c>
      <c r="AX42" s="107" t="n">
        <v>0</v>
      </c>
      <c r="AY42" s="108" t="n"/>
      <c r="AZ42" s="107" t="n"/>
      <c r="BA42" s="108" t="n"/>
      <c r="BB42" s="108" t="n"/>
      <c r="BC42" s="108" t="n"/>
      <c r="BD42" s="108" t="n"/>
      <c r="BE42" s="108" t="n"/>
      <c r="BF42" s="108" t="n"/>
      <c r="BG42" s="108" t="n"/>
      <c r="BH42" s="108" t="n"/>
      <c r="BI42" s="57" t="n">
        <v>0</v>
      </c>
      <c r="BJ42" s="57" t="n">
        <v>0</v>
      </c>
      <c r="BK42" s="57" t="n">
        <v>0</v>
      </c>
      <c r="BL42" s="107" t="n">
        <v>0</v>
      </c>
      <c r="BM42" s="107" t="n">
        <v>0</v>
      </c>
      <c r="BN42" s="107" t="n">
        <v>0</v>
      </c>
      <c r="BO42" s="107" t="n">
        <v>0</v>
      </c>
      <c r="BP42" s="107" t="n">
        <v>0</v>
      </c>
      <c r="BQ42" s="107" t="n">
        <v>14252</v>
      </c>
      <c r="BR42" s="107" t="n">
        <v>17840</v>
      </c>
      <c r="BS42" s="108" t="n">
        <v>1</v>
      </c>
      <c r="BT42" s="107" t="n">
        <v>3296.60139624564</v>
      </c>
      <c r="BU42" s="107" t="n">
        <v>2863.88517067945</v>
      </c>
      <c r="BV42" s="107" t="n">
        <v>748.494474116691</v>
      </c>
      <c r="BW42" s="107" t="n">
        <v>27427.5610407665</v>
      </c>
      <c r="BX42" s="107" t="n">
        <v>27249.5595582717</v>
      </c>
      <c r="BY42" s="107" t="n">
        <v>30861.9392030678</v>
      </c>
      <c r="BZ42" s="109" t="n">
        <v>0.461798589719964</v>
      </c>
      <c r="CA42" s="109" t="n">
        <v>890.0074124737559</v>
      </c>
      <c r="CB42" s="107" t="n">
        <v>31472.6569111288</v>
      </c>
      <c r="CC42" s="109" t="n">
        <v>0.566841244143317</v>
      </c>
      <c r="CD42" s="107" t="n">
        <v>31624.1624370121</v>
      </c>
      <c r="CE42" s="109" t="n">
        <v>0.564125612355208</v>
      </c>
    </row>
    <row r="43" ht="16.5" customFormat="1" customHeight="1" s="39">
      <c r="A43" s="63" t="n"/>
      <c r="B43" s="57" t="n"/>
      <c r="C43" s="57" t="inlineStr">
        <is>
          <t>孙慧雪</t>
        </is>
      </c>
      <c r="D43" s="57" t="inlineStr">
        <is>
          <t>总计</t>
        </is>
      </c>
      <c r="E43" s="57" t="inlineStr">
        <is>
          <t>-</t>
        </is>
      </c>
      <c r="F43" s="57" t="inlineStr">
        <is>
          <t>-</t>
        </is>
      </c>
      <c r="G43" s="57" t="inlineStr">
        <is>
          <t>-</t>
        </is>
      </c>
      <c r="H43" s="57" t="n">
        <v>47816.4897564505</v>
      </c>
      <c r="I43" s="107" t="n">
        <v>45304.2455092683</v>
      </c>
      <c r="J43" s="107" t="n">
        <v>850.326156816073</v>
      </c>
      <c r="K43" s="57" t="n">
        <v>56</v>
      </c>
      <c r="L43" s="57" t="n">
        <v>27</v>
      </c>
      <c r="M43" s="57" t="n">
        <v>29</v>
      </c>
      <c r="N43" s="57" t="n">
        <v>29</v>
      </c>
      <c r="O43" s="57" t="n">
        <v>22</v>
      </c>
      <c r="P43" s="57" t="n">
        <v>31</v>
      </c>
      <c r="Q43" s="57" t="n">
        <v>9</v>
      </c>
      <c r="R43" s="57" t="n">
        <v>13</v>
      </c>
      <c r="S43" s="107" t="n">
        <v>50492</v>
      </c>
      <c r="T43" s="107" t="n">
        <v>67344</v>
      </c>
      <c r="U43" s="108" t="n">
        <v>1</v>
      </c>
      <c r="V43" s="107" t="n">
        <v>5180.30769230769</v>
      </c>
      <c r="W43" s="108" t="n">
        <v>0.482142857142857</v>
      </c>
      <c r="X43" s="108" t="n">
        <v>1.07407407407407</v>
      </c>
      <c r="Y43" s="108" t="n">
        <v>0.517857142857143</v>
      </c>
      <c r="Z43" s="108" t="n">
        <v>0.758620689655172</v>
      </c>
      <c r="AA43" s="108" t="n">
        <v>1</v>
      </c>
      <c r="AB43" s="108" t="n">
        <v>0.409090909090909</v>
      </c>
      <c r="AC43" s="108" t="n">
        <v>0.160714285714286</v>
      </c>
      <c r="AD43" s="108" t="n">
        <v>0.232142857142857</v>
      </c>
      <c r="AE43" s="107" t="n">
        <v>64518.7337072885</v>
      </c>
      <c r="AF43" s="109" t="n">
        <v>1.04378985963254</v>
      </c>
      <c r="AG43" s="57" t="n">
        <v>31</v>
      </c>
      <c r="AH43" s="57" t="n">
        <v>31</v>
      </c>
      <c r="AI43" s="57" t="n">
        <v>37</v>
      </c>
      <c r="AJ43" s="107" t="n">
        <v>3492.97421254456</v>
      </c>
      <c r="AK43" s="107" t="n">
        <v>3259.17794682538</v>
      </c>
      <c r="AL43" s="107" t="n">
        <v>6500.93765485358</v>
      </c>
      <c r="AM43" s="107" t="n">
        <v>452.251765352744</v>
      </c>
      <c r="AN43" s="107" t="n">
        <v>3195.12734601219</v>
      </c>
      <c r="AO43" s="57" t="n">
        <v>20</v>
      </c>
      <c r="AP43" s="57" t="n">
        <v>9</v>
      </c>
      <c r="AQ43" s="57" t="n">
        <v>9</v>
      </c>
      <c r="AR43" s="57" t="n">
        <v>9</v>
      </c>
      <c r="AS43" s="57" t="n">
        <v>5</v>
      </c>
      <c r="AT43" s="57" t="n">
        <v>5</v>
      </c>
      <c r="AU43" s="57" t="n">
        <v>2</v>
      </c>
      <c r="AV43" s="57" t="n">
        <v>2</v>
      </c>
      <c r="AW43" s="107" t="n">
        <v>7987.2</v>
      </c>
      <c r="AX43" s="107" t="n">
        <v>7987.2</v>
      </c>
      <c r="AY43" s="108" t="n">
        <v>1</v>
      </c>
      <c r="AZ43" s="107" t="n">
        <v>3993.6</v>
      </c>
      <c r="BA43" s="108" t="n">
        <v>0.45</v>
      </c>
      <c r="BB43" s="108" t="n">
        <v>1</v>
      </c>
      <c r="BC43" s="108" t="n">
        <v>0.45</v>
      </c>
      <c r="BD43" s="108" t="n">
        <v>0.555555555555556</v>
      </c>
      <c r="BE43" s="108" t="n">
        <v>0.555555555555556</v>
      </c>
      <c r="BF43" s="108" t="n">
        <v>0.4</v>
      </c>
      <c r="BG43" s="108" t="n">
        <v>0.1</v>
      </c>
      <c r="BH43" s="108" t="n">
        <v>0.1</v>
      </c>
      <c r="BI43" s="57" t="n">
        <v>9</v>
      </c>
      <c r="BJ43" s="57" t="n">
        <v>5</v>
      </c>
      <c r="BK43" s="57" t="n">
        <v>7</v>
      </c>
      <c r="BL43" s="107" t="n">
        <v>1119.56993056631</v>
      </c>
      <c r="BM43" s="107" t="n">
        <v>809.612309352859</v>
      </c>
      <c r="BN43" s="107" t="n">
        <v>830.105191990949</v>
      </c>
      <c r="BO43" s="107" t="n">
        <v>161.51848762598</v>
      </c>
      <c r="BP43" s="107" t="n">
        <v>552.62717029698</v>
      </c>
      <c r="BQ43" s="107" t="n">
        <v>58479.2</v>
      </c>
      <c r="BR43" s="107" t="n">
        <v>75331.2</v>
      </c>
      <c r="BS43" s="108" t="n">
        <v>1</v>
      </c>
      <c r="BT43" s="107" t="n">
        <v>15761.3578723107</v>
      </c>
      <c r="BU43" s="107" t="n">
        <v>12873.5505155011</v>
      </c>
      <c r="BV43" s="107" t="n">
        <v>4612.54414311086</v>
      </c>
      <c r="BW43" s="107" t="n">
        <v>47816.4897564505</v>
      </c>
      <c r="BX43" s="107" t="n">
        <v>47104.4838264715</v>
      </c>
      <c r="BY43" s="107" t="n">
        <v>64590.5784850835</v>
      </c>
      <c r="BZ43" s="109" t="n">
        <v>0.905382818540713</v>
      </c>
      <c r="CA43" s="109" t="n">
        <v>2512.2442471822</v>
      </c>
      <c r="CB43" s="107" t="n">
        <v>68190.391771872</v>
      </c>
      <c r="CC43" s="109" t="n">
        <v>1.10471868605796</v>
      </c>
      <c r="CD43" s="107" t="n">
        <v>69277.8476287612</v>
      </c>
      <c r="CE43" s="109" t="n">
        <v>1.0873778932001</v>
      </c>
    </row>
    <row r="44" ht="16.5" customFormat="1" customHeight="1" s="39">
      <c r="A44" s="63" t="n"/>
      <c r="B44" s="67" t="n"/>
      <c r="C44" s="67" t="inlineStr">
        <is>
          <t>林子善</t>
        </is>
      </c>
      <c r="D44" s="67" t="inlineStr">
        <is>
          <t>总计</t>
        </is>
      </c>
      <c r="E44" s="67" t="inlineStr">
        <is>
          <t>-</t>
        </is>
      </c>
      <c r="F44" s="67" t="inlineStr">
        <is>
          <t>-</t>
        </is>
      </c>
      <c r="G44" s="67" t="inlineStr">
        <is>
          <t>-</t>
        </is>
      </c>
      <c r="H44" s="67" t="n">
        <v>113220.074019876</v>
      </c>
      <c r="I44" s="117" t="n">
        <v>108215.809017767</v>
      </c>
      <c r="J44" s="117" t="n">
        <v>533.121929458138</v>
      </c>
      <c r="K44" s="67" t="n">
        <v>212</v>
      </c>
      <c r="L44" s="67" t="n">
        <v>97</v>
      </c>
      <c r="M44" s="67" t="n">
        <v>97</v>
      </c>
      <c r="N44" s="67" t="n">
        <v>99</v>
      </c>
      <c r="O44" s="67" t="n">
        <v>75</v>
      </c>
      <c r="P44" s="67" t="n">
        <v>75</v>
      </c>
      <c r="Q44" s="67" t="n">
        <v>27</v>
      </c>
      <c r="R44" s="67" t="n">
        <v>27</v>
      </c>
      <c r="S44" s="117" t="n">
        <v>118357.2</v>
      </c>
      <c r="T44" s="117" t="n">
        <v>118357.2</v>
      </c>
      <c r="U44" s="121" t="n">
        <v>1</v>
      </c>
      <c r="V44" s="117" t="n">
        <v>4383.6</v>
      </c>
      <c r="W44" s="121" t="n">
        <v>0.457547169811321</v>
      </c>
      <c r="X44" s="121" t="n">
        <v>1.02061855670103</v>
      </c>
      <c r="Y44" s="121" t="n">
        <v>0.466981132075472</v>
      </c>
      <c r="Z44" s="121" t="n">
        <v>0.757575757575758</v>
      </c>
      <c r="AA44" s="121" t="n">
        <v>0.961538461538462</v>
      </c>
      <c r="AB44" s="121" t="n">
        <v>0.36</v>
      </c>
      <c r="AC44" s="121" t="n">
        <v>0.127358490566038</v>
      </c>
      <c r="AD44" s="121" t="n">
        <v>0.127358490566038</v>
      </c>
      <c r="AE44" s="117" t="n">
        <v>157365.238244429</v>
      </c>
      <c r="AF44" s="122" t="n">
        <v>0.752117820430971</v>
      </c>
      <c r="AG44" s="67" t="n">
        <v>78</v>
      </c>
      <c r="AH44" s="67" t="n">
        <v>75</v>
      </c>
      <c r="AI44" s="67" t="n">
        <v>82</v>
      </c>
      <c r="AJ44" s="117" t="n">
        <v>13223.4023760615</v>
      </c>
      <c r="AK44" s="117" t="n">
        <v>10901.3883048987</v>
      </c>
      <c r="AL44" s="117" t="n">
        <v>11425.4095123996</v>
      </c>
      <c r="AM44" s="117" t="n">
        <v>1712.09596883539</v>
      </c>
      <c r="AN44" s="67" t="n">
        <v>7081.0930371081</v>
      </c>
      <c r="AO44" s="67" t="n">
        <v>29</v>
      </c>
      <c r="AP44" s="67" t="n">
        <v>29</v>
      </c>
      <c r="AQ44" s="67" t="n">
        <v>29</v>
      </c>
      <c r="AR44" s="67" t="n">
        <v>29</v>
      </c>
      <c r="AS44" s="67" t="n">
        <v>15</v>
      </c>
      <c r="AT44" s="67" t="n">
        <v>15</v>
      </c>
      <c r="AU44" s="67" t="n">
        <v>2</v>
      </c>
      <c r="AV44" s="117" t="n">
        <v>2</v>
      </c>
      <c r="AW44" s="117" t="n">
        <v>7176</v>
      </c>
      <c r="AX44" s="121" t="n">
        <v>7176</v>
      </c>
      <c r="AY44" s="117" t="n">
        <v>1</v>
      </c>
      <c r="AZ44" s="121" t="n">
        <v>3588</v>
      </c>
      <c r="BA44" s="121" t="n">
        <v>1</v>
      </c>
      <c r="BB44" s="121" t="n">
        <v>1</v>
      </c>
      <c r="BC44" s="121" t="n">
        <v>1</v>
      </c>
      <c r="BD44" s="121" t="n">
        <v>0.517241379310345</v>
      </c>
      <c r="BE44" s="121" t="n">
        <v>0.517241379310345</v>
      </c>
      <c r="BF44" s="121" t="n">
        <v>0.133333333333333</v>
      </c>
      <c r="BG44" s="121" t="n">
        <v>0.0689655172413793</v>
      </c>
      <c r="BH44" s="67" t="n">
        <v>0.0689655172413793</v>
      </c>
      <c r="BI44" s="67" t="n">
        <v>29</v>
      </c>
      <c r="BJ44" s="67" t="n">
        <v>15</v>
      </c>
      <c r="BK44" s="117" t="n">
        <v>15</v>
      </c>
      <c r="BL44" s="117" t="n">
        <v>1623.37639932115</v>
      </c>
      <c r="BM44" s="117" t="n">
        <v>2608.75077458144</v>
      </c>
      <c r="BN44" s="117" t="n">
        <v>745.797633429368</v>
      </c>
      <c r="BO44" s="117" t="n">
        <v>234.201807057671</v>
      </c>
      <c r="BP44" s="117" t="n">
        <v>1184.20107920781</v>
      </c>
      <c r="BQ44" s="117" t="n">
        <v>125533.2</v>
      </c>
      <c r="BR44" s="121" t="n">
        <v>125533.2</v>
      </c>
      <c r="BS44" s="117" t="n">
        <v>1</v>
      </c>
      <c r="BT44" s="117" t="n">
        <v>35892.938117518</v>
      </c>
      <c r="BU44" s="117" t="n">
        <v>35892.938117518</v>
      </c>
      <c r="BV44" s="117" t="n">
        <v>14846.7787753827</v>
      </c>
      <c r="BW44" s="117" t="n">
        <v>113220.074019876</v>
      </c>
      <c r="BX44" s="117" t="n">
        <v>113220.074019876</v>
      </c>
      <c r="BY44" s="122" t="n">
        <v>163959.790912776</v>
      </c>
      <c r="BZ44" s="122" t="n">
        <v>0.76563405760124</v>
      </c>
      <c r="CA44" s="122" t="n">
        <v>5004.26500210872</v>
      </c>
      <c r="CB44" s="122" t="n">
        <v>163959.790912776</v>
      </c>
      <c r="CC44" s="122" t="n">
        <v>0.76563405760124</v>
      </c>
      <c r="CD44" s="122" t="n">
        <v>167188.012137394</v>
      </c>
      <c r="CE44" s="5" t="n">
        <v>0.750850485002704</v>
      </c>
    </row>
    <row r="45" ht="16.5" customFormat="1" customHeight="1" s="39">
      <c r="A45" s="63" t="n"/>
      <c r="B45" s="67" t="n"/>
      <c r="C45" s="67" t="inlineStr">
        <is>
          <t>陈倩扬Skye</t>
        </is>
      </c>
      <c r="D45" s="67" t="inlineStr">
        <is>
          <t>总计</t>
        </is>
      </c>
      <c r="E45" s="67" t="inlineStr">
        <is>
          <t>-</t>
        </is>
      </c>
      <c r="F45" s="67" t="inlineStr">
        <is>
          <t>-</t>
        </is>
      </c>
      <c r="G45" s="67" t="inlineStr">
        <is>
          <t>-</t>
        </is>
      </c>
      <c r="H45" s="67" t="n">
        <v>5499.18139588839</v>
      </c>
      <c r="I45" s="117" t="n">
        <v>4609.17398341463</v>
      </c>
      <c r="J45" s="117" t="n">
        <v>549.918139588839</v>
      </c>
      <c r="K45" s="67" t="n">
        <v>10</v>
      </c>
      <c r="L45" s="67" t="n">
        <v>3</v>
      </c>
      <c r="M45" s="67" t="n">
        <v>3</v>
      </c>
      <c r="N45" s="67" t="n">
        <v>3</v>
      </c>
      <c r="O45" s="67" t="n">
        <v>3</v>
      </c>
      <c r="P45" s="67" t="n">
        <v>8</v>
      </c>
      <c r="Q45" s="67" t="n">
        <v>2</v>
      </c>
      <c r="R45" s="67" t="n">
        <v>5</v>
      </c>
      <c r="S45" s="117" t="n">
        <v>9776</v>
      </c>
      <c r="T45" s="117" t="n">
        <v>21340</v>
      </c>
      <c r="U45" s="121" t="n">
        <v>1</v>
      </c>
      <c r="V45" s="117" t="n">
        <v>4268</v>
      </c>
      <c r="W45" s="121" t="n">
        <v>0.3</v>
      </c>
      <c r="X45" s="121" t="n">
        <v>1</v>
      </c>
      <c r="Y45" s="121" t="n">
        <v>0.3</v>
      </c>
      <c r="Z45" s="121" t="n">
        <v>1</v>
      </c>
      <c r="AA45" s="121" t="n">
        <v>1</v>
      </c>
      <c r="AB45" s="121" t="n">
        <v>0.666666666666667</v>
      </c>
      <c r="AC45" s="121" t="n">
        <v>0.2</v>
      </c>
      <c r="AD45" s="121" t="n">
        <v>0.5</v>
      </c>
      <c r="AE45" s="117" t="n">
        <v>9378.055849042339</v>
      </c>
      <c r="AF45" s="122" t="n">
        <v>2.2755249428568</v>
      </c>
      <c r="AG45" s="67" t="n">
        <v>8</v>
      </c>
      <c r="AH45" s="67" t="n">
        <v>8</v>
      </c>
      <c r="AI45" s="67" t="n">
        <v>9</v>
      </c>
      <c r="AJ45" s="117" t="n">
        <v>623.745395097242</v>
      </c>
      <c r="AK45" s="117" t="n">
        <v>337.156339326763</v>
      </c>
      <c r="AL45" s="117" t="n">
        <v>2060.02033669778</v>
      </c>
      <c r="AM45" s="117" t="n">
        <v>80.75924381298999</v>
      </c>
      <c r="AN45" s="67" t="n">
        <v>777.193138219181</v>
      </c>
      <c r="AO45" s="67" t="n">
        <v>0</v>
      </c>
      <c r="AP45" s="67" t="n">
        <v>0</v>
      </c>
      <c r="AQ45" s="67" t="n">
        <v>0</v>
      </c>
      <c r="AR45" s="67" t="n">
        <v>0</v>
      </c>
      <c r="AS45" s="67" t="n">
        <v>0</v>
      </c>
      <c r="AT45" s="67" t="n">
        <v>0</v>
      </c>
      <c r="AU45" s="67" t="n">
        <v>0</v>
      </c>
      <c r="AV45" s="117" t="n">
        <v>0</v>
      </c>
      <c r="AW45" s="117" t="n">
        <v>0</v>
      </c>
      <c r="AX45" s="121" t="n">
        <v>0</v>
      </c>
      <c r="AY45" s="117" t="n"/>
      <c r="AZ45" s="121" t="n"/>
      <c r="BA45" s="121" t="n"/>
      <c r="BB45" s="121" t="n"/>
      <c r="BC45" s="121" t="n"/>
      <c r="BD45" s="121" t="n"/>
      <c r="BE45" s="121" t="n"/>
      <c r="BF45" s="121" t="n"/>
      <c r="BG45" s="121" t="n"/>
      <c r="BH45" s="67" t="n"/>
      <c r="BI45" s="67" t="n">
        <v>0</v>
      </c>
      <c r="BJ45" s="67" t="n">
        <v>0</v>
      </c>
      <c r="BK45" s="117" t="n">
        <v>0</v>
      </c>
      <c r="BL45" s="117" t="n">
        <v>0</v>
      </c>
      <c r="BM45" s="117" t="n">
        <v>0</v>
      </c>
      <c r="BN45" s="117" t="n">
        <v>0</v>
      </c>
      <c r="BO45" s="117" t="n">
        <v>0</v>
      </c>
      <c r="BP45" s="117" t="n">
        <v>0</v>
      </c>
      <c r="BQ45" s="117" t="n">
        <v>9776</v>
      </c>
      <c r="BR45" s="121" t="n">
        <v>21340</v>
      </c>
      <c r="BS45" s="117" t="n">
        <v>1</v>
      </c>
      <c r="BT45" s="117" t="n">
        <v>3530.14149195603</v>
      </c>
      <c r="BU45" s="117" t="n">
        <v>1895.70180654656</v>
      </c>
      <c r="BV45" s="117" t="n">
        <v>735.702388153873</v>
      </c>
      <c r="BW45" s="117" t="n">
        <v>5499.18139588839</v>
      </c>
      <c r="BX45" s="117" t="n">
        <v>4965.17694840413</v>
      </c>
      <c r="BY45" s="122" t="n">
        <v>7596.58114310456</v>
      </c>
      <c r="BZ45" s="122" t="n">
        <v>1.28689469852813</v>
      </c>
      <c r="CA45" s="122" t="n">
        <v>890.0074124737559</v>
      </c>
      <c r="CB45" s="122" t="n">
        <v>9765.02527599829</v>
      </c>
      <c r="CC45" s="122" t="n">
        <v>2.18535020615381</v>
      </c>
      <c r="CD45" s="122" t="n">
        <v>9929.32288784441</v>
      </c>
      <c r="CE45" s="72" t="n">
        <v>2.14918985323004</v>
      </c>
    </row>
    <row r="46" ht="16.5" customFormat="1" customHeight="1" s="39">
      <c r="A46" s="63" t="n"/>
      <c r="B46" s="67" t="n"/>
      <c r="C46" s="67" t="inlineStr">
        <is>
          <t>陈山聪</t>
        </is>
      </c>
      <c r="D46" s="67" t="inlineStr">
        <is>
          <t>总计</t>
        </is>
      </c>
      <c r="E46" s="67" t="inlineStr">
        <is>
          <t>-</t>
        </is>
      </c>
      <c r="F46" s="67" t="inlineStr">
        <is>
          <t>-</t>
        </is>
      </c>
      <c r="G46" s="67" t="inlineStr">
        <is>
          <t>-</t>
        </is>
      </c>
      <c r="H46" s="67" t="n">
        <v>109227.742461277</v>
      </c>
      <c r="I46" s="117" t="n">
        <v>104223.477459168</v>
      </c>
      <c r="J46" s="117" t="n">
        <v>1147.67913143712</v>
      </c>
      <c r="K46" s="67" t="n">
        <v>95</v>
      </c>
      <c r="L46" s="67" t="n">
        <v>47</v>
      </c>
      <c r="M46" s="67" t="n">
        <v>53</v>
      </c>
      <c r="N46" s="67" t="n">
        <v>47</v>
      </c>
      <c r="O46" s="67" t="n">
        <v>33</v>
      </c>
      <c r="P46" s="67" t="n">
        <v>63</v>
      </c>
      <c r="Q46" s="67" t="n">
        <v>13</v>
      </c>
      <c r="R46" s="67" t="n">
        <v>27</v>
      </c>
      <c r="S46" s="117" t="n">
        <v>55144</v>
      </c>
      <c r="T46" s="117" t="n">
        <v>122076</v>
      </c>
      <c r="U46" s="121" t="n">
        <v>1</v>
      </c>
      <c r="V46" s="117" t="n">
        <v>4521.33333333333</v>
      </c>
      <c r="W46" s="121" t="n">
        <v>0.494736842105263</v>
      </c>
      <c r="X46" s="121" t="n">
        <v>1</v>
      </c>
      <c r="Y46" s="121" t="n">
        <v>0.494736842105263</v>
      </c>
      <c r="Z46" s="121" t="n">
        <v>0.702127659574468</v>
      </c>
      <c r="AA46" s="121" t="n">
        <v>0.875</v>
      </c>
      <c r="AB46" s="121" t="n">
        <v>0.393939393939394</v>
      </c>
      <c r="AC46" s="121" t="n">
        <v>0.136842105263158</v>
      </c>
      <c r="AD46" s="121" t="n">
        <v>0.284210526315789</v>
      </c>
      <c r="AE46" s="117" t="n">
        <v>139767.037615223</v>
      </c>
      <c r="AF46" s="122" t="n">
        <v>0.873424822353847</v>
      </c>
      <c r="AG46" s="67" t="n">
        <v>72</v>
      </c>
      <c r="AH46" s="67" t="n">
        <v>63</v>
      </c>
      <c r="AI46" s="67" t="n">
        <v>73</v>
      </c>
      <c r="AJ46" s="117" t="n">
        <v>5925.5812534238</v>
      </c>
      <c r="AK46" s="117" t="n">
        <v>5956.42866143948</v>
      </c>
      <c r="AL46" s="117" t="n">
        <v>11784.3974987216</v>
      </c>
      <c r="AM46" s="117" t="n">
        <v>767.212816223405</v>
      </c>
      <c r="AN46" s="67" t="n">
        <v>6303.89989888892</v>
      </c>
      <c r="AO46" s="67" t="n">
        <v>37</v>
      </c>
      <c r="AP46" s="67" t="n">
        <v>18</v>
      </c>
      <c r="AQ46" s="67" t="n">
        <v>18</v>
      </c>
      <c r="AR46" s="67" t="n">
        <v>19</v>
      </c>
      <c r="AS46" s="67" t="n">
        <v>10</v>
      </c>
      <c r="AT46" s="67" t="n">
        <v>10</v>
      </c>
      <c r="AU46" s="67" t="n">
        <v>2</v>
      </c>
      <c r="AV46" s="117" t="n">
        <v>2</v>
      </c>
      <c r="AW46" s="117" t="n">
        <v>6817.2</v>
      </c>
      <c r="AX46" s="121" t="n">
        <v>6817.2</v>
      </c>
      <c r="AY46" s="117" t="n">
        <v>1</v>
      </c>
      <c r="AZ46" s="121" t="n">
        <v>3408.6</v>
      </c>
      <c r="BA46" s="121" t="n">
        <v>0.486486486486487</v>
      </c>
      <c r="BB46" s="121" t="n">
        <v>1.05555555555556</v>
      </c>
      <c r="BC46" s="121" t="n">
        <v>0.513513513513513</v>
      </c>
      <c r="BD46" s="121" t="n">
        <v>0.526315789473684</v>
      </c>
      <c r="BE46" s="121" t="n">
        <v>0.526315789473684</v>
      </c>
      <c r="BF46" s="121" t="n">
        <v>0.2</v>
      </c>
      <c r="BG46" s="121" t="n">
        <v>0.0540540540540541</v>
      </c>
      <c r="BH46" s="67" t="n">
        <v>0.0540540540540541</v>
      </c>
      <c r="BI46" s="67" t="n">
        <v>19</v>
      </c>
      <c r="BJ46" s="67" t="n">
        <v>10</v>
      </c>
      <c r="BK46" s="117" t="n">
        <v>10</v>
      </c>
      <c r="BL46" s="117" t="n">
        <v>2071.20437154767</v>
      </c>
      <c r="BM46" s="117" t="n">
        <v>1619.22461870572</v>
      </c>
      <c r="BN46" s="117" t="n">
        <v>708.507751757899</v>
      </c>
      <c r="BO46" s="117" t="n">
        <v>298.809202108063</v>
      </c>
      <c r="BP46" s="117" t="n">
        <v>789.467386138543</v>
      </c>
      <c r="BQ46" s="117" t="n">
        <v>61961.2</v>
      </c>
      <c r="BR46" s="121" t="n">
        <v>128893.2</v>
      </c>
      <c r="BS46" s="117" t="n">
        <v>1</v>
      </c>
      <c r="BT46" s="117" t="n">
        <v>28227.9478339836</v>
      </c>
      <c r="BU46" s="117" t="n">
        <v>18070.0514548271</v>
      </c>
      <c r="BV46" s="117" t="n">
        <v>7996.78562497147</v>
      </c>
      <c r="BW46" s="117" t="n">
        <v>109227.742461277</v>
      </c>
      <c r="BX46" s="117" t="n">
        <v>106735.72170635</v>
      </c>
      <c r="BY46" s="122" t="n">
        <v>132802.558786149</v>
      </c>
      <c r="BZ46" s="122" t="n">
        <v>0.466566311420067</v>
      </c>
      <c r="CA46" s="122" t="n">
        <v>5004.26500210872</v>
      </c>
      <c r="CB46" s="122" t="n">
        <v>145452.475920232</v>
      </c>
      <c r="CC46" s="122" t="n">
        <v>0.886153358232876</v>
      </c>
      <c r="CD46" s="122" t="n">
        <v>147355.69029526</v>
      </c>
      <c r="CE46" s="5" t="n">
        <v>0.874707992217562</v>
      </c>
    </row>
    <row r="47" ht="16.5" customFormat="1" customHeight="1" s="39">
      <c r="A47" s="63" t="n"/>
      <c r="B47" s="67" t="n"/>
      <c r="C47" s="67" t="inlineStr">
        <is>
          <t>陈敏之</t>
        </is>
      </c>
      <c r="D47" s="67" t="inlineStr">
        <is>
          <t>总计</t>
        </is>
      </c>
      <c r="E47" s="67" t="inlineStr">
        <is>
          <t>-</t>
        </is>
      </c>
      <c r="F47" s="67" t="inlineStr">
        <is>
          <t>-</t>
        </is>
      </c>
      <c r="G47" s="67" t="inlineStr">
        <is>
          <t>-</t>
        </is>
      </c>
      <c r="H47" s="67" t="n">
        <v>175980.485374133</v>
      </c>
      <c r="I47" s="117" t="n">
        <v>168939.315069462</v>
      </c>
      <c r="J47" s="117" t="n">
        <v>687.036612838896</v>
      </c>
      <c r="K47" s="67" t="n">
        <v>256</v>
      </c>
      <c r="L47" s="67" t="n">
        <v>137</v>
      </c>
      <c r="M47" s="67" t="n">
        <v>137</v>
      </c>
      <c r="N47" s="67" t="n">
        <v>141</v>
      </c>
      <c r="O47" s="67" t="n">
        <v>103</v>
      </c>
      <c r="P47" s="67" t="n">
        <v>103</v>
      </c>
      <c r="Q47" s="67" t="n">
        <v>39</v>
      </c>
      <c r="R47" s="67" t="n">
        <v>39</v>
      </c>
      <c r="S47" s="117" t="n">
        <v>190732</v>
      </c>
      <c r="T47" s="117" t="n">
        <v>190732</v>
      </c>
      <c r="U47" s="121" t="n">
        <v>1</v>
      </c>
      <c r="V47" s="117" t="n">
        <v>4890.5641025641</v>
      </c>
      <c r="W47" s="121" t="n">
        <v>0.53515625</v>
      </c>
      <c r="X47" s="121" t="n">
        <v>1.02919708029197</v>
      </c>
      <c r="Y47" s="121" t="n">
        <v>0.55078125</v>
      </c>
      <c r="Z47" s="121" t="n">
        <v>0.7304964539007091</v>
      </c>
      <c r="AA47" s="121" t="n">
        <v>0.962616822429907</v>
      </c>
      <c r="AB47" s="121" t="n">
        <v>0.378640776699029</v>
      </c>
      <c r="AC47" s="121" t="n">
        <v>0.15234375</v>
      </c>
      <c r="AD47" s="121" t="n">
        <v>0.15234375</v>
      </c>
      <c r="AE47" s="117" t="n">
        <v>237742.640634797</v>
      </c>
      <c r="AF47" s="122" t="n">
        <v>0.802262477991859</v>
      </c>
      <c r="AG47" s="67" t="n">
        <v>107</v>
      </c>
      <c r="AH47" s="67" t="n">
        <v>103</v>
      </c>
      <c r="AI47" s="67" t="n">
        <v>116</v>
      </c>
      <c r="AJ47" s="117" t="n">
        <v>15967.8821144894</v>
      </c>
      <c r="AK47" s="117" t="n">
        <v>15396.8061625889</v>
      </c>
      <c r="AL47" s="117" t="n">
        <v>18411.9868256346</v>
      </c>
      <c r="AM47" s="117" t="n">
        <v>2067.43664161254</v>
      </c>
      <c r="AN47" s="67" t="n">
        <v>10017.1560037139</v>
      </c>
      <c r="AO47" s="67" t="n">
        <v>135</v>
      </c>
      <c r="AP47" s="67" t="n">
        <v>46</v>
      </c>
      <c r="AQ47" s="67" t="n">
        <v>46</v>
      </c>
      <c r="AR47" s="67" t="n">
        <v>46</v>
      </c>
      <c r="AS47" s="67" t="n">
        <v>24</v>
      </c>
      <c r="AT47" s="67" t="n">
        <v>24</v>
      </c>
      <c r="AU47" s="67" t="n">
        <v>1</v>
      </c>
      <c r="AV47" s="117" t="n">
        <v>1</v>
      </c>
      <c r="AW47" s="117" t="n">
        <v>3588</v>
      </c>
      <c r="AX47" s="121" t="n">
        <v>3588</v>
      </c>
      <c r="AY47" s="117" t="n">
        <v>1</v>
      </c>
      <c r="AZ47" s="121" t="n">
        <v>3588</v>
      </c>
      <c r="BA47" s="121" t="n">
        <v>0.340740740740741</v>
      </c>
      <c r="BB47" s="121" t="n">
        <v>1</v>
      </c>
      <c r="BC47" s="121" t="n">
        <v>0.340740740740741</v>
      </c>
      <c r="BD47" s="121" t="n">
        <v>0.521739130434783</v>
      </c>
      <c r="BE47" s="121" t="n">
        <v>0.521739130434783</v>
      </c>
      <c r="BF47" s="121" t="n">
        <v>0.0416666666666667</v>
      </c>
      <c r="BG47" s="121" t="n">
        <v>0.00740740740740741</v>
      </c>
      <c r="BH47" s="67" t="n">
        <v>0.00740740740740741</v>
      </c>
      <c r="BI47" s="67" t="n">
        <v>46</v>
      </c>
      <c r="BJ47" s="67" t="n">
        <v>24</v>
      </c>
      <c r="BK47" s="117" t="n">
        <v>24</v>
      </c>
      <c r="BL47" s="117" t="n">
        <v>7557.09703132258</v>
      </c>
      <c r="BM47" s="117" t="n">
        <v>4138.01847002573</v>
      </c>
      <c r="BN47" s="117" t="n">
        <v>372.898816714684</v>
      </c>
      <c r="BO47" s="117" t="n">
        <v>1090.24979147536</v>
      </c>
      <c r="BP47" s="117" t="n">
        <v>1894.7217267325</v>
      </c>
      <c r="BQ47" s="117" t="n">
        <v>194320</v>
      </c>
      <c r="BR47" s="121" t="n">
        <v>194320</v>
      </c>
      <c r="BS47" s="117" t="n">
        <v>1</v>
      </c>
      <c r="BT47" s="117" t="n">
        <v>53389.2744384981</v>
      </c>
      <c r="BU47" s="117" t="n">
        <v>53389.2744384981</v>
      </c>
      <c r="BV47" s="117" t="n">
        <v>23524.979145812</v>
      </c>
      <c r="BW47" s="117" t="n">
        <v>175980.485374133</v>
      </c>
      <c r="BX47" s="117" t="n">
        <v>175980.485374133</v>
      </c>
      <c r="BY47" s="122" t="n">
        <v>252894.738958443</v>
      </c>
      <c r="BZ47" s="122" t="n">
        <v>0.768382928013113</v>
      </c>
      <c r="CA47" s="122" t="n">
        <v>7041.17030467051</v>
      </c>
      <c r="CB47" s="122" t="n">
        <v>252894.738958443</v>
      </c>
      <c r="CC47" s="122" t="n">
        <v>0.768382928013113</v>
      </c>
      <c r="CD47" s="122" t="n">
        <v>258694.759812631</v>
      </c>
      <c r="CE47" s="5" t="n">
        <v>0.751155532260273</v>
      </c>
    </row>
    <row r="48">
      <c r="C48" s="73" t="inlineStr">
        <is>
          <t>陈琪</t>
        </is>
      </c>
      <c r="D48" s="73" t="inlineStr">
        <is>
          <t>总计</t>
        </is>
      </c>
      <c r="E48" s="73" t="inlineStr">
        <is>
          <t>-</t>
        </is>
      </c>
      <c r="F48" s="73" t="inlineStr">
        <is>
          <t>-</t>
        </is>
      </c>
      <c r="G48" s="73" t="inlineStr">
        <is>
          <t>-</t>
        </is>
      </c>
      <c r="H48" s="73" t="n">
        <v>154847.147686914</v>
      </c>
      <c r="I48" s="73" t="n">
        <v>145313.956627317</v>
      </c>
      <c r="J48" s="73" t="n">
        <v>758.568799997739</v>
      </c>
      <c r="K48" s="73" t="n">
        <v>204</v>
      </c>
      <c r="L48" s="73" t="n">
        <v>114</v>
      </c>
      <c r="M48" s="73" t="n">
        <v>124</v>
      </c>
      <c r="N48" s="73" t="n">
        <v>116</v>
      </c>
      <c r="O48" s="73" t="n">
        <v>96</v>
      </c>
      <c r="P48" s="73" t="n">
        <v>130</v>
      </c>
      <c r="Q48" s="73" t="n">
        <v>43</v>
      </c>
      <c r="R48" s="73" t="n">
        <v>53</v>
      </c>
      <c r="S48" s="73" t="n">
        <v>209284</v>
      </c>
      <c r="T48" s="73" t="n">
        <v>255664</v>
      </c>
      <c r="U48" s="73" t="n">
        <v>1</v>
      </c>
      <c r="V48" s="73" t="n">
        <v>4823.84905660377</v>
      </c>
      <c r="W48" s="73" t="n">
        <v>0.5588235294117651</v>
      </c>
      <c r="X48" s="73" t="n">
        <v>1.01754385964912</v>
      </c>
      <c r="Y48" s="73" t="n">
        <v>0.568627450980392</v>
      </c>
      <c r="Z48" s="73" t="n">
        <v>0.827586206896552</v>
      </c>
      <c r="AA48" s="73" t="n">
        <v>0.928571428571429</v>
      </c>
      <c r="AB48" s="73" t="n">
        <v>0.447916666666667</v>
      </c>
      <c r="AC48" s="73" t="n">
        <v>0.21078431372549</v>
      </c>
      <c r="AD48" s="73" t="n">
        <v>0.259803921568627</v>
      </c>
      <c r="AE48" s="73" t="n">
        <v>220689.030355602</v>
      </c>
      <c r="AF48" s="73" t="n">
        <v>1.15848077989215</v>
      </c>
      <c r="AG48" s="73" t="n">
        <v>140</v>
      </c>
      <c r="AH48" s="73" t="n">
        <v>130</v>
      </c>
      <c r="AI48" s="73" t="n">
        <v>150</v>
      </c>
      <c r="AJ48" s="73" t="n">
        <v>12724.4060599837</v>
      </c>
      <c r="AK48" s="73" t="n">
        <v>13935.7953588395</v>
      </c>
      <c r="AL48" s="73" t="n">
        <v>24680.086193135</v>
      </c>
      <c r="AM48" s="73" t="n">
        <v>1647.488573785</v>
      </c>
      <c r="AN48" s="73" t="n">
        <v>12953.2189703197</v>
      </c>
      <c r="AO48" s="73" t="n">
        <v>99</v>
      </c>
      <c r="AP48" s="73" t="n">
        <v>30</v>
      </c>
      <c r="AQ48" s="73" t="n">
        <v>30</v>
      </c>
      <c r="AR48" s="73" t="n">
        <v>29</v>
      </c>
      <c r="AS48" s="73" t="n">
        <v>17</v>
      </c>
      <c r="AT48" s="73" t="n">
        <v>20</v>
      </c>
      <c r="AU48" s="73" t="n">
        <v>1</v>
      </c>
      <c r="AV48" s="73" t="n">
        <v>1</v>
      </c>
      <c r="AW48" s="73" t="n">
        <v>3588</v>
      </c>
      <c r="AX48" s="73" t="n">
        <v>3588</v>
      </c>
      <c r="AY48" s="73" t="n">
        <v>1</v>
      </c>
      <c r="AZ48" s="73" t="n">
        <v>3588</v>
      </c>
      <c r="BA48" s="73" t="n">
        <v>0.303030303030303</v>
      </c>
      <c r="BB48" s="73" t="n">
        <v>0.966666666666667</v>
      </c>
      <c r="BC48" s="73" t="n">
        <v>0.292929292929293</v>
      </c>
      <c r="BD48" s="73" t="n">
        <v>0.586206896551724</v>
      </c>
      <c r="BE48" s="73" t="n">
        <v>0.625</v>
      </c>
      <c r="BF48" s="73" t="n">
        <v>0.0588235294117647</v>
      </c>
      <c r="BG48" s="73" t="n">
        <v>0.0101010101010101</v>
      </c>
      <c r="BH48" s="73" t="n">
        <v>0.0101010101010101</v>
      </c>
      <c r="BI48" s="73" t="n">
        <v>32</v>
      </c>
      <c r="BJ48" s="73" t="n">
        <v>20</v>
      </c>
      <c r="BK48" s="73" t="n">
        <v>20</v>
      </c>
      <c r="BL48" s="73" t="n">
        <v>5541.87115630322</v>
      </c>
      <c r="BM48" s="73" t="n">
        <v>2698.70769784286</v>
      </c>
      <c r="BN48" s="73" t="n">
        <v>372.898816714684</v>
      </c>
      <c r="BO48" s="73" t="n">
        <v>799.516513748601</v>
      </c>
      <c r="BP48" s="73" t="n">
        <v>1578.93477227709</v>
      </c>
      <c r="BQ48" s="73" t="n">
        <v>212872</v>
      </c>
      <c r="BR48" s="73" t="n">
        <v>259252</v>
      </c>
      <c r="BS48" s="73" t="n">
        <v>1</v>
      </c>
      <c r="BT48" s="73" t="n">
        <v>58843.6264829191</v>
      </c>
      <c r="BU48" s="73" t="n">
        <v>48947.0426913592</v>
      </c>
      <c r="BV48" s="73" t="n">
        <v>18322.2557128153</v>
      </c>
      <c r="BW48" s="73" t="n">
        <v>154847.147686914</v>
      </c>
      <c r="BX48" s="73" t="n">
        <v>153067.132861967</v>
      </c>
      <c r="BY48" s="73" t="n">
        <v>220336.431266141</v>
      </c>
      <c r="BZ48" s="73" t="n">
        <v>0.966122573451665</v>
      </c>
      <c r="CA48" s="73" t="n">
        <v>9533.191059597029</v>
      </c>
      <c r="CB48" s="73" t="n">
        <v>232013.029882648</v>
      </c>
      <c r="CC48" s="73" t="n">
        <v>1.11740276022915</v>
      </c>
      <c r="CD48" s="73" t="n">
        <v>236490.774169833</v>
      </c>
      <c r="CE48" s="73" t="n">
        <v>1.09624572421511</v>
      </c>
    </row>
    <row r="49" ht="30" customFormat="1" customHeight="1" s="40">
      <c r="A49" s="40" t="inlineStr">
        <is>
          <t>6月-汇总</t>
        </is>
      </c>
      <c r="B49" s="57" t="n"/>
      <c r="C49" s="57" t="inlineStr">
        <is>
          <t>总计</t>
        </is>
      </c>
      <c r="D49" s="57" t="inlineStr">
        <is>
          <t>总计</t>
        </is>
      </c>
      <c r="E49" s="57" t="inlineStr">
        <is>
          <t>-</t>
        </is>
      </c>
      <c r="F49" s="57" t="inlineStr">
        <is>
          <t>-</t>
        </is>
      </c>
      <c r="G49" s="57" t="inlineStr">
        <is>
          <t>-</t>
        </is>
      </c>
      <c r="H49" s="57" t="n">
        <v>739701.554557963</v>
      </c>
      <c r="I49" s="107" t="n">
        <v>703267.9111755</v>
      </c>
      <c r="J49" s="107" t="n">
        <v>772.5023061814441</v>
      </c>
      <c r="K49" s="57" t="n">
        <v>956</v>
      </c>
      <c r="L49" s="57" t="n">
        <v>500</v>
      </c>
      <c r="M49" s="57" t="n">
        <v>522</v>
      </c>
      <c r="N49" s="57" t="n">
        <v>514</v>
      </c>
      <c r="O49" s="57" t="n">
        <v>395</v>
      </c>
      <c r="P49" s="57" t="n">
        <v>484</v>
      </c>
      <c r="Q49" s="57" t="n">
        <v>160</v>
      </c>
      <c r="R49" s="57" t="n">
        <v>198</v>
      </c>
      <c r="S49" s="107" t="n">
        <v>772461.2</v>
      </c>
      <c r="T49" s="107" t="n">
        <v>948905.2</v>
      </c>
      <c r="U49" s="57" t="n">
        <v>1</v>
      </c>
      <c r="V49" s="107" t="n">
        <v>4792.4505050505</v>
      </c>
      <c r="W49" s="61" t="n">
        <v>0.523012552301255</v>
      </c>
      <c r="X49" s="61" t="n">
        <v>1.028</v>
      </c>
      <c r="Y49" s="61" t="n">
        <v>0.53765690376569</v>
      </c>
      <c r="Z49" s="61" t="n">
        <v>0.768482490272374</v>
      </c>
      <c r="AA49" s="61" t="n">
        <v>0.937984496124031</v>
      </c>
      <c r="AB49" s="61" t="n">
        <v>0.40506329113924</v>
      </c>
      <c r="AC49" s="61" t="n">
        <v>0.167364016736402</v>
      </c>
      <c r="AD49" s="61" t="n">
        <v>0.207112970711297</v>
      </c>
      <c r="AE49" s="107" t="n">
        <v>1003278.705941</v>
      </c>
      <c r="AF49" s="109" t="n">
        <v>0.9458041861956969</v>
      </c>
      <c r="AG49" s="57" t="n">
        <v>516</v>
      </c>
      <c r="AH49" s="57" t="n">
        <v>484</v>
      </c>
      <c r="AI49" s="57" t="n">
        <v>546</v>
      </c>
      <c r="AJ49" s="107" t="n">
        <v>59630.0597712963</v>
      </c>
      <c r="AK49" s="107" t="n">
        <v>58665.2030428568</v>
      </c>
      <c r="AL49" s="107" t="n">
        <v>91600.9376569014</v>
      </c>
      <c r="AM49" s="107" t="n">
        <v>7720.58370852184</v>
      </c>
      <c r="AN49" s="107" t="n">
        <v>47149.7170519637</v>
      </c>
      <c r="AO49" s="57" t="n">
        <v>392</v>
      </c>
      <c r="AP49" s="57" t="n">
        <v>164</v>
      </c>
      <c r="AQ49" s="57" t="n">
        <v>164</v>
      </c>
      <c r="AR49" s="57" t="n">
        <v>164</v>
      </c>
      <c r="AS49" s="57" t="n">
        <v>95</v>
      </c>
      <c r="AT49" s="57" t="n">
        <v>98</v>
      </c>
      <c r="AU49" s="57" t="n">
        <v>12</v>
      </c>
      <c r="AV49" s="57" t="n">
        <v>12</v>
      </c>
      <c r="AW49" s="107" t="n">
        <v>42560.8</v>
      </c>
      <c r="AX49" s="107" t="n">
        <v>42560.8</v>
      </c>
      <c r="AY49" s="107" t="n">
        <v>1</v>
      </c>
      <c r="AZ49" s="107" t="n">
        <v>3546.73333333333</v>
      </c>
      <c r="BA49" s="62" t="n">
        <v>0.418367346938776</v>
      </c>
      <c r="BB49" s="62" t="n">
        <v>1</v>
      </c>
      <c r="BC49" s="62" t="n">
        <v>0.418367346938776</v>
      </c>
      <c r="BD49" s="62" t="n">
        <v>0.579268292682927</v>
      </c>
      <c r="BE49" s="62" t="n">
        <v>0.586826347305389</v>
      </c>
      <c r="BF49" s="62" t="n">
        <v>0.126315789473684</v>
      </c>
      <c r="BG49" s="62" t="n">
        <v>0.0306122448979592</v>
      </c>
      <c r="BH49" s="62" t="n">
        <v>0.0306122448979592</v>
      </c>
      <c r="BI49" s="57" t="n">
        <v>167</v>
      </c>
      <c r="BJ49" s="57" t="n">
        <v>98</v>
      </c>
      <c r="BK49" s="57" t="n">
        <v>104</v>
      </c>
      <c r="BL49" s="107" t="n">
        <v>21943.5706390996</v>
      </c>
      <c r="BM49" s="107" t="n">
        <v>14752.9354148743</v>
      </c>
      <c r="BN49" s="107" t="n">
        <v>4423.31994382116</v>
      </c>
      <c r="BO49" s="57" t="n">
        <v>3165.76235746921</v>
      </c>
      <c r="BP49" s="57" t="n">
        <v>8210.46081584085</v>
      </c>
      <c r="BQ49" s="107" t="n">
        <v>815022</v>
      </c>
      <c r="BR49" s="107" t="n">
        <v>991466</v>
      </c>
      <c r="BS49" s="107" t="n">
        <v>1</v>
      </c>
      <c r="BT49" s="107" t="n">
        <v>236140.912012405</v>
      </c>
      <c r="BU49" s="107" t="n">
        <v>206727.135917406</v>
      </c>
      <c r="BV49" s="107" t="n">
        <v>81741.56589998089</v>
      </c>
      <c r="BW49" s="107" t="n">
        <v>739701.554557963</v>
      </c>
      <c r="BX49" s="107" t="n">
        <v>732937.498223162</v>
      </c>
      <c r="BY49" s="107" t="n">
        <v>1021406.20004055</v>
      </c>
      <c r="BZ49" s="109" t="n">
        <v>0.797941112916334</v>
      </c>
      <c r="CA49" s="109" t="n">
        <v>36433.6433824633</v>
      </c>
      <c r="CB49" s="107" t="n">
        <v>1057584.03247035</v>
      </c>
      <c r="CC49" s="109" t="n">
        <v>0.93748200574104</v>
      </c>
      <c r="CD49" s="107" t="n">
        <v>1077167.46657037</v>
      </c>
      <c r="CE49" s="109" t="n">
        <v>0.920438121991155</v>
      </c>
    </row>
    <row r="52" ht="15" customFormat="1" customHeight="1" s="41">
      <c r="B52" s="42" t="n"/>
      <c r="C52" s="43" t="n"/>
      <c r="D52" s="43" t="n"/>
      <c r="E52" s="43" t="n"/>
      <c r="F52" s="43" t="n"/>
      <c r="G52" s="44" t="n"/>
      <c r="H52" s="103" t="inlineStr">
        <is>
          <t>主投</t>
        </is>
      </c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5" t="n"/>
      <c r="AG52" s="74" t="inlineStr">
        <is>
          <t>主投</t>
        </is>
      </c>
      <c r="AH52" s="74" t="n"/>
      <c r="AI52" s="74" t="n"/>
      <c r="AJ52" s="74" t="n"/>
      <c r="AK52" s="74" t="n"/>
      <c r="AL52" s="74" t="n"/>
      <c r="AM52" s="74" t="n"/>
      <c r="AN52" s="74" t="n"/>
      <c r="AO52" s="49" t="inlineStr">
        <is>
          <t>辅投</t>
        </is>
      </c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74" t="inlineStr">
        <is>
          <t>辅投</t>
        </is>
      </c>
      <c r="BJ52" s="74" t="n"/>
      <c r="BK52" s="74" t="n"/>
      <c r="BL52" s="74" t="n"/>
      <c r="BM52" s="74" t="n"/>
      <c r="BN52" s="74" t="n"/>
      <c r="BO52" s="74" t="n"/>
      <c r="BP52" s="75" t="n"/>
      <c r="BQ52" s="106" t="inlineStr">
        <is>
          <t>汇总</t>
        </is>
      </c>
      <c r="BR52" s="104" t="n"/>
      <c r="BS52" s="104" t="n"/>
      <c r="BT52" s="104" t="n"/>
      <c r="BU52" s="104" t="n"/>
      <c r="BV52" s="104" t="n"/>
      <c r="BW52" s="104" t="n"/>
      <c r="BX52" s="104" t="n"/>
      <c r="BY52" s="104" t="n"/>
      <c r="BZ52" s="104" t="n"/>
      <c r="CA52" s="104" t="n"/>
      <c r="CB52" s="104" t="n"/>
      <c r="CC52" s="104" t="n"/>
      <c r="CD52" s="104" t="n"/>
      <c r="CE52" s="105" t="n"/>
    </row>
    <row r="53" ht="54.75" customFormat="1" customHeight="1" s="89">
      <c r="B53" s="91" t="inlineStr">
        <is>
          <t>渠道组</t>
        </is>
      </c>
      <c r="C53" s="91" t="inlineStr">
        <is>
          <t>供应商</t>
        </is>
      </c>
      <c r="D53" s="91" t="inlineStr">
        <is>
          <t>渠道名称</t>
        </is>
      </c>
      <c r="E53" s="91" t="inlineStr">
        <is>
          <t>主投</t>
        </is>
      </c>
      <c r="F53" s="91" t="inlineStr">
        <is>
          <t>辅投</t>
        </is>
      </c>
      <c r="G53" s="91" t="inlineStr">
        <is>
          <t>结算方式</t>
        </is>
      </c>
      <c r="H53" s="91" t="inlineStr">
        <is>
          <t>滚动消耗</t>
        </is>
      </c>
      <c r="I53" s="127" t="inlineStr">
        <is>
          <t>滚动消耗(不含赠课成本)</t>
        </is>
      </c>
      <c r="J53" s="91" t="inlineStr">
        <is>
          <t>单例子成本</t>
        </is>
      </c>
      <c r="K53" s="91" t="inlineStr">
        <is>
          <t>例子数</t>
        </is>
      </c>
      <c r="L53" s="91" t="inlineStr">
        <is>
          <t>分发数</t>
        </is>
      </c>
      <c r="M53" s="91" t="inlineStr">
        <is>
          <t>剔除毛例子
分发数</t>
        </is>
      </c>
      <c r="N53" s="91" t="inlineStr">
        <is>
          <t>约课数</t>
        </is>
      </c>
      <c r="O53" s="91" t="inlineStr">
        <is>
          <t>到课数</t>
        </is>
      </c>
      <c r="P53" s="91" t="inlineStr">
        <is>
          <t>滚动到课数</t>
        </is>
      </c>
      <c r="Q53" s="91" t="inlineStr">
        <is>
          <t>当月成交数</t>
        </is>
      </c>
      <c r="R53" s="91" t="inlineStr">
        <is>
          <t>滚动成交数</t>
        </is>
      </c>
      <c r="S53" s="91" t="inlineStr">
        <is>
          <t>当月GMV</t>
        </is>
      </c>
      <c r="T53" s="91" t="inlineStr">
        <is>
          <t>滚动GMV</t>
        </is>
      </c>
      <c r="U53" s="91" t="inlineStr">
        <is>
          <t>海外GMV占比</t>
        </is>
      </c>
      <c r="V53" s="91" t="inlineStr">
        <is>
          <t>滚动ASP</t>
        </is>
      </c>
      <c r="W53" s="91" t="inlineStr">
        <is>
          <t>例子分发率</t>
        </is>
      </c>
      <c r="X53" s="91" t="inlineStr">
        <is>
          <t>分发约课率</t>
        </is>
      </c>
      <c r="Y53" s="91" t="inlineStr">
        <is>
          <t>例子约课率</t>
        </is>
      </c>
      <c r="Z53" s="91" t="inlineStr">
        <is>
          <t>约课到课率</t>
        </is>
      </c>
      <c r="AA53" s="91" t="inlineStr">
        <is>
          <t>滚动应到课率</t>
        </is>
      </c>
      <c r="AB53" s="91" t="inlineStr">
        <is>
          <t>到课转化率</t>
        </is>
      </c>
      <c r="AC53" s="91" t="inlineStr">
        <is>
          <t>注册转化率</t>
        </is>
      </c>
      <c r="AD53" s="91" t="inlineStr">
        <is>
          <t>滚动转化率</t>
        </is>
      </c>
      <c r="AE53" s="91" t="inlineStr">
        <is>
          <t>滚动ROI2总成本</t>
        </is>
      </c>
      <c r="AF53" s="91" t="inlineStr">
        <is>
          <t>滚动ROI2</t>
        </is>
      </c>
      <c r="AG53" s="91" t="inlineStr">
        <is>
          <t>滚动应到课人数</t>
        </is>
      </c>
      <c r="AH53" s="91" t="inlineStr">
        <is>
          <t>滚动到课人数</t>
        </is>
      </c>
      <c r="AI53" s="91" t="inlineStr">
        <is>
          <t>滚动到课人次</t>
        </is>
      </c>
      <c r="AJ53" s="91" t="inlineStr">
        <is>
          <t>运营成本</t>
        </is>
      </c>
      <c r="AK53" s="91" t="inlineStr">
        <is>
          <t>销售固定成本</t>
        </is>
      </c>
      <c r="AL53" s="91" t="inlineStr">
        <is>
          <t>销售变动成本</t>
        </is>
      </c>
      <c r="AM53" s="91" t="inlineStr">
        <is>
          <t>TMK费用</t>
        </is>
      </c>
      <c r="AN53" s="91" t="inlineStr">
        <is>
          <t>DEMO费用</t>
        </is>
      </c>
      <c r="AO53" s="91" t="inlineStr">
        <is>
          <t>例子数</t>
        </is>
      </c>
      <c r="AP53" s="91" t="inlineStr">
        <is>
          <t>分发数</t>
        </is>
      </c>
      <c r="AQ53" s="91" t="inlineStr">
        <is>
          <t>剔除毛例子分发数</t>
        </is>
      </c>
      <c r="AR53" s="91" t="inlineStr">
        <is>
          <t>约课数</t>
        </is>
      </c>
      <c r="AS53" s="91" t="inlineStr">
        <is>
          <t>到课数</t>
        </is>
      </c>
      <c r="AT53" s="91" t="inlineStr">
        <is>
          <t>滚动到课数</t>
        </is>
      </c>
      <c r="AU53" s="91" t="inlineStr">
        <is>
          <t>当月成交</t>
        </is>
      </c>
      <c r="AV53" s="91" t="inlineStr">
        <is>
          <t>滚动成交数</t>
        </is>
      </c>
      <c r="AW53" s="91" t="inlineStr">
        <is>
          <t>当月GMV</t>
        </is>
      </c>
      <c r="AX53" s="91" t="inlineStr">
        <is>
          <t>滚动GMV</t>
        </is>
      </c>
      <c r="AY53" s="91" t="inlineStr">
        <is>
          <t>海外GMV占比</t>
        </is>
      </c>
      <c r="AZ53" s="91" t="inlineStr">
        <is>
          <t>滚动ASP</t>
        </is>
      </c>
      <c r="BA53" s="91" t="inlineStr">
        <is>
          <t>例子分发率</t>
        </is>
      </c>
      <c r="BB53" s="91" t="inlineStr">
        <is>
          <t>分发约课率</t>
        </is>
      </c>
      <c r="BC53" s="91" t="inlineStr">
        <is>
          <t>例子约课率</t>
        </is>
      </c>
      <c r="BD53" s="91" t="inlineStr">
        <is>
          <t>约课到课率</t>
        </is>
      </c>
      <c r="BE53" s="91" t="inlineStr">
        <is>
          <t>滚动应到课率</t>
        </is>
      </c>
      <c r="BF53" s="91" t="inlineStr">
        <is>
          <t>到课转化率</t>
        </is>
      </c>
      <c r="BG53" s="91" t="inlineStr">
        <is>
          <t>注册转化率</t>
        </is>
      </c>
      <c r="BH53" s="91" t="inlineStr">
        <is>
          <t>滚动转化率</t>
        </is>
      </c>
      <c r="BI53" s="91" t="inlineStr">
        <is>
          <t>滚动应到课人数</t>
        </is>
      </c>
      <c r="BJ53" s="91" t="inlineStr">
        <is>
          <t>滚动到课人数</t>
        </is>
      </c>
      <c r="BK53" s="91" t="inlineStr">
        <is>
          <t>滚动到课人次</t>
        </is>
      </c>
      <c r="BL53" s="91" t="inlineStr">
        <is>
          <t>运营成本</t>
        </is>
      </c>
      <c r="BM53" s="91" t="inlineStr">
        <is>
          <t>销售固定成本</t>
        </is>
      </c>
      <c r="BN53" s="91" t="inlineStr">
        <is>
          <t>销售变动成本</t>
        </is>
      </c>
      <c r="BO53" s="91" t="inlineStr">
        <is>
          <t>TMK费用</t>
        </is>
      </c>
      <c r="BP53" s="91" t="inlineStr">
        <is>
          <t>DEMO费用</t>
        </is>
      </c>
      <c r="BQ53" s="91" t="inlineStr">
        <is>
          <t>当月GMV</t>
        </is>
      </c>
      <c r="BR53" s="91" t="inlineStr">
        <is>
          <t>滚动GMV</t>
        </is>
      </c>
      <c r="BS53" s="91" t="inlineStr">
        <is>
          <t>海外GMV占比</t>
        </is>
      </c>
      <c r="BT53" s="91" t="inlineStr">
        <is>
          <t>滚动其他成本</t>
        </is>
      </c>
      <c r="BU53" s="91" t="inlineStr">
        <is>
          <t>同源其他成本</t>
        </is>
      </c>
      <c r="BV53" s="91" t="inlineStr">
        <is>
          <t>运营成本</t>
        </is>
      </c>
      <c r="BW53" s="91" t="inlineStr">
        <is>
          <t>滚动消耗</t>
        </is>
      </c>
      <c r="BX53" s="91" t="inlineStr">
        <is>
          <t>同源消耗</t>
        </is>
      </c>
      <c r="BY53" s="91" t="inlineStr">
        <is>
          <t>当月ROI2总成本</t>
        </is>
      </c>
      <c r="BZ53" s="91" t="inlineStr">
        <is>
          <t>当月ROI2</t>
        </is>
      </c>
      <c r="CA53" s="127" t="inlineStr">
        <is>
          <t>滚动赠课成本</t>
        </is>
      </c>
      <c r="CB53" s="91" t="inlineStr">
        <is>
          <t>滚动ROI2总成本</t>
        </is>
      </c>
      <c r="CC53" s="91" t="inlineStr">
        <is>
          <t>滚动ROI2</t>
        </is>
      </c>
      <c r="CD53" s="91" t="inlineStr">
        <is>
          <t>O-ROI总成本</t>
        </is>
      </c>
      <c r="CE53" s="91" t="inlineStr">
        <is>
          <t>O-ROI</t>
        </is>
      </c>
      <c r="CF53" s="89" t="inlineStr">
        <is>
          <t xml:space="preserve">   </t>
        </is>
      </c>
    </row>
    <row r="54" ht="16.5" customFormat="1" customHeight="1" s="39">
      <c r="B54" s="57" t="n"/>
      <c r="C54" s="77" t="inlineStr">
        <is>
          <t>Bob林盛斌</t>
        </is>
      </c>
      <c r="D54" s="57" t="inlineStr">
        <is>
          <t>总计</t>
        </is>
      </c>
      <c r="E54" s="57" t="inlineStr">
        <is>
          <t>-</t>
        </is>
      </c>
      <c r="F54" s="57" t="inlineStr">
        <is>
          <t>-</t>
        </is>
      </c>
      <c r="G54" s="57" t="inlineStr">
        <is>
          <t>-</t>
        </is>
      </c>
      <c r="H54" s="107" t="n">
        <v>53515.0378494042</v>
      </c>
      <c r="I54" s="118">
        <f>H54-CA54</f>
        <v/>
      </c>
      <c r="J54" s="107" t="n">
        <v>1274.16756784296</v>
      </c>
      <c r="K54" s="57" t="n">
        <v>42</v>
      </c>
      <c r="L54" s="57" t="n">
        <v>21</v>
      </c>
      <c r="M54" s="57" t="n">
        <v>28</v>
      </c>
      <c r="N54" s="57" t="n">
        <v>21</v>
      </c>
      <c r="O54" s="57" t="n">
        <v>18</v>
      </c>
      <c r="P54" s="57" t="n">
        <v>25</v>
      </c>
      <c r="Q54" s="57" t="n">
        <v>4</v>
      </c>
      <c r="R54" s="57" t="n">
        <v>7</v>
      </c>
      <c r="S54" s="107" t="n">
        <v>26852</v>
      </c>
      <c r="T54" s="107" t="n">
        <v>44916</v>
      </c>
      <c r="U54" s="108" t="n">
        <v>1</v>
      </c>
      <c r="V54" s="107" t="n">
        <v>6416.57142857143</v>
      </c>
      <c r="W54" s="108" t="n">
        <v>0.5</v>
      </c>
      <c r="X54" s="108" t="n">
        <v>1</v>
      </c>
      <c r="Y54" s="108" t="n">
        <v>0.5</v>
      </c>
      <c r="Z54" s="108" t="n">
        <v>0.857142857142857</v>
      </c>
      <c r="AA54" s="108" t="n">
        <v>0.961538461538462</v>
      </c>
      <c r="AB54" s="108" t="n">
        <v>0.222222222222222</v>
      </c>
      <c r="AC54" s="108" t="n">
        <v>0.09523809523809521</v>
      </c>
      <c r="AD54" s="108" t="n">
        <v>0.166666666666667</v>
      </c>
      <c r="AE54" s="107" t="n">
        <v>65977.2718573459</v>
      </c>
      <c r="AF54" s="109" t="n">
        <v>0.680779891856032</v>
      </c>
      <c r="AG54" s="57" t="n">
        <v>26</v>
      </c>
      <c r="AH54" s="57" t="n">
        <v>25</v>
      </c>
      <c r="AI54" s="57" t="n">
        <v>30</v>
      </c>
      <c r="AJ54" s="107" t="n">
        <v>1848.18481848185</v>
      </c>
      <c r="AK54" s="107" t="n">
        <v>2938.15123335685</v>
      </c>
      <c r="AL54" s="107" t="n">
        <v>4599.31248514014</v>
      </c>
      <c r="AM54" s="107" t="n">
        <v>432.339546790176</v>
      </c>
      <c r="AN54" s="107" t="n">
        <v>2644.24592417274</v>
      </c>
      <c r="AO54" s="57" t="n">
        <v>0</v>
      </c>
      <c r="AP54" s="57" t="n">
        <v>0</v>
      </c>
      <c r="AQ54" s="57" t="n">
        <v>0</v>
      </c>
      <c r="AR54" s="57" t="n">
        <v>0</v>
      </c>
      <c r="AS54" s="57" t="n">
        <v>0</v>
      </c>
      <c r="AT54" s="57" t="n">
        <v>1</v>
      </c>
      <c r="AU54" s="57" t="n">
        <v>0</v>
      </c>
      <c r="AV54" s="57" t="n">
        <v>0</v>
      </c>
      <c r="AW54" s="107" t="n">
        <v>0</v>
      </c>
      <c r="AX54" s="107" t="n">
        <v>0</v>
      </c>
      <c r="AY54" s="108" t="n"/>
      <c r="AZ54" s="107" t="n"/>
      <c r="BA54" s="108" t="n"/>
      <c r="BB54" s="108" t="n"/>
      <c r="BC54" s="108" t="n"/>
      <c r="BD54" s="108" t="n"/>
      <c r="BE54" s="108" t="n">
        <v>1</v>
      </c>
      <c r="BF54" s="108" t="n"/>
      <c r="BG54" s="108" t="n"/>
      <c r="BH54" s="108" t="n"/>
      <c r="BI54" s="57" t="n">
        <v>1</v>
      </c>
      <c r="BJ54" s="57" t="n">
        <v>1</v>
      </c>
      <c r="BK54" s="57" t="n">
        <v>1</v>
      </c>
      <c r="BL54" s="107" t="n">
        <v>0</v>
      </c>
      <c r="BM54" s="107" t="n">
        <v>0</v>
      </c>
      <c r="BN54" s="107" t="n">
        <v>0</v>
      </c>
      <c r="BO54" s="107" t="n">
        <v>0</v>
      </c>
      <c r="BP54" s="107" t="n">
        <v>82.18338614965209</v>
      </c>
      <c r="BQ54" s="107" t="n">
        <v>26852</v>
      </c>
      <c r="BR54" s="107" t="n">
        <v>44916</v>
      </c>
      <c r="BS54" s="108" t="n">
        <v>1</v>
      </c>
      <c r="BT54" s="107" t="n">
        <v>10696.2325756096</v>
      </c>
      <c r="BU54" s="107" t="n">
        <v>7236.51855650109</v>
      </c>
      <c r="BV54" s="107" t="n">
        <v>1848.18481848185</v>
      </c>
      <c r="BW54" s="107" t="n">
        <v>53515.0378494042</v>
      </c>
      <c r="BX54" s="107" t="n">
        <v>52985.7659139452</v>
      </c>
      <c r="BY54" s="107" t="n">
        <v>62070.4692889282</v>
      </c>
      <c r="BZ54" s="109" t="n">
        <v>0.43260507464521</v>
      </c>
      <c r="CA54" s="118" t="n">
        <v>1234.96784940415</v>
      </c>
      <c r="CB54" s="107" t="n">
        <v>66059.4552434956</v>
      </c>
      <c r="CC54" s="109" t="n">
        <v>0.679932945774974</v>
      </c>
      <c r="CD54" s="107" t="n">
        <v>67361.2704250137</v>
      </c>
      <c r="CE54" s="109" t="n">
        <v>0.666792649791252</v>
      </c>
    </row>
    <row r="55" ht="16.5" customFormat="1" customHeight="1" s="39">
      <c r="B55" s="128" t="n"/>
      <c r="C55" s="77" t="inlineStr">
        <is>
          <t>Tracy葉翠翠</t>
        </is>
      </c>
      <c r="D55" s="57" t="inlineStr">
        <is>
          <t>总计</t>
        </is>
      </c>
      <c r="E55" s="57" t="inlineStr">
        <is>
          <t>-</t>
        </is>
      </c>
      <c r="F55" s="57" t="inlineStr">
        <is>
          <t>-</t>
        </is>
      </c>
      <c r="G55" s="57" t="inlineStr">
        <is>
          <t>-</t>
        </is>
      </c>
      <c r="H55" s="107" t="n">
        <v>13816.4239784863</v>
      </c>
      <c r="I55" s="118">
        <f>H55-CA55</f>
        <v/>
      </c>
      <c r="J55" s="107" t="n"/>
      <c r="K55" s="57" t="n">
        <v>0</v>
      </c>
      <c r="L55" s="57" t="n">
        <v>0</v>
      </c>
      <c r="M55" s="57" t="n">
        <v>1</v>
      </c>
      <c r="N55" s="57" t="n">
        <v>0</v>
      </c>
      <c r="O55" s="57" t="n">
        <v>0</v>
      </c>
      <c r="P55" s="57" t="n">
        <v>1</v>
      </c>
      <c r="Q55" s="57" t="n">
        <v>0</v>
      </c>
      <c r="R55" s="57" t="n">
        <v>1</v>
      </c>
      <c r="S55" s="107" t="n">
        <v>0</v>
      </c>
      <c r="T55" s="107" t="n">
        <v>3588</v>
      </c>
      <c r="U55" s="108" t="n">
        <v>1</v>
      </c>
      <c r="V55" s="107" t="n">
        <v>3588</v>
      </c>
      <c r="W55" s="108" t="n"/>
      <c r="X55" s="108" t="n"/>
      <c r="Y55" s="108" t="n"/>
      <c r="Z55" s="108" t="n"/>
      <c r="AA55" s="108" t="n">
        <v>1</v>
      </c>
      <c r="AB55" s="108" t="n"/>
      <c r="AC55" s="108" t="n"/>
      <c r="AD55" s="108" t="n"/>
      <c r="AE55" s="107" t="n">
        <v>14376.9038188227</v>
      </c>
      <c r="AF55" s="109" t="n">
        <v>0.249566947460724</v>
      </c>
      <c r="AG55" s="57" t="n">
        <v>1</v>
      </c>
      <c r="AH55" s="57" t="n">
        <v>1</v>
      </c>
      <c r="AI55" s="57" t="n">
        <v>1</v>
      </c>
      <c r="AJ55" s="107" t="n">
        <v>0</v>
      </c>
      <c r="AK55" s="107" t="n">
        <v>104.933972619887</v>
      </c>
      <c r="AL55" s="107" t="n">
        <v>367.404336910741</v>
      </c>
      <c r="AM55" s="107" t="n">
        <v>0</v>
      </c>
      <c r="AN55" s="107" t="n">
        <v>88.14153080575809</v>
      </c>
      <c r="AO55" s="57" t="n">
        <v>0</v>
      </c>
      <c r="AP55" s="57" t="n">
        <v>0</v>
      </c>
      <c r="AQ55" s="57" t="n">
        <v>0</v>
      </c>
      <c r="AR55" s="57" t="n">
        <v>0</v>
      </c>
      <c r="AS55" s="57" t="n">
        <v>0</v>
      </c>
      <c r="AT55" s="57" t="n">
        <v>0</v>
      </c>
      <c r="AU55" s="57" t="n">
        <v>0</v>
      </c>
      <c r="AV55" s="57" t="n">
        <v>0</v>
      </c>
      <c r="AW55" s="107" t="n">
        <v>0</v>
      </c>
      <c r="AX55" s="107" t="n">
        <v>0</v>
      </c>
      <c r="AY55" s="108" t="n"/>
      <c r="AZ55" s="107" t="n"/>
      <c r="BA55" s="108" t="n"/>
      <c r="BB55" s="108" t="n"/>
      <c r="BC55" s="108" t="n"/>
      <c r="BD55" s="108" t="n"/>
      <c r="BE55" s="108" t="n"/>
      <c r="BF55" s="108" t="n"/>
      <c r="BG55" s="108" t="n"/>
      <c r="BH55" s="108" t="n"/>
      <c r="BI55" s="57" t="n">
        <v>0</v>
      </c>
      <c r="BJ55" s="57" t="n">
        <v>0</v>
      </c>
      <c r="BK55" s="57" t="n">
        <v>0</v>
      </c>
      <c r="BL55" s="107" t="n">
        <v>0</v>
      </c>
      <c r="BM55" s="107" t="n">
        <v>0</v>
      </c>
      <c r="BN55" s="107" t="n">
        <v>0</v>
      </c>
      <c r="BO55" s="107" t="n">
        <v>0</v>
      </c>
      <c r="BP55" s="107" t="n">
        <v>0</v>
      </c>
      <c r="BQ55" s="107" t="n">
        <v>0</v>
      </c>
      <c r="BR55" s="107" t="n">
        <v>3588</v>
      </c>
      <c r="BS55" s="108" t="n">
        <v>1</v>
      </c>
      <c r="BT55" s="107" t="n">
        <v>560.479840336386</v>
      </c>
      <c r="BU55" s="107" t="n">
        <v>0</v>
      </c>
      <c r="BV55" s="107" t="n">
        <v>0</v>
      </c>
      <c r="BW55" s="107" t="n">
        <v>13816.4239784863</v>
      </c>
      <c r="BX55" s="107" t="n">
        <v>13640</v>
      </c>
      <c r="BY55" s="107" t="n">
        <v>13640</v>
      </c>
      <c r="BZ55" s="109" t="n"/>
      <c r="CA55" s="118" t="n">
        <v>176.423978486307</v>
      </c>
      <c r="CB55" s="107" t="n">
        <v>14376.9038188227</v>
      </c>
      <c r="CC55" s="109" t="n">
        <v>0.249566947460724</v>
      </c>
      <c r="CD55" s="107" t="n">
        <v>14376.9038188227</v>
      </c>
      <c r="CE55" s="109" t="n">
        <v>0.249566947460724</v>
      </c>
    </row>
    <row r="56" ht="16.5" customFormat="1" customHeight="1" s="39">
      <c r="B56" s="128" t="n"/>
      <c r="C56" s="77" t="inlineStr">
        <is>
          <t>吴若希Jinny</t>
        </is>
      </c>
      <c r="D56" s="57" t="inlineStr">
        <is>
          <t>总计</t>
        </is>
      </c>
      <c r="E56" s="57" t="inlineStr">
        <is>
          <t>-</t>
        </is>
      </c>
      <c r="F56" s="57" t="inlineStr">
        <is>
          <t>-</t>
        </is>
      </c>
      <c r="G56" s="57" t="inlineStr">
        <is>
          <t>-</t>
        </is>
      </c>
      <c r="H56" s="107" t="n">
        <v>68696.00053758451</v>
      </c>
      <c r="I56" s="118">
        <f>H56-CA56</f>
        <v/>
      </c>
      <c r="J56" s="107" t="n">
        <v>1205.19299188745</v>
      </c>
      <c r="K56" s="57" t="n">
        <v>57</v>
      </c>
      <c r="L56" s="57" t="n">
        <v>28</v>
      </c>
      <c r="M56" s="57" t="n">
        <v>28</v>
      </c>
      <c r="N56" s="57" t="n">
        <v>29</v>
      </c>
      <c r="O56" s="57" t="n">
        <v>25</v>
      </c>
      <c r="P56" s="57" t="n">
        <v>25</v>
      </c>
      <c r="Q56" s="57" t="n">
        <v>6</v>
      </c>
      <c r="R56" s="57" t="n">
        <v>6</v>
      </c>
      <c r="S56" s="107" t="n">
        <v>26528</v>
      </c>
      <c r="T56" s="107" t="n">
        <v>26528</v>
      </c>
      <c r="U56" s="108" t="n">
        <v>1</v>
      </c>
      <c r="V56" s="107" t="n">
        <v>4421.33333333333</v>
      </c>
      <c r="W56" s="108" t="n">
        <v>0.491228070175439</v>
      </c>
      <c r="X56" s="108" t="n">
        <v>1.03571428571429</v>
      </c>
      <c r="Y56" s="108" t="n">
        <v>0.508771929824561</v>
      </c>
      <c r="Z56" s="108" t="n">
        <v>0.862068965517241</v>
      </c>
      <c r="AA56" s="108" t="n">
        <v>0.961538461538462</v>
      </c>
      <c r="AB56" s="108" t="n">
        <v>0.24</v>
      </c>
      <c r="AC56" s="108" t="n">
        <v>0.105263157894737</v>
      </c>
      <c r="AD56" s="108" t="n">
        <v>0.105263157894737</v>
      </c>
      <c r="AE56" s="107" t="n">
        <v>79737.24538227649</v>
      </c>
      <c r="AF56" s="109" t="n">
        <v>0.332692706812474</v>
      </c>
      <c r="AG56" s="57" t="n">
        <v>26</v>
      </c>
      <c r="AH56" s="57" t="n">
        <v>25</v>
      </c>
      <c r="AI56" s="57" t="n">
        <v>26</v>
      </c>
      <c r="AJ56" s="107" t="n">
        <v>2508.25082508251</v>
      </c>
      <c r="AK56" s="107" t="n">
        <v>2938.15123335685</v>
      </c>
      <c r="AL56" s="107" t="n">
        <v>2716.4164575162</v>
      </c>
      <c r="AM56" s="107" t="n">
        <v>586.746527786667</v>
      </c>
      <c r="AN56" s="107" t="n">
        <v>2291.67980094971</v>
      </c>
      <c r="AO56" s="57" t="n">
        <v>0</v>
      </c>
      <c r="AP56" s="57" t="n">
        <v>0</v>
      </c>
      <c r="AQ56" s="57" t="n">
        <v>0</v>
      </c>
      <c r="AR56" s="57" t="n">
        <v>0</v>
      </c>
      <c r="AS56" s="57" t="n">
        <v>0</v>
      </c>
      <c r="AT56" s="57" t="n">
        <v>0</v>
      </c>
      <c r="AU56" s="57" t="n">
        <v>0</v>
      </c>
      <c r="AV56" s="57" t="n">
        <v>0</v>
      </c>
      <c r="AW56" s="107" t="n">
        <v>0</v>
      </c>
      <c r="AX56" s="107" t="n">
        <v>0</v>
      </c>
      <c r="AY56" s="108" t="n"/>
      <c r="AZ56" s="107" t="n"/>
      <c r="BA56" s="108" t="n"/>
      <c r="BB56" s="108" t="n"/>
      <c r="BC56" s="108" t="n"/>
      <c r="BD56" s="108" t="n"/>
      <c r="BE56" s="108" t="n"/>
      <c r="BF56" s="108" t="n"/>
      <c r="BG56" s="108" t="n"/>
      <c r="BH56" s="108" t="n"/>
      <c r="BI56" s="57" t="n">
        <v>0</v>
      </c>
      <c r="BJ56" s="57" t="n">
        <v>0</v>
      </c>
      <c r="BK56" s="57" t="n">
        <v>0</v>
      </c>
      <c r="BL56" s="107" t="n">
        <v>0</v>
      </c>
      <c r="BM56" s="107" t="n">
        <v>0</v>
      </c>
      <c r="BN56" s="107" t="n">
        <v>0</v>
      </c>
      <c r="BO56" s="107" t="n">
        <v>0</v>
      </c>
      <c r="BP56" s="107" t="n">
        <v>0</v>
      </c>
      <c r="BQ56" s="107" t="n">
        <v>26528</v>
      </c>
      <c r="BR56" s="107" t="n">
        <v>26528</v>
      </c>
      <c r="BS56" s="108" t="n">
        <v>1</v>
      </c>
      <c r="BT56" s="107" t="n">
        <v>8532.99401960943</v>
      </c>
      <c r="BU56" s="107" t="n">
        <v>8532.99401960943</v>
      </c>
      <c r="BV56" s="107" t="n">
        <v>2508.25082508251</v>
      </c>
      <c r="BW56" s="107" t="n">
        <v>68696.00053758451</v>
      </c>
      <c r="BX56" s="107" t="n">
        <v>68696.00053758451</v>
      </c>
      <c r="BY56" s="107" t="n">
        <v>79737.24538227649</v>
      </c>
      <c r="BZ56" s="109" t="n">
        <v>0.332692706812474</v>
      </c>
      <c r="CA56" s="118" t="n">
        <v>1058.54387091784</v>
      </c>
      <c r="CB56" s="107" t="n">
        <v>79737.24538227649</v>
      </c>
      <c r="CC56" s="109" t="n">
        <v>0.332692706812474</v>
      </c>
      <c r="CD56" s="107" t="n">
        <v>81503.994557194</v>
      </c>
      <c r="CE56" s="109" t="n">
        <v>0.325480979725288</v>
      </c>
    </row>
    <row r="57" ht="16.5" customFormat="1" customHeight="1" s="39">
      <c r="B57" s="128" t="n"/>
      <c r="C57" s="77" t="inlineStr">
        <is>
          <t>孙慧雪</t>
        </is>
      </c>
      <c r="D57" s="57" t="inlineStr">
        <is>
          <t>总计</t>
        </is>
      </c>
      <c r="E57" s="57" t="inlineStr">
        <is>
          <t>-</t>
        </is>
      </c>
      <c r="F57" s="57" t="inlineStr">
        <is>
          <t>-</t>
        </is>
      </c>
      <c r="G57" s="57" t="inlineStr">
        <is>
          <t>-</t>
        </is>
      </c>
      <c r="H57" s="107" t="n">
        <v>52997.3738771993</v>
      </c>
      <c r="I57" s="118">
        <f>H57-CA57</f>
        <v/>
      </c>
      <c r="J57" s="107" t="n">
        <v>928.050205619684</v>
      </c>
      <c r="K57" s="57" t="n">
        <v>57</v>
      </c>
      <c r="L57" s="57" t="n">
        <v>24</v>
      </c>
      <c r="M57" s="57" t="n">
        <v>29</v>
      </c>
      <c r="N57" s="57" t="n">
        <v>26</v>
      </c>
      <c r="O57" s="57" t="n">
        <v>20</v>
      </c>
      <c r="P57" s="57" t="n">
        <v>32</v>
      </c>
      <c r="Q57" s="57" t="n">
        <v>11</v>
      </c>
      <c r="R57" s="57" t="n">
        <v>13</v>
      </c>
      <c r="S57" s="107" t="n">
        <v>56968</v>
      </c>
      <c r="T57" s="107" t="n">
        <v>64144</v>
      </c>
      <c r="U57" s="108" t="n">
        <v>1</v>
      </c>
      <c r="V57" s="107" t="n">
        <v>4934.15384615385</v>
      </c>
      <c r="W57" s="108" t="n">
        <v>0.421052631578947</v>
      </c>
      <c r="X57" s="108" t="n">
        <v>1.08333333333333</v>
      </c>
      <c r="Y57" s="108" t="n">
        <v>0.456140350877193</v>
      </c>
      <c r="Z57" s="108" t="n">
        <v>0.7692307692307691</v>
      </c>
      <c r="AA57" s="108" t="n">
        <v>0.914285714285714</v>
      </c>
      <c r="AB57" s="108" t="n">
        <v>0.55</v>
      </c>
      <c r="AC57" s="108" t="n">
        <v>0.192982456140351</v>
      </c>
      <c r="AD57" s="108" t="n">
        <v>0.228070175438596</v>
      </c>
      <c r="AE57" s="107" t="n">
        <v>68601.9792325845</v>
      </c>
      <c r="AF57" s="109" t="n">
        <v>0.935016754874224</v>
      </c>
      <c r="AG57" s="57" t="n">
        <v>35</v>
      </c>
      <c r="AH57" s="57" t="n">
        <v>32</v>
      </c>
      <c r="AI57" s="57" t="n">
        <v>34</v>
      </c>
      <c r="AJ57" s="107" t="n">
        <v>2508.25082508251</v>
      </c>
      <c r="AK57" s="107" t="n">
        <v>3043.08520597673</v>
      </c>
      <c r="AL57" s="107" t="n">
        <v>6568.22290602078</v>
      </c>
      <c r="AM57" s="107" t="n">
        <v>586.746527786667</v>
      </c>
      <c r="AN57" s="107" t="n">
        <v>2996.81204739578</v>
      </c>
      <c r="AO57" s="57" t="n">
        <v>0</v>
      </c>
      <c r="AP57" s="57" t="n">
        <v>0</v>
      </c>
      <c r="AQ57" s="57" t="n">
        <v>1</v>
      </c>
      <c r="AR57" s="57" t="n">
        <v>0</v>
      </c>
      <c r="AS57" s="57" t="n">
        <v>0</v>
      </c>
      <c r="AT57" s="57" t="n">
        <v>1</v>
      </c>
      <c r="AU57" s="57" t="n">
        <v>0</v>
      </c>
      <c r="AV57" s="57" t="n">
        <v>1</v>
      </c>
      <c r="AW57" s="107" t="n">
        <v>0</v>
      </c>
      <c r="AX57" s="107" t="n">
        <v>1880</v>
      </c>
      <c r="AY57" s="108" t="n">
        <v>1</v>
      </c>
      <c r="AZ57" s="107" t="n">
        <v>1880</v>
      </c>
      <c r="BA57" s="108" t="n"/>
      <c r="BB57" s="108" t="n"/>
      <c r="BC57" s="108" t="n"/>
      <c r="BD57" s="108" t="n"/>
      <c r="BE57" s="108" t="n">
        <v>1</v>
      </c>
      <c r="BF57" s="108" t="n"/>
      <c r="BG57" s="108" t="n"/>
      <c r="BH57" s="108" t="n"/>
      <c r="BI57" s="57" t="n">
        <v>1</v>
      </c>
      <c r="BJ57" s="57" t="n">
        <v>1</v>
      </c>
      <c r="BK57" s="57" t="n">
        <v>1</v>
      </c>
      <c r="BL57" s="107" t="n">
        <v>0</v>
      </c>
      <c r="BM57" s="107" t="n">
        <v>94.86494985166161</v>
      </c>
      <c r="BN57" s="107" t="n">
        <v>197.373919695283</v>
      </c>
      <c r="BO57" s="107" t="n">
        <v>0</v>
      </c>
      <c r="BP57" s="107" t="n">
        <v>82.18338614965209</v>
      </c>
      <c r="BQ57" s="107" t="n">
        <v>56968</v>
      </c>
      <c r="BR57" s="107" t="n">
        <v>66024</v>
      </c>
      <c r="BS57" s="108" t="n">
        <v>1</v>
      </c>
      <c r="BT57" s="107" t="n">
        <v>13569.2889428766</v>
      </c>
      <c r="BU57" s="107" t="n">
        <v>10789.5482497842</v>
      </c>
      <c r="BV57" s="107" t="n">
        <v>2508.25082508251</v>
      </c>
      <c r="BW57" s="107" t="n">
        <v>52997.3738771993</v>
      </c>
      <c r="BX57" s="107" t="n">
        <v>52546.0137633494</v>
      </c>
      <c r="BY57" s="107" t="n">
        <v>65843.81283821609</v>
      </c>
      <c r="BZ57" s="109" t="n">
        <v>0.865198984450905</v>
      </c>
      <c r="CA57" s="118" t="n">
        <v>2392.02387719934</v>
      </c>
      <c r="CB57" s="107" t="n">
        <v>69074.91364515841</v>
      </c>
      <c r="CC57" s="109" t="n">
        <v>0.955831813835756</v>
      </c>
      <c r="CD57" s="107" t="n">
        <v>70841.6628200759</v>
      </c>
      <c r="CE57" s="109" t="n">
        <v>0.93199393367838</v>
      </c>
    </row>
    <row r="58" ht="16.5" customFormat="1" customHeight="1" s="39">
      <c r="B58" s="128" t="n"/>
      <c r="C58" s="77" t="inlineStr">
        <is>
          <t>张美妮</t>
        </is>
      </c>
      <c r="D58" s="57" t="inlineStr">
        <is>
          <t>总计</t>
        </is>
      </c>
      <c r="E58" s="57" t="inlineStr">
        <is>
          <t>-</t>
        </is>
      </c>
      <c r="F58" s="57" t="inlineStr">
        <is>
          <t>-</t>
        </is>
      </c>
      <c r="G58" s="57" t="inlineStr">
        <is>
          <t>-</t>
        </is>
      </c>
      <c r="H58" s="107" t="n">
        <v>10610.7339784863</v>
      </c>
      <c r="I58" s="118">
        <f>H58-CA58</f>
        <v/>
      </c>
      <c r="J58" s="107" t="n">
        <v>1061.07339784863</v>
      </c>
      <c r="K58" s="57" t="n">
        <v>10</v>
      </c>
      <c r="L58" s="57" t="n">
        <v>8</v>
      </c>
      <c r="M58" s="57" t="n">
        <v>8</v>
      </c>
      <c r="N58" s="57" t="n">
        <v>8</v>
      </c>
      <c r="O58" s="57" t="n">
        <v>4</v>
      </c>
      <c r="P58" s="57" t="n">
        <v>4</v>
      </c>
      <c r="Q58" s="57" t="n">
        <v>1</v>
      </c>
      <c r="R58" s="57" t="n">
        <v>1</v>
      </c>
      <c r="S58" s="107" t="n">
        <v>3588</v>
      </c>
      <c r="T58" s="107" t="n">
        <v>3588</v>
      </c>
      <c r="U58" s="108" t="n">
        <v>1</v>
      </c>
      <c r="V58" s="107" t="n">
        <v>3588</v>
      </c>
      <c r="W58" s="108" t="n">
        <v>0.8</v>
      </c>
      <c r="X58" s="108" t="n">
        <v>1</v>
      </c>
      <c r="Y58" s="108" t="n">
        <v>0.8</v>
      </c>
      <c r="Z58" s="108" t="n">
        <v>0.5</v>
      </c>
      <c r="AA58" s="108" t="n">
        <v>0.666666666666667</v>
      </c>
      <c r="AB58" s="108" t="n">
        <v>0.25</v>
      </c>
      <c r="AC58" s="108" t="n">
        <v>0.1</v>
      </c>
      <c r="AD58" s="108" t="n">
        <v>0.1</v>
      </c>
      <c r="AE58" s="107" t="n">
        <v>12713.1582113106</v>
      </c>
      <c r="AF58" s="109" t="n">
        <v>0.282227275108386</v>
      </c>
      <c r="AG58" s="57" t="n">
        <v>6</v>
      </c>
      <c r="AH58" s="57" t="n">
        <v>4</v>
      </c>
      <c r="AI58" s="57" t="n">
        <v>4</v>
      </c>
      <c r="AJ58" s="107" t="n">
        <v>440.04400440044</v>
      </c>
      <c r="AK58" s="107" t="n">
        <v>839.471780959099</v>
      </c>
      <c r="AL58" s="107" t="n">
        <v>367.404336910741</v>
      </c>
      <c r="AM58" s="107" t="n">
        <v>102.937987330994</v>
      </c>
      <c r="AN58" s="107" t="n">
        <v>352.566123223033</v>
      </c>
      <c r="AO58" s="57" t="n">
        <v>0</v>
      </c>
      <c r="AP58" s="57" t="n">
        <v>0</v>
      </c>
      <c r="AQ58" s="57" t="n">
        <v>0</v>
      </c>
      <c r="AR58" s="57" t="n">
        <v>0</v>
      </c>
      <c r="AS58" s="57" t="n">
        <v>0</v>
      </c>
      <c r="AT58" s="57" t="n">
        <v>0</v>
      </c>
      <c r="AU58" s="57" t="n">
        <v>0</v>
      </c>
      <c r="AV58" s="57" t="n">
        <v>0</v>
      </c>
      <c r="AW58" s="107" t="n">
        <v>0</v>
      </c>
      <c r="AX58" s="107" t="n">
        <v>0</v>
      </c>
      <c r="AY58" s="108" t="n"/>
      <c r="AZ58" s="107" t="n"/>
      <c r="BA58" s="108" t="n"/>
      <c r="BB58" s="108" t="n"/>
      <c r="BC58" s="108" t="n"/>
      <c r="BD58" s="108" t="n"/>
      <c r="BE58" s="108" t="n"/>
      <c r="BF58" s="108" t="n"/>
      <c r="BG58" s="108" t="n"/>
      <c r="BH58" s="108" t="n"/>
      <c r="BI58" s="57" t="n">
        <v>0</v>
      </c>
      <c r="BJ58" s="57" t="n">
        <v>0</v>
      </c>
      <c r="BK58" s="57" t="n">
        <v>0</v>
      </c>
      <c r="BL58" s="107" t="n">
        <v>0</v>
      </c>
      <c r="BM58" s="107" t="n">
        <v>0</v>
      </c>
      <c r="BN58" s="107" t="n">
        <v>0</v>
      </c>
      <c r="BO58" s="107" t="n">
        <v>0</v>
      </c>
      <c r="BP58" s="107" t="n">
        <v>0</v>
      </c>
      <c r="BQ58" s="107" t="n">
        <v>3588</v>
      </c>
      <c r="BR58" s="107" t="n">
        <v>3588</v>
      </c>
      <c r="BS58" s="108" t="n">
        <v>1</v>
      </c>
      <c r="BT58" s="107" t="n">
        <v>1662.38022842387</v>
      </c>
      <c r="BU58" s="107" t="n">
        <v>1662.38022842387</v>
      </c>
      <c r="BV58" s="107" t="n">
        <v>440.04400440044</v>
      </c>
      <c r="BW58" s="107" t="n">
        <v>10610.7339784863</v>
      </c>
      <c r="BX58" s="107" t="n">
        <v>10610.7339784863</v>
      </c>
      <c r="BY58" s="107" t="n">
        <v>12713.1582113106</v>
      </c>
      <c r="BZ58" s="109" t="n">
        <v>0.282227275108386</v>
      </c>
      <c r="CA58" s="118" t="n">
        <v>176.423978486307</v>
      </c>
      <c r="CB58" s="107" t="n">
        <v>12713.1582113106</v>
      </c>
      <c r="CC58" s="109" t="n">
        <v>0.282227275108386</v>
      </c>
      <c r="CD58" s="107" t="n">
        <v>13023.1142069102</v>
      </c>
      <c r="CE58" s="109" t="n">
        <v>0.275510138588524</v>
      </c>
    </row>
    <row r="59" ht="16.5" customFormat="1" customHeight="1" s="39">
      <c r="B59" s="128" t="n"/>
      <c r="C59" s="77" t="inlineStr">
        <is>
          <t>林子善</t>
        </is>
      </c>
      <c r="D59" s="57" t="inlineStr">
        <is>
          <t>总计</t>
        </is>
      </c>
      <c r="E59" s="57" t="inlineStr">
        <is>
          <t>-</t>
        </is>
      </c>
      <c r="F59" s="57" t="inlineStr">
        <is>
          <t>-</t>
        </is>
      </c>
      <c r="G59" s="57" t="inlineStr">
        <is>
          <t>-</t>
        </is>
      </c>
      <c r="H59" s="107" t="n">
        <v>79184.2358063768</v>
      </c>
      <c r="I59" s="118">
        <f>H59-CA59</f>
        <v/>
      </c>
      <c r="J59" s="107" t="n">
        <v>1147.59762038227</v>
      </c>
      <c r="K59" s="57" t="n">
        <v>69</v>
      </c>
      <c r="L59" s="57" t="n">
        <v>32</v>
      </c>
      <c r="M59" s="57" t="n">
        <v>37</v>
      </c>
      <c r="N59" s="57" t="n">
        <v>32</v>
      </c>
      <c r="O59" s="57" t="n">
        <v>25</v>
      </c>
      <c r="P59" s="57" t="n">
        <v>35</v>
      </c>
      <c r="Q59" s="57" t="n">
        <v>4</v>
      </c>
      <c r="R59" s="57" t="n">
        <v>9</v>
      </c>
      <c r="S59" s="107" t="n">
        <v>24352</v>
      </c>
      <c r="T59" s="107" t="n">
        <v>47892</v>
      </c>
      <c r="U59" s="108" t="n">
        <v>1</v>
      </c>
      <c r="V59" s="107" t="n">
        <v>5321.33333333333</v>
      </c>
      <c r="W59" s="108" t="n">
        <v>0.463768115942029</v>
      </c>
      <c r="X59" s="108" t="n">
        <v>1</v>
      </c>
      <c r="Y59" s="108" t="n">
        <v>0.463768115942029</v>
      </c>
      <c r="Z59" s="108" t="n">
        <v>0.78125</v>
      </c>
      <c r="AA59" s="108" t="n">
        <v>0.9459459459459461</v>
      </c>
      <c r="AB59" s="108" t="n">
        <v>0.16</v>
      </c>
      <c r="AC59" s="108" t="n">
        <v>0.0579710144927536</v>
      </c>
      <c r="AD59" s="108" t="n">
        <v>0.130434782608696</v>
      </c>
      <c r="AE59" s="107" t="n">
        <v>95154.9374303622</v>
      </c>
      <c r="AF59" s="109" t="n">
        <v>0.50330546468016</v>
      </c>
      <c r="AG59" s="57" t="n">
        <v>37</v>
      </c>
      <c r="AH59" s="57" t="n">
        <v>35</v>
      </c>
      <c r="AI59" s="57" t="n">
        <v>39</v>
      </c>
      <c r="AJ59" s="107" t="n">
        <v>3036.30363036304</v>
      </c>
      <c r="AK59" s="107" t="n">
        <v>3882.55698693583</v>
      </c>
      <c r="AL59" s="107" t="n">
        <v>4904.04919267815</v>
      </c>
      <c r="AM59" s="107" t="n">
        <v>710.272112583861</v>
      </c>
      <c r="AN59" s="107" t="n">
        <v>3437.51970142457</v>
      </c>
      <c r="AO59" s="57" t="n">
        <v>0</v>
      </c>
      <c r="AP59" s="57" t="n">
        <v>0</v>
      </c>
      <c r="AQ59" s="57" t="n">
        <v>0</v>
      </c>
      <c r="AR59" s="57" t="n">
        <v>0</v>
      </c>
      <c r="AS59" s="57" t="n">
        <v>0</v>
      </c>
      <c r="AT59" s="57" t="n">
        <v>0</v>
      </c>
      <c r="AU59" s="57" t="n">
        <v>0</v>
      </c>
      <c r="AV59" s="57" t="n">
        <v>0</v>
      </c>
      <c r="AW59" s="107" t="n">
        <v>0</v>
      </c>
      <c r="AX59" s="107" t="n">
        <v>0</v>
      </c>
      <c r="AY59" s="108" t="n"/>
      <c r="AZ59" s="107" t="n"/>
      <c r="BA59" s="108" t="n"/>
      <c r="BB59" s="108" t="n"/>
      <c r="BC59" s="108" t="n"/>
      <c r="BD59" s="108" t="n"/>
      <c r="BE59" s="108" t="n"/>
      <c r="BF59" s="108" t="n"/>
      <c r="BG59" s="108" t="n"/>
      <c r="BH59" s="108" t="n"/>
      <c r="BI59" s="57" t="n">
        <v>0</v>
      </c>
      <c r="BJ59" s="57" t="n">
        <v>0</v>
      </c>
      <c r="BK59" s="57" t="n">
        <v>0</v>
      </c>
      <c r="BL59" s="107" t="n">
        <v>0</v>
      </c>
      <c r="BM59" s="107" t="n">
        <v>0</v>
      </c>
      <c r="BN59" s="107" t="n">
        <v>0</v>
      </c>
      <c r="BO59" s="107" t="n">
        <v>0</v>
      </c>
      <c r="BP59" s="107" t="n">
        <v>0</v>
      </c>
      <c r="BQ59" s="107" t="n">
        <v>24352</v>
      </c>
      <c r="BR59" s="107" t="n">
        <v>47892</v>
      </c>
      <c r="BS59" s="108" t="n">
        <v>1</v>
      </c>
      <c r="BT59" s="107" t="n">
        <v>12934.3979936224</v>
      </c>
      <c r="BU59" s="107" t="n">
        <v>8941.578787922201</v>
      </c>
      <c r="BV59" s="107" t="n">
        <v>3036.30363036304</v>
      </c>
      <c r="BW59" s="107" t="n">
        <v>79184.2358063768</v>
      </c>
      <c r="BX59" s="107" t="n">
        <v>78302.11591394521</v>
      </c>
      <c r="BY59" s="107" t="n">
        <v>90279.99833223051</v>
      </c>
      <c r="BZ59" s="109" t="n">
        <v>0.269738596033029</v>
      </c>
      <c r="CA59" s="118" t="n">
        <v>1587.81580637676</v>
      </c>
      <c r="CB59" s="107" t="n">
        <v>95154.9374303622</v>
      </c>
      <c r="CC59" s="109" t="n">
        <v>0.50330546468016</v>
      </c>
      <c r="CD59" s="107" t="n">
        <v>97293.6337999992</v>
      </c>
      <c r="CE59" s="109" t="n">
        <v>0.492241867524948</v>
      </c>
    </row>
    <row r="60" ht="16.5" customFormat="1" customHeight="1" s="39">
      <c r="B60" s="128" t="n"/>
      <c r="C60" s="77" t="inlineStr">
        <is>
          <t>陈倩扬Skye</t>
        </is>
      </c>
      <c r="D60" s="57" t="inlineStr">
        <is>
          <t>总计</t>
        </is>
      </c>
      <c r="E60" s="57" t="inlineStr">
        <is>
          <t>-</t>
        </is>
      </c>
      <c r="F60" s="57" t="inlineStr">
        <is>
          <t>-</t>
        </is>
      </c>
      <c r="G60" s="57" t="inlineStr">
        <is>
          <t>-</t>
        </is>
      </c>
      <c r="H60" s="107" t="n">
        <v>352.847956972614</v>
      </c>
      <c r="I60" s="118">
        <f>H60-CA60</f>
        <v/>
      </c>
      <c r="J60" s="107" t="n">
        <v>44.1059946215768</v>
      </c>
      <c r="K60" s="57" t="n">
        <v>8</v>
      </c>
      <c r="L60" s="57" t="n">
        <v>6</v>
      </c>
      <c r="M60" s="57" t="n">
        <v>6</v>
      </c>
      <c r="N60" s="57" t="n">
        <v>5</v>
      </c>
      <c r="O60" s="57" t="n">
        <v>5</v>
      </c>
      <c r="P60" s="57" t="n">
        <v>6</v>
      </c>
      <c r="Q60" s="57" t="n">
        <v>2</v>
      </c>
      <c r="R60" s="57" t="n">
        <v>2</v>
      </c>
      <c r="S60" s="107" t="n">
        <v>9676</v>
      </c>
      <c r="T60" s="107" t="n">
        <v>9676</v>
      </c>
      <c r="U60" s="108" t="n">
        <v>1</v>
      </c>
      <c r="V60" s="107" t="n">
        <v>4838</v>
      </c>
      <c r="W60" s="108" t="n">
        <v>0.75</v>
      </c>
      <c r="X60" s="108" t="n">
        <v>0.833333333333333</v>
      </c>
      <c r="Y60" s="108" t="n">
        <v>0.625</v>
      </c>
      <c r="Z60" s="108" t="n">
        <v>1</v>
      </c>
      <c r="AA60" s="108" t="n">
        <v>1</v>
      </c>
      <c r="AB60" s="108" t="n">
        <v>0.4</v>
      </c>
      <c r="AC60" s="108" t="n">
        <v>0.25</v>
      </c>
      <c r="AD60" s="108" t="n">
        <v>0.25</v>
      </c>
      <c r="AE60" s="107" t="n">
        <v>3024.63199356475</v>
      </c>
      <c r="AF60" s="109" t="n">
        <v>3.19906686849401</v>
      </c>
      <c r="AG60" s="57" t="n">
        <v>6</v>
      </c>
      <c r="AH60" s="57" t="n">
        <v>6</v>
      </c>
      <c r="AI60" s="57" t="n">
        <v>7</v>
      </c>
      <c r="AJ60" s="107" t="n">
        <v>352.035203520352</v>
      </c>
      <c r="AK60" s="107" t="n">
        <v>629.603835719324</v>
      </c>
      <c r="AL60" s="107" t="n">
        <v>990.80389184736</v>
      </c>
      <c r="AM60" s="107" t="n">
        <v>82.3503898647954</v>
      </c>
      <c r="AN60" s="107" t="n">
        <v>616.990715640307</v>
      </c>
      <c r="AO60" s="57" t="n">
        <v>0</v>
      </c>
      <c r="AP60" s="57" t="n">
        <v>0</v>
      </c>
      <c r="AQ60" s="57" t="n">
        <v>0</v>
      </c>
      <c r="AR60" s="57" t="n">
        <v>0</v>
      </c>
      <c r="AS60" s="57" t="n">
        <v>0</v>
      </c>
      <c r="AT60" s="57" t="n">
        <v>0</v>
      </c>
      <c r="AU60" s="57" t="n">
        <v>0</v>
      </c>
      <c r="AV60" s="57" t="n">
        <v>0</v>
      </c>
      <c r="AW60" s="107" t="n">
        <v>0</v>
      </c>
      <c r="AX60" s="107" t="n">
        <v>0</v>
      </c>
      <c r="AY60" s="108" t="n"/>
      <c r="AZ60" s="107" t="n"/>
      <c r="BA60" s="108" t="n"/>
      <c r="BB60" s="108" t="n"/>
      <c r="BC60" s="108" t="n"/>
      <c r="BD60" s="108" t="n"/>
      <c r="BE60" s="108" t="n"/>
      <c r="BF60" s="108" t="n"/>
      <c r="BG60" s="108" t="n"/>
      <c r="BH60" s="108" t="n"/>
      <c r="BI60" s="57" t="n">
        <v>0</v>
      </c>
      <c r="BJ60" s="57" t="n">
        <v>0</v>
      </c>
      <c r="BK60" s="57" t="n">
        <v>0</v>
      </c>
      <c r="BL60" s="107" t="n">
        <v>0</v>
      </c>
      <c r="BM60" s="107" t="n">
        <v>0</v>
      </c>
      <c r="BN60" s="107" t="n">
        <v>0</v>
      </c>
      <c r="BO60" s="107" t="n">
        <v>0</v>
      </c>
      <c r="BP60" s="107" t="n">
        <v>0</v>
      </c>
      <c r="BQ60" s="107" t="n">
        <v>9676</v>
      </c>
      <c r="BR60" s="107" t="n">
        <v>9676</v>
      </c>
      <c r="BS60" s="108" t="n">
        <v>1</v>
      </c>
      <c r="BT60" s="107" t="n">
        <v>2319.74883307179</v>
      </c>
      <c r="BU60" s="107" t="n">
        <v>2231.60730226603</v>
      </c>
      <c r="BV60" s="107" t="n">
        <v>352.035203520352</v>
      </c>
      <c r="BW60" s="107" t="n">
        <v>352.847956972614</v>
      </c>
      <c r="BX60" s="107" t="n">
        <v>352.847956972614</v>
      </c>
      <c r="BY60" s="107" t="n">
        <v>2936.49046275899</v>
      </c>
      <c r="BZ60" s="109" t="n">
        <v>3.29508987776819</v>
      </c>
      <c r="CA60" s="118" t="n">
        <v>352.847956972614</v>
      </c>
      <c r="CB60" s="107" t="n">
        <v>3024.63199356475</v>
      </c>
      <c r="CC60" s="109" t="n">
        <v>3.19906686849401</v>
      </c>
      <c r="CD60" s="107" t="n">
        <v>3272.5967900444</v>
      </c>
      <c r="CE60" s="109" t="n">
        <v>2.95667343726409</v>
      </c>
    </row>
    <row r="61" ht="16.5" customFormat="1" customHeight="1" s="39">
      <c r="B61" s="128" t="n"/>
      <c r="C61" s="77" t="inlineStr">
        <is>
          <t>陈山聪</t>
        </is>
      </c>
      <c r="D61" s="57" t="inlineStr">
        <is>
          <t>总计</t>
        </is>
      </c>
      <c r="E61" s="57" t="inlineStr">
        <is>
          <t>-</t>
        </is>
      </c>
      <c r="F61" s="57" t="inlineStr">
        <is>
          <t>-</t>
        </is>
      </c>
      <c r="G61" s="57" t="inlineStr">
        <is>
          <t>-</t>
        </is>
      </c>
      <c r="H61" s="107" t="n">
        <v>84508.5069891142</v>
      </c>
      <c r="I61" s="118">
        <f>H61-CA61</f>
        <v/>
      </c>
      <c r="J61" s="107" t="n">
        <v>994.2177292836971</v>
      </c>
      <c r="K61" s="57" t="n">
        <v>85</v>
      </c>
      <c r="L61" s="57" t="n">
        <v>47</v>
      </c>
      <c r="M61" s="57" t="n">
        <v>49</v>
      </c>
      <c r="N61" s="57" t="n">
        <v>47</v>
      </c>
      <c r="O61" s="57" t="n">
        <v>34</v>
      </c>
      <c r="P61" s="57" t="n">
        <v>44</v>
      </c>
      <c r="Q61" s="57" t="n">
        <v>8</v>
      </c>
      <c r="R61" s="57" t="n">
        <v>16</v>
      </c>
      <c r="S61" s="107" t="n">
        <v>31304</v>
      </c>
      <c r="T61" s="107" t="n">
        <v>74108</v>
      </c>
      <c r="U61" s="108" t="n">
        <v>1</v>
      </c>
      <c r="V61" s="107" t="n">
        <v>4631.75</v>
      </c>
      <c r="W61" s="108" t="n">
        <v>0.552941176470588</v>
      </c>
      <c r="X61" s="108" t="n">
        <v>1</v>
      </c>
      <c r="Y61" s="108" t="n">
        <v>0.552941176470588</v>
      </c>
      <c r="Z61" s="108" t="n">
        <v>0.723404255319149</v>
      </c>
      <c r="AA61" s="108" t="n">
        <v>1</v>
      </c>
      <c r="AB61" s="108" t="n">
        <v>0.235294117647059</v>
      </c>
      <c r="AC61" s="108" t="n">
        <v>0.0941176470588235</v>
      </c>
      <c r="AD61" s="108" t="n">
        <v>0.188235294117647</v>
      </c>
      <c r="AE61" s="107" t="n">
        <v>106173.071033673</v>
      </c>
      <c r="AF61" s="109" t="n">
        <v>0.697992431400017</v>
      </c>
      <c r="AG61" s="57" t="n">
        <v>44</v>
      </c>
      <c r="AH61" s="57" t="n">
        <v>44</v>
      </c>
      <c r="AI61" s="57" t="n">
        <v>49</v>
      </c>
      <c r="AJ61" s="107" t="n">
        <v>3740.37403740374</v>
      </c>
      <c r="AK61" s="107" t="n">
        <v>5141.76465837448</v>
      </c>
      <c r="AL61" s="107" t="n">
        <v>7588.51744698472</v>
      </c>
      <c r="AM61" s="107" t="n">
        <v>874.972892313451</v>
      </c>
      <c r="AN61" s="107" t="n">
        <v>4318.93500948215</v>
      </c>
      <c r="AO61" s="57" t="n">
        <v>0</v>
      </c>
      <c r="AP61" s="57" t="n">
        <v>0</v>
      </c>
      <c r="AQ61" s="57" t="n">
        <v>0</v>
      </c>
      <c r="AR61" s="57" t="n">
        <v>0</v>
      </c>
      <c r="AS61" s="57" t="n">
        <v>0</v>
      </c>
      <c r="AT61" s="57" t="n">
        <v>0</v>
      </c>
      <c r="AU61" s="57" t="n">
        <v>0</v>
      </c>
      <c r="AV61" s="57" t="n">
        <v>0</v>
      </c>
      <c r="AW61" s="107" t="n">
        <v>0</v>
      </c>
      <c r="AX61" s="107" t="n">
        <v>0</v>
      </c>
      <c r="AY61" s="108" t="n"/>
      <c r="AZ61" s="107" t="n"/>
      <c r="BA61" s="108" t="n"/>
      <c r="BB61" s="108" t="n"/>
      <c r="BC61" s="108" t="n"/>
      <c r="BD61" s="108" t="n"/>
      <c r="BE61" s="108" t="n"/>
      <c r="BF61" s="108" t="n"/>
      <c r="BG61" s="108" t="n"/>
      <c r="BH61" s="108" t="n"/>
      <c r="BI61" s="57" t="n">
        <v>0</v>
      </c>
      <c r="BJ61" s="57" t="n">
        <v>0</v>
      </c>
      <c r="BK61" s="57" t="n">
        <v>0</v>
      </c>
      <c r="BL61" s="107" t="n">
        <v>0</v>
      </c>
      <c r="BM61" s="107" t="n">
        <v>0</v>
      </c>
      <c r="BN61" s="107" t="n">
        <v>0</v>
      </c>
      <c r="BO61" s="107" t="n">
        <v>0</v>
      </c>
      <c r="BP61" s="107" t="n">
        <v>0</v>
      </c>
      <c r="BQ61" s="107" t="n">
        <v>31304</v>
      </c>
      <c r="BR61" s="107" t="n">
        <v>74108</v>
      </c>
      <c r="BS61" s="108" t="n">
        <v>1</v>
      </c>
      <c r="BT61" s="107" t="n">
        <v>17924.1900071548</v>
      </c>
      <c r="BU61" s="107" t="n">
        <v>12273.575967294</v>
      </c>
      <c r="BV61" s="107" t="n">
        <v>3740.37403740374</v>
      </c>
      <c r="BW61" s="107" t="n">
        <v>84508.5069891142</v>
      </c>
      <c r="BX61" s="107" t="n">
        <v>83097.1151612238</v>
      </c>
      <c r="BY61" s="107" t="n">
        <v>99111.06516592159</v>
      </c>
      <c r="BZ61" s="109" t="n">
        <v>0.315847680050598</v>
      </c>
      <c r="CA61" s="118" t="n">
        <v>2822.78365578092</v>
      </c>
      <c r="CB61" s="107" t="n">
        <v>106173.071033673</v>
      </c>
      <c r="CC61" s="109" t="n">
        <v>0.697992431400017</v>
      </c>
      <c r="CD61" s="107" t="n">
        <v>108807.696996269</v>
      </c>
      <c r="CE61" s="109" t="n">
        <v>0.6810915224365161</v>
      </c>
    </row>
    <row r="62" ht="16.5" customFormat="1" customHeight="1" s="39">
      <c r="B62" s="128" t="n"/>
      <c r="C62" s="77" t="inlineStr">
        <is>
          <t>陈敏之</t>
        </is>
      </c>
      <c r="D62" s="57" t="inlineStr">
        <is>
          <t>总计</t>
        </is>
      </c>
      <c r="E62" s="57" t="inlineStr">
        <is>
          <t>-</t>
        </is>
      </c>
      <c r="F62" s="57" t="inlineStr">
        <is>
          <t>-</t>
        </is>
      </c>
      <c r="G62" s="57" t="inlineStr">
        <is>
          <t>-</t>
        </is>
      </c>
      <c r="H62" s="107" t="n">
        <v>160446.995274816</v>
      </c>
      <c r="I62" s="118">
        <f>H62-CA62</f>
        <v/>
      </c>
      <c r="J62" s="107" t="n">
        <v>921.543006424934</v>
      </c>
      <c r="K62" s="57" t="n">
        <v>174</v>
      </c>
      <c r="L62" s="57" t="n">
        <v>105</v>
      </c>
      <c r="M62" s="57" t="n">
        <v>109</v>
      </c>
      <c r="N62" s="57" t="n">
        <v>113</v>
      </c>
      <c r="O62" s="57" t="n">
        <v>89</v>
      </c>
      <c r="P62" s="57" t="n">
        <v>105</v>
      </c>
      <c r="Q62" s="57" t="n">
        <v>33</v>
      </c>
      <c r="R62" s="57" t="n">
        <v>41</v>
      </c>
      <c r="S62" s="107" t="n">
        <v>148304</v>
      </c>
      <c r="T62" s="107" t="n">
        <v>185408</v>
      </c>
      <c r="U62" s="108" t="n">
        <v>1</v>
      </c>
      <c r="V62" s="107" t="n">
        <v>4522.14634146341</v>
      </c>
      <c r="W62" s="108" t="n">
        <v>0.603448275862069</v>
      </c>
      <c r="X62" s="108" t="n">
        <v>1.07619047619048</v>
      </c>
      <c r="Y62" s="108" t="n">
        <v>0.649425287356322</v>
      </c>
      <c r="Z62" s="108" t="n">
        <v>0.787610619469027</v>
      </c>
      <c r="AA62" s="108" t="n">
        <v>0.9375</v>
      </c>
      <c r="AB62" s="108" t="n">
        <v>0.370786516853933</v>
      </c>
      <c r="AC62" s="108" t="n">
        <v>0.189655172413793</v>
      </c>
      <c r="AD62" s="108" t="n">
        <v>0.235632183908046</v>
      </c>
      <c r="AE62" s="107" t="n">
        <v>210267.731854987</v>
      </c>
      <c r="AF62" s="109" t="n">
        <v>0.881771056187873</v>
      </c>
      <c r="AG62" s="57" t="n">
        <v>112</v>
      </c>
      <c r="AH62" s="57" t="n">
        <v>105</v>
      </c>
      <c r="AI62" s="57" t="n">
        <v>114</v>
      </c>
      <c r="AJ62" s="107" t="n">
        <v>7656.76567656766</v>
      </c>
      <c r="AK62" s="107" t="n">
        <v>11437.8030155677</v>
      </c>
      <c r="AL62" s="107" t="n">
        <v>18985.4245534968</v>
      </c>
      <c r="AM62" s="107" t="n">
        <v>1791.1209795593</v>
      </c>
      <c r="AN62" s="107" t="n">
        <v>10048.1345118564</v>
      </c>
      <c r="AO62" s="57" t="n">
        <v>0</v>
      </c>
      <c r="AP62" s="57" t="n">
        <v>0</v>
      </c>
      <c r="AQ62" s="57" t="n">
        <v>0</v>
      </c>
      <c r="AR62" s="57" t="n">
        <v>0</v>
      </c>
      <c r="AS62" s="57" t="n">
        <v>0</v>
      </c>
      <c r="AT62" s="57" t="n">
        <v>0</v>
      </c>
      <c r="AU62" s="57" t="n">
        <v>0</v>
      </c>
      <c r="AV62" s="57" t="n">
        <v>1</v>
      </c>
      <c r="AW62" s="107" t="n">
        <v>0</v>
      </c>
      <c r="AX62" s="107" t="n">
        <v>1880</v>
      </c>
      <c r="AY62" s="108" t="n">
        <v>1</v>
      </c>
      <c r="AZ62" s="107" t="n">
        <v>1880</v>
      </c>
      <c r="BA62" s="108" t="n"/>
      <c r="BB62" s="108" t="n"/>
      <c r="BC62" s="108" t="n"/>
      <c r="BD62" s="108" t="n"/>
      <c r="BE62" s="108" t="n"/>
      <c r="BF62" s="108" t="n"/>
      <c r="BG62" s="108" t="n"/>
      <c r="BH62" s="108" t="n"/>
      <c r="BI62" s="57" t="n">
        <v>0</v>
      </c>
      <c r="BJ62" s="57" t="n">
        <v>0</v>
      </c>
      <c r="BK62" s="57" t="n">
        <v>0</v>
      </c>
      <c r="BL62" s="107" t="n">
        <v>0</v>
      </c>
      <c r="BM62" s="107" t="n">
        <v>0</v>
      </c>
      <c r="BN62" s="107" t="n">
        <v>197.373919695283</v>
      </c>
      <c r="BO62" s="107" t="n">
        <v>0</v>
      </c>
      <c r="BP62" s="107" t="n">
        <v>0</v>
      </c>
      <c r="BQ62" s="107" t="n">
        <v>148304</v>
      </c>
      <c r="BR62" s="107" t="n">
        <v>187288</v>
      </c>
      <c r="BS62" s="108" t="n">
        <v>1</v>
      </c>
      <c r="BT62" s="107" t="n">
        <v>42459.8569801756</v>
      </c>
      <c r="BU62" s="107" t="n">
        <v>36721.2455800615</v>
      </c>
      <c r="BV62" s="107" t="n">
        <v>7656.76567656766</v>
      </c>
      <c r="BW62" s="107" t="n">
        <v>160446.995274816</v>
      </c>
      <c r="BX62" s="107" t="n">
        <v>158937.091290048</v>
      </c>
      <c r="BY62" s="107" t="n">
        <v>203315.102546677</v>
      </c>
      <c r="BZ62" s="109" t="n">
        <v>0.729429334773359</v>
      </c>
      <c r="CA62" s="118" t="n">
        <v>7331.89527481594</v>
      </c>
      <c r="CB62" s="107" t="n">
        <v>210563.617931559</v>
      </c>
      <c r="CC62" s="109" t="n">
        <v>0.889460400803312</v>
      </c>
      <c r="CD62" s="107" t="n">
        <v>215956.852254992</v>
      </c>
      <c r="CE62" s="109" t="n">
        <v>0.86724731373126</v>
      </c>
    </row>
    <row r="63" ht="16.5" customFormat="1" customHeight="1" s="39">
      <c r="B63" s="128" t="n"/>
      <c r="C63" s="77" t="inlineStr">
        <is>
          <t>陈琪</t>
        </is>
      </c>
      <c r="D63" s="57" t="inlineStr">
        <is>
          <t>总计</t>
        </is>
      </c>
      <c r="E63" s="57" t="inlineStr">
        <is>
          <t>-</t>
        </is>
      </c>
      <c r="F63" s="57" t="inlineStr">
        <is>
          <t>-</t>
        </is>
      </c>
      <c r="G63" s="57" t="inlineStr">
        <is>
          <t>-</t>
        </is>
      </c>
      <c r="H63" s="107" t="n">
        <v>120482.451403898</v>
      </c>
      <c r="I63" s="118">
        <f>H63-CA63</f>
        <v/>
      </c>
      <c r="J63" s="107" t="n">
        <v>813.404994912302</v>
      </c>
      <c r="K63" s="57" t="n">
        <v>148</v>
      </c>
      <c r="L63" s="57" t="n">
        <v>62</v>
      </c>
      <c r="M63" s="57" t="n">
        <v>69</v>
      </c>
      <c r="N63" s="57" t="n">
        <v>64</v>
      </c>
      <c r="O63" s="57" t="n">
        <v>52</v>
      </c>
      <c r="P63" s="57" t="n">
        <v>77</v>
      </c>
      <c r="Q63" s="57" t="n">
        <v>24</v>
      </c>
      <c r="R63" s="57" t="n">
        <v>35</v>
      </c>
      <c r="S63" s="107" t="n">
        <v>121912</v>
      </c>
      <c r="T63" s="107" t="n">
        <v>163880</v>
      </c>
      <c r="U63" s="108" t="n">
        <v>1</v>
      </c>
      <c r="V63" s="107" t="n">
        <v>4682.28571428571</v>
      </c>
      <c r="W63" s="108" t="n">
        <v>0.418918918918919</v>
      </c>
      <c r="X63" s="108" t="n">
        <v>1.03225806451613</v>
      </c>
      <c r="Y63" s="108" t="n">
        <v>0.432432432432432</v>
      </c>
      <c r="Z63" s="108" t="n">
        <v>0.8125</v>
      </c>
      <c r="AA63" s="108" t="n">
        <v>0.9625</v>
      </c>
      <c r="AB63" s="108" t="n">
        <v>0.461538461538462</v>
      </c>
      <c r="AC63" s="108" t="n">
        <v>0.162162162162162</v>
      </c>
      <c r="AD63" s="108" t="n">
        <v>0.236486486486486</v>
      </c>
      <c r="AE63" s="107" t="n">
        <v>160109.828547552</v>
      </c>
      <c r="AF63" s="109" t="n">
        <v>1.0235474079677</v>
      </c>
      <c r="AG63" s="57" t="n">
        <v>80</v>
      </c>
      <c r="AH63" s="57" t="n">
        <v>77</v>
      </c>
      <c r="AI63" s="57" t="n">
        <v>87</v>
      </c>
      <c r="AJ63" s="107" t="n">
        <v>6512.65126512651</v>
      </c>
      <c r="AK63" s="107" t="n">
        <v>7240.44411077223</v>
      </c>
      <c r="AL63" s="107" t="n">
        <v>16780.9985320324</v>
      </c>
      <c r="AM63" s="107" t="n">
        <v>1523.48221249872</v>
      </c>
      <c r="AN63" s="107" t="n">
        <v>7668.31318010096</v>
      </c>
      <c r="AO63" s="57" t="n">
        <v>4</v>
      </c>
      <c r="AP63" s="57" t="n">
        <v>3</v>
      </c>
      <c r="AQ63" s="57" t="n">
        <v>4</v>
      </c>
      <c r="AR63" s="57" t="n">
        <v>4</v>
      </c>
      <c r="AS63" s="57" t="n">
        <v>2</v>
      </c>
      <c r="AT63" s="57" t="n">
        <v>2</v>
      </c>
      <c r="AU63" s="57" t="n">
        <v>0</v>
      </c>
      <c r="AV63" s="57" t="n">
        <v>1</v>
      </c>
      <c r="AW63" s="107" t="n">
        <v>0</v>
      </c>
      <c r="AX63" s="107" t="n">
        <v>1880</v>
      </c>
      <c r="AY63" s="108" t="n">
        <v>1</v>
      </c>
      <c r="AZ63" s="107" t="n">
        <v>1880</v>
      </c>
      <c r="BA63" s="108" t="n">
        <v>0.75</v>
      </c>
      <c r="BB63" s="108" t="n">
        <v>1.33333333333333</v>
      </c>
      <c r="BC63" s="108" t="n">
        <v>1</v>
      </c>
      <c r="BD63" s="108" t="n">
        <v>0.5</v>
      </c>
      <c r="BE63" s="108" t="n">
        <v>0.5</v>
      </c>
      <c r="BF63" s="108" t="n">
        <v>0</v>
      </c>
      <c r="BG63" s="108" t="n">
        <v>0</v>
      </c>
      <c r="BH63" s="108" t="n">
        <v>0.25</v>
      </c>
      <c r="BI63" s="57" t="n">
        <v>4</v>
      </c>
      <c r="BJ63" s="57" t="n">
        <v>2</v>
      </c>
      <c r="BK63" s="57" t="n">
        <v>2</v>
      </c>
      <c r="BL63" s="107" t="n">
        <v>0</v>
      </c>
      <c r="BM63" s="107" t="n">
        <v>379.459799406646</v>
      </c>
      <c r="BN63" s="107" t="n">
        <v>197.373919695283</v>
      </c>
      <c r="BO63" s="107" t="n">
        <v>41.1751949323977</v>
      </c>
      <c r="BP63" s="107" t="n">
        <v>164.366772299304</v>
      </c>
      <c r="BQ63" s="107" t="n">
        <v>121912</v>
      </c>
      <c r="BR63" s="107" t="n">
        <v>165760</v>
      </c>
      <c r="BS63" s="108" t="n">
        <v>1</v>
      </c>
      <c r="BT63" s="107" t="n">
        <v>33995.6137217379</v>
      </c>
      <c r="BU63" s="107" t="n">
        <v>26115.2897264407</v>
      </c>
      <c r="BV63" s="107" t="n">
        <v>6512.65126512651</v>
      </c>
      <c r="BW63" s="107" t="n">
        <v>120482.451403898</v>
      </c>
      <c r="BX63" s="107" t="n">
        <v>118443.275483671</v>
      </c>
      <c r="BY63" s="107" t="n">
        <v>151071.216475239</v>
      </c>
      <c r="BZ63" s="109" t="n">
        <v>0.806983638871949</v>
      </c>
      <c r="CA63" s="118" t="n">
        <v>6273.3514038981</v>
      </c>
      <c r="CB63" s="107" t="n">
        <v>160990.716390763</v>
      </c>
      <c r="CC63" s="109" t="n">
        <v>1.02962458777847</v>
      </c>
      <c r="CD63" s="107" t="n">
        <v>165878.065125636</v>
      </c>
      <c r="CE63" s="109" t="n">
        <v>0.999288241483004</v>
      </c>
    </row>
    <row r="64" ht="16.5" customFormat="1" customHeight="1" s="39">
      <c r="A64" s="40" t="inlineStr">
        <is>
          <t>7月-汇总</t>
        </is>
      </c>
      <c r="B64" s="129" t="n"/>
      <c r="C64" s="57" t="inlineStr">
        <is>
          <t>总计</t>
        </is>
      </c>
      <c r="D64" s="57" t="inlineStr">
        <is>
          <t>总计</t>
        </is>
      </c>
      <c r="E64" s="57" t="inlineStr">
        <is>
          <t>-</t>
        </is>
      </c>
      <c r="F64" s="57" t="inlineStr">
        <is>
          <t>-</t>
        </is>
      </c>
      <c r="G64" s="57" t="inlineStr">
        <is>
          <t>-</t>
        </is>
      </c>
      <c r="H64" s="107" t="n">
        <v>644963.455609311</v>
      </c>
      <c r="I64" s="118">
        <f>H64-CA64</f>
        <v/>
      </c>
      <c r="J64" s="107" t="n">
        <v>969.425442313803</v>
      </c>
      <c r="K64" s="57" t="n">
        <v>665</v>
      </c>
      <c r="L64" s="57" t="n">
        <v>345</v>
      </c>
      <c r="M64" s="57" t="n">
        <v>376</v>
      </c>
      <c r="N64" s="57" t="n">
        <v>359</v>
      </c>
      <c r="O64" s="57" t="n">
        <v>282</v>
      </c>
      <c r="P64" s="57" t="n">
        <v>367</v>
      </c>
      <c r="Q64" s="57" t="n">
        <v>93</v>
      </c>
      <c r="R64" s="57" t="n">
        <v>133</v>
      </c>
      <c r="S64" s="107" t="n">
        <v>449484</v>
      </c>
      <c r="T64" s="107" t="n">
        <v>631604</v>
      </c>
      <c r="U64" s="108" t="n">
        <v>1</v>
      </c>
      <c r="V64" s="107" t="n">
        <v>4748.9022556391</v>
      </c>
      <c r="W64" s="108" t="n">
        <v>0.518796992481203</v>
      </c>
      <c r="X64" s="108" t="n">
        <v>1.04057971014493</v>
      </c>
      <c r="Y64" s="108" t="n">
        <v>0.53984962406015</v>
      </c>
      <c r="Z64" s="108" t="n">
        <v>0.785515320334262</v>
      </c>
      <c r="AA64" s="108" t="n">
        <v>0.950777202072539</v>
      </c>
      <c r="AB64" s="108" t="n">
        <v>0.329787234042553</v>
      </c>
      <c r="AC64" s="108" t="n">
        <v>0.13984962406015</v>
      </c>
      <c r="AD64" s="108" t="n">
        <v>0.2</v>
      </c>
      <c r="AE64" s="107" t="n">
        <v>820603.756744636</v>
      </c>
      <c r="AF64" s="109" t="n">
        <v>0.76968207226542</v>
      </c>
      <c r="AG64" s="57" t="n">
        <v>386</v>
      </c>
      <c r="AH64" s="57" t="n">
        <v>367</v>
      </c>
      <c r="AI64" s="57" t="n">
        <v>405</v>
      </c>
      <c r="AJ64" s="107" t="n">
        <v>29262.9262926293</v>
      </c>
      <c r="AK64" s="107" t="n">
        <v>39455.1737050776</v>
      </c>
      <c r="AL64" s="107" t="n">
        <v>64675.0414744068</v>
      </c>
      <c r="AM64" s="107" t="n">
        <v>6845.37615751112</v>
      </c>
      <c r="AN64" s="107" t="n">
        <v>35697.3199763321</v>
      </c>
      <c r="AO64" s="57" t="n">
        <v>4</v>
      </c>
      <c r="AP64" s="57" t="n">
        <v>3</v>
      </c>
      <c r="AQ64" s="57" t="n">
        <v>5</v>
      </c>
      <c r="AR64" s="57" t="n">
        <v>4</v>
      </c>
      <c r="AS64" s="57" t="n">
        <v>2</v>
      </c>
      <c r="AT64" s="57" t="n">
        <v>4</v>
      </c>
      <c r="AU64" s="57" t="n">
        <v>0</v>
      </c>
      <c r="AV64" s="57" t="n">
        <v>3</v>
      </c>
      <c r="AW64" s="107" t="n">
        <v>0</v>
      </c>
      <c r="AX64" s="107" t="n">
        <v>5640</v>
      </c>
      <c r="AY64" s="108" t="n">
        <v>1</v>
      </c>
      <c r="AZ64" s="107" t="n">
        <v>1880</v>
      </c>
      <c r="BA64" s="108" t="n">
        <v>0.75</v>
      </c>
      <c r="BB64" s="108" t="n">
        <v>1.33333333333333</v>
      </c>
      <c r="BC64" s="108" t="n">
        <v>1</v>
      </c>
      <c r="BD64" s="108" t="n">
        <v>0.5</v>
      </c>
      <c r="BE64" s="108" t="n">
        <v>0.5</v>
      </c>
      <c r="BF64" s="108" t="n">
        <v>0</v>
      </c>
      <c r="BG64" s="108" t="n">
        <v>0</v>
      </c>
      <c r="BH64" s="108" t="n">
        <v>0.75</v>
      </c>
      <c r="BI64" s="57" t="n">
        <v>8</v>
      </c>
      <c r="BJ64" s="57" t="n">
        <v>4</v>
      </c>
      <c r="BK64" s="57" t="n">
        <v>4</v>
      </c>
      <c r="BL64" s="107" t="n">
        <v>0</v>
      </c>
      <c r="BM64" s="107" t="n">
        <v>474.324749258308</v>
      </c>
      <c r="BN64" s="107" t="n">
        <v>592.121759085848</v>
      </c>
      <c r="BO64" s="107" t="n">
        <v>41.1751949323977</v>
      </c>
      <c r="BP64" s="107" t="n">
        <v>328.733544598608</v>
      </c>
      <c r="BQ64" s="107" t="n">
        <v>449484</v>
      </c>
      <c r="BR64" s="107" t="n">
        <v>637244</v>
      </c>
      <c r="BS64" s="108" t="n">
        <v>1</v>
      </c>
      <c r="BT64" s="107" t="n">
        <v>148109.266561203</v>
      </c>
      <c r="BU64" s="107" t="n">
        <v>116887.909909602</v>
      </c>
      <c r="BV64" s="107" t="n">
        <v>29262.9262926293</v>
      </c>
      <c r="BW64" s="107" t="n">
        <v>644963.455609311</v>
      </c>
      <c r="BX64" s="107" t="n">
        <v>637610.959999226</v>
      </c>
      <c r="BY64" s="107" t="n">
        <v>783761.796201457</v>
      </c>
      <c r="BZ64" s="109" t="n">
        <v>0.573495674551181</v>
      </c>
      <c r="CA64" s="118" t="n">
        <v>23759.9256093109</v>
      </c>
      <c r="CB64" s="107" t="n">
        <v>822335.648463143</v>
      </c>
      <c r="CC64" s="109" t="n">
        <v>0.774919585683706</v>
      </c>
      <c r="CD64" s="107" t="n">
        <v>843247.722170513</v>
      </c>
      <c r="CE64" s="109" t="n">
        <v>0.755702011693241</v>
      </c>
    </row>
  </sheetData>
  <mergeCells count="16">
    <mergeCell ref="BQ52:CE52"/>
    <mergeCell ref="I12:AF12"/>
    <mergeCell ref="AO1:BH1"/>
    <mergeCell ref="I1:AF1"/>
    <mergeCell ref="BQ39:CE39"/>
    <mergeCell ref="BQ12:CE12"/>
    <mergeCell ref="I25:AF25"/>
    <mergeCell ref="AO39:BH39"/>
    <mergeCell ref="AO52:BH52"/>
    <mergeCell ref="BQ1:CE1"/>
    <mergeCell ref="H52:AF52"/>
    <mergeCell ref="BQ25:CE25"/>
    <mergeCell ref="AO25:BH25"/>
    <mergeCell ref="AO12:BH12"/>
    <mergeCell ref="B54:B64"/>
    <mergeCell ref="I39:AF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7:Q33"/>
  <sheetViews>
    <sheetView topLeftCell="B1" zoomScale="85" zoomScaleNormal="85" workbookViewId="0">
      <selection activeCell="F16" sqref="F16"/>
    </sheetView>
  </sheetViews>
  <sheetFormatPr baseColWidth="8" defaultColWidth="8.891666666666669" defaultRowHeight="16.5"/>
  <cols>
    <col width="8.891666666666669" customWidth="1" style="39" min="1" max="1"/>
    <col width="25.1583333333333" customWidth="1" style="39" min="2" max="2"/>
    <col width="34.0583333333333" customWidth="1" style="4" min="3" max="3"/>
    <col width="16.8916666666667" customWidth="1" style="5" min="4" max="4"/>
    <col width="17.5583333333333" customWidth="1" style="5" min="5" max="5"/>
    <col width="16.4" customWidth="1" style="5" min="6" max="6"/>
    <col width="20.4416666666667" customWidth="1" style="130" min="7" max="7"/>
    <col width="13.775" customWidth="1" style="130" min="8" max="8"/>
    <col width="19.1083333333333" customWidth="1" style="130" min="9" max="9"/>
    <col width="16.775" customWidth="1" style="130" min="10" max="10"/>
    <col width="17.6666666666667" customWidth="1" style="130" min="11" max="11"/>
    <col width="24.4416666666667" customWidth="1" style="130" min="12" max="12"/>
    <col width="17.6666666666667" customWidth="1" style="130" min="13" max="13"/>
    <col width="15.5583333333333" customWidth="1" style="130" min="14" max="14"/>
    <col width="18" customWidth="1" style="5" min="15" max="15"/>
    <col width="16.3333333333333" customWidth="1" style="39" min="16" max="16"/>
    <col width="14.225" customWidth="1" style="39" min="17" max="17"/>
    <col width="8.891666666666669" customWidth="1" style="39" min="18" max="16384"/>
  </cols>
  <sheetData>
    <row r="7">
      <c r="C7" s="4">
        <f>9+31+30</f>
        <v/>
      </c>
      <c r="E7" s="5">
        <f>90-31-31</f>
        <v/>
      </c>
      <c r="F7" s="5">
        <f>30+31+31+30+12</f>
        <v/>
      </c>
      <c r="J7" s="130">
        <f>(27000*0.93)/90*54</f>
        <v/>
      </c>
    </row>
    <row r="8">
      <c r="D8" s="5">
        <f>31+31+27</f>
        <v/>
      </c>
      <c r="E8" s="5">
        <f>30+31+31+30+31+23</f>
        <v/>
      </c>
    </row>
    <row r="9">
      <c r="D9" s="7" t="inlineStr">
        <is>
          <t>主投</t>
        </is>
      </c>
    </row>
    <row r="10" ht="51" customHeight="1">
      <c r="B10" s="39" t="inlineStr">
        <is>
          <t>续费</t>
        </is>
      </c>
      <c r="C10" s="4" t="inlineStr">
        <is>
          <t>首次合作费用</t>
        </is>
      </c>
      <c r="D10" s="5" t="inlineStr">
        <is>
          <t>当前消耗月份数</t>
        </is>
      </c>
      <c r="E10" s="8" t="inlineStr">
        <is>
          <t>KOL</t>
        </is>
      </c>
      <c r="F10" s="8" t="inlineStr">
        <is>
          <t>合约期内整体cpt</t>
        </is>
      </c>
      <c r="G10" s="131" t="inlineStr">
        <is>
          <t>目前总cpt+投放消耗</t>
        </is>
      </c>
      <c r="H10" s="131" t="inlineStr">
        <is>
          <t>剩余cpt</t>
        </is>
      </c>
      <c r="I10" s="132" t="inlineStr">
        <is>
          <t>全额CPT+投放消耗</t>
        </is>
      </c>
      <c r="J10" s="133" t="inlineStr">
        <is>
          <t>投放消耗</t>
        </is>
      </c>
      <c r="K10" s="131" t="inlineStr">
        <is>
          <t>其他截至目前成本</t>
        </is>
      </c>
      <c r="L10" s="132" t="inlineStr">
        <is>
          <t>全额CPT+投放消耗总成本</t>
        </is>
      </c>
      <c r="M10" s="133" t="inlineStr">
        <is>
          <t>投放消耗+其他成本</t>
        </is>
      </c>
      <c r="N10" s="131" t="inlineStr">
        <is>
          <t>总GMV</t>
        </is>
      </c>
      <c r="O10" s="12" t="inlineStr">
        <is>
          <t>ROI2
（全额CPT+投放消耗+其他成本）</t>
        </is>
      </c>
      <c r="P10" s="13" t="inlineStr">
        <is>
          <t>ROI2
（投放消耗+其他成本）</t>
        </is>
      </c>
      <c r="Q10" s="14" t="inlineStr">
        <is>
          <t>ROI1
（仅投放消耗）</t>
        </is>
      </c>
    </row>
    <row r="11" ht="49.5" customHeight="1">
      <c r="A11" s="39" t="inlineStr">
        <is>
          <t>有</t>
        </is>
      </c>
      <c r="B11" s="4" t="inlineStr">
        <is>
          <t>18000*0.93投放6个月</t>
        </is>
      </c>
      <c r="C11" s="15" t="inlineStr">
        <is>
          <t>55000*0.92投6个月；
6月30天，7月31天，8月31天，9月30天，10月31天，11月25天</t>
        </is>
      </c>
      <c r="D11" s="16" t="inlineStr">
        <is>
          <t>180天</t>
        </is>
      </c>
      <c r="E11" s="17" t="inlineStr">
        <is>
          <t>陈琪-汇总</t>
        </is>
      </c>
      <c r="F11" s="134">
        <f>G11-J11</f>
        <v/>
      </c>
      <c r="G11" s="135">
        <f>陈琪!I27</f>
        <v/>
      </c>
      <c r="H11" s="135">
        <f>18000*0.93-(18000*0.93/180*180)</f>
        <v/>
      </c>
      <c r="I11" s="135">
        <f>SUM(G11:H11)</f>
        <v/>
      </c>
      <c r="J11" s="135">
        <f>G11-((55000*0.92)+18000*0.93/180*180)</f>
        <v/>
      </c>
      <c r="K11" s="135">
        <f>SUM(陈琪!AM27:AQ27)</f>
        <v/>
      </c>
      <c r="L11" s="135">
        <f>SUM(I11,K11)</f>
        <v/>
      </c>
      <c r="M11" s="135">
        <f>J11+K11</f>
        <v/>
      </c>
      <c r="N11" s="135">
        <f>陈琪!V27</f>
        <v/>
      </c>
      <c r="O11" s="136">
        <f>N11/L11</f>
        <v/>
      </c>
      <c r="P11" s="137">
        <f>N11/M11</f>
        <v/>
      </c>
      <c r="Q11" s="137">
        <f>N11/J11</f>
        <v/>
      </c>
    </row>
    <row r="12">
      <c r="B12" s="4" t="inlineStr">
        <is>
          <t>12000*0.93投放3个月</t>
        </is>
      </c>
      <c r="C12" s="4" t="inlineStr">
        <is>
          <t>6月30天，7月31天，8月29天</t>
        </is>
      </c>
      <c r="D12" s="16" t="inlineStr">
        <is>
          <t>90天</t>
        </is>
      </c>
      <c r="E12" s="17" t="inlineStr">
        <is>
          <t>孙慧雪-汇总</t>
        </is>
      </c>
      <c r="F12" s="134">
        <f>G12-J12</f>
        <v/>
      </c>
      <c r="G12" s="135">
        <f>孙慧雪!I10</f>
        <v/>
      </c>
      <c r="H12" s="135">
        <f>12000*0.93-(12000*0.93/90*90)</f>
        <v/>
      </c>
      <c r="I12" s="135">
        <f>SUM(G12:H12)</f>
        <v/>
      </c>
      <c r="J12" s="135">
        <f>G12-((58000*0.93)+12000*0.93/90*90)</f>
        <v/>
      </c>
      <c r="K12" s="135">
        <f>SUM(孙慧雪!AJ10:AN10)</f>
        <v/>
      </c>
      <c r="L12" s="135">
        <f>SUM(I12,K12)</f>
        <v/>
      </c>
      <c r="M12" s="135">
        <f>J12+K12</f>
        <v/>
      </c>
      <c r="N12" s="135">
        <f>孙慧雪!T10</f>
        <v/>
      </c>
      <c r="O12" s="136">
        <f>N12/L12</f>
        <v/>
      </c>
      <c r="P12" s="137">
        <f>N12/M12</f>
        <v/>
      </c>
      <c r="Q12" s="137">
        <f>N12/J12</f>
        <v/>
      </c>
    </row>
    <row r="13" ht="20" customHeight="1">
      <c r="C13" s="22" t="n"/>
      <c r="D13" s="16" t="n"/>
      <c r="E13" s="17" t="inlineStr">
        <is>
          <t>陈倩扬-汇总</t>
        </is>
      </c>
      <c r="F13" s="134">
        <f>G13-J13</f>
        <v/>
      </c>
      <c r="G13" s="135">
        <f>陈倩扬!I8</f>
        <v/>
      </c>
      <c r="H13" s="135">
        <f>(48000*0.93/3)-(48000*0.93/3)/30*30</f>
        <v/>
      </c>
      <c r="I13" s="135">
        <f>SUM(G13:H13)</f>
        <v/>
      </c>
      <c r="J13" s="135">
        <f>G13-(48000*0.93/3*3)</f>
        <v/>
      </c>
      <c r="K13" s="135">
        <f>SUM(陈倩扬!AJ8:AN8)</f>
        <v/>
      </c>
      <c r="L13" s="135">
        <f>SUM(I13,K13)</f>
        <v/>
      </c>
      <c r="M13" s="135">
        <f>J13+K13</f>
        <v/>
      </c>
      <c r="N13" s="135">
        <f>陈倩扬!T8</f>
        <v/>
      </c>
      <c r="O13" s="136">
        <f>N13/L13</f>
        <v/>
      </c>
      <c r="P13" s="137">
        <f>N13/M13</f>
        <v/>
      </c>
      <c r="Q13" s="137">
        <f>N13/J13</f>
        <v/>
      </c>
    </row>
    <row r="14" ht="28.5" customFormat="1" customHeight="1" s="1">
      <c r="C14" s="23" t="inlineStr">
        <is>
          <t>4月23日上线，4月8天，5月31天，6月30天，7月21天，11月3日复投，11月28天</t>
        </is>
      </c>
      <c r="D14" s="24" t="inlineStr">
        <is>
          <t>120天</t>
        </is>
      </c>
      <c r="E14" s="25" t="inlineStr">
        <is>
          <t>Bob-汇总</t>
        </is>
      </c>
      <c r="F14" s="138">
        <f>G14-J14</f>
        <v/>
      </c>
      <c r="G14" s="138">
        <f>Bob!I10</f>
        <v/>
      </c>
      <c r="H14" s="138">
        <f>(75000*0.93)-(75000*0.93)/90*90+10000*0.93-10000*0.93/30*30</f>
        <v/>
      </c>
      <c r="I14" s="139">
        <f>SUM(G14:H14)</f>
        <v/>
      </c>
      <c r="J14" s="139">
        <f>G14-((75000*0.93)/90*90)-10000*0.93/30*30</f>
        <v/>
      </c>
      <c r="K14" s="138">
        <f>SUM(Bob!AM10:AQ10)</f>
        <v/>
      </c>
      <c r="L14" s="139">
        <f>SUM(I14,K14)</f>
        <v/>
      </c>
      <c r="M14" s="139">
        <f>J14+K14</f>
        <v/>
      </c>
      <c r="N14" s="138">
        <f>Bob!V10</f>
        <v/>
      </c>
      <c r="O14" s="140">
        <f>N14/L14</f>
        <v/>
      </c>
      <c r="P14" s="141">
        <f>N14/M14</f>
        <v/>
      </c>
      <c r="Q14" s="141">
        <f>N14/J14</f>
        <v/>
      </c>
    </row>
    <row r="15" ht="28.5" customHeight="1">
      <c r="C15" s="22" t="inlineStr">
        <is>
          <t>4月26日上线，4月5天，5月31天，6月30天，7月24天</t>
        </is>
      </c>
      <c r="D15" s="16" t="inlineStr">
        <is>
          <t>90天</t>
        </is>
      </c>
      <c r="E15" s="30" t="inlineStr">
        <is>
          <t>叶翠翠-汇总</t>
        </is>
      </c>
      <c r="F15" s="134">
        <f>G15-J15</f>
        <v/>
      </c>
      <c r="G15" s="134">
        <f>叶翠翠!I8</f>
        <v/>
      </c>
      <c r="H15" s="134">
        <f>55000*0.93-(55000*0.93)/90*90</f>
        <v/>
      </c>
      <c r="I15" s="135">
        <f>SUM(G15:H15)</f>
        <v/>
      </c>
      <c r="J15" s="135">
        <f>G15-(55000*0.93)/90*90</f>
        <v/>
      </c>
      <c r="K15" s="134">
        <f>SUM(叶翠翠!AJ8:AN8)</f>
        <v/>
      </c>
      <c r="L15" s="135">
        <f>SUM(I15,K15)</f>
        <v/>
      </c>
      <c r="M15" s="135">
        <f>J15+K15</f>
        <v/>
      </c>
      <c r="N15" s="134">
        <f>叶翠翠!T8</f>
        <v/>
      </c>
      <c r="O15" s="142">
        <f>N15/L15</f>
        <v/>
      </c>
      <c r="P15" s="142">
        <f>N15/M15</f>
        <v/>
      </c>
      <c r="Q15" s="142">
        <f>N15/J15</f>
        <v/>
      </c>
    </row>
    <row r="16" ht="48" customHeight="1">
      <c r="B16" s="15" t="inlineStr">
        <is>
          <t>55000投3个月，续费8000投1个月</t>
        </is>
      </c>
      <c r="C16" s="22" t="inlineStr">
        <is>
          <t>5月14日上线，5月18天，6月30天，7月31天，8月11天是首次价格，续费价格20天，9月消耗10天</t>
        </is>
      </c>
      <c r="D16" s="16" t="inlineStr">
        <is>
          <t>续费30天</t>
        </is>
      </c>
      <c r="E16" s="30" t="inlineStr">
        <is>
          <t>陈山聪-汇总</t>
        </is>
      </c>
      <c r="F16" s="134">
        <f>G16-J16</f>
        <v/>
      </c>
      <c r="G16" s="134">
        <f>陈山聪!I10</f>
        <v/>
      </c>
      <c r="H16" s="134">
        <f>0</f>
        <v/>
      </c>
      <c r="I16" s="135">
        <f>SUM(G16:H16)</f>
        <v/>
      </c>
      <c r="J16" s="135">
        <f>G16-((55000*0.93)+(8000*0.93)/30*30)</f>
        <v/>
      </c>
      <c r="K16" s="134">
        <f>SUM(陈山聪!AJ10:AN10)</f>
        <v/>
      </c>
      <c r="L16" s="135">
        <f>SUM(I16,K16)</f>
        <v/>
      </c>
      <c r="M16" s="135">
        <f>J16+K16</f>
        <v/>
      </c>
      <c r="N16" s="134">
        <f>陈山聪!T10</f>
        <v/>
      </c>
      <c r="O16" s="136">
        <f>N16/L16</f>
        <v/>
      </c>
      <c r="P16" s="137">
        <f>N16/M16</f>
        <v/>
      </c>
      <c r="Q16" s="137">
        <f>N16/J16</f>
        <v/>
      </c>
    </row>
    <row r="17" ht="42.75" customHeight="1">
      <c r="B17" s="39" t="inlineStr">
        <is>
          <t>8.29续费1个月，10000港币</t>
        </is>
      </c>
      <c r="C17" s="22" t="inlineStr">
        <is>
          <t>73000*0.93投放3个月，6月30天，7月31天，8月29天，9月续费10000，9月27天（加上8月底2天）</t>
        </is>
      </c>
      <c r="D17" s="16" t="inlineStr">
        <is>
          <t>120天</t>
        </is>
      </c>
      <c r="E17" s="30" t="inlineStr">
        <is>
          <t>陈敏之-汇总</t>
        </is>
      </c>
      <c r="F17" s="134">
        <f>G17-J17</f>
        <v/>
      </c>
      <c r="G17" s="134">
        <f>'陈敏之 '!I9</f>
        <v/>
      </c>
      <c r="H17" s="134">
        <f>73000*0.93-(73000*0.93)/90*90+(10000*0.93-10000*0.93/30*30)</f>
        <v/>
      </c>
      <c r="I17" s="135">
        <f>SUM(G17:H17)</f>
        <v/>
      </c>
      <c r="J17" s="135">
        <f>G17-(73000*0.93)/90*90-(10000*0.93)/30*30</f>
        <v/>
      </c>
      <c r="K17" s="134">
        <f>SUM('陈敏之 '!AJ9:AN9)</f>
        <v/>
      </c>
      <c r="L17" s="135">
        <f>SUM(I17,K17)</f>
        <v/>
      </c>
      <c r="M17" s="135">
        <f>J17+K17</f>
        <v/>
      </c>
      <c r="N17" s="134">
        <f>'陈敏之 '!T9</f>
        <v/>
      </c>
      <c r="O17" s="136">
        <f>N17/L17</f>
        <v/>
      </c>
      <c r="P17" s="137">
        <f>N17/M17</f>
        <v/>
      </c>
      <c r="Q17" s="137">
        <f>N17/J17</f>
        <v/>
      </c>
    </row>
    <row r="18" ht="33" customHeight="1">
      <c r="C18" s="22" t="inlineStr">
        <is>
          <t>45000*0.93投放3个月，6月30天，7月31天，8月29天</t>
        </is>
      </c>
      <c r="D18" s="16" t="inlineStr">
        <is>
          <t>90天</t>
        </is>
      </c>
      <c r="E18" s="30" t="inlineStr">
        <is>
          <t>林子善-汇总</t>
        </is>
      </c>
      <c r="F18" s="134">
        <f>G18-J18</f>
        <v/>
      </c>
      <c r="G18" s="134">
        <f>林子善!I9</f>
        <v/>
      </c>
      <c r="H18" s="134">
        <f>45000*0.93-(45000*0.93)/90*90</f>
        <v/>
      </c>
      <c r="I18" s="135">
        <f>SUM(G18:H18)</f>
        <v/>
      </c>
      <c r="J18" s="135">
        <f>G18-(45000*0.93)/90*90</f>
        <v/>
      </c>
      <c r="K18" s="134">
        <f>SUM(林子善!AJ9:AN9)</f>
        <v/>
      </c>
      <c r="L18" s="135">
        <f>SUM(I18,K18)</f>
        <v/>
      </c>
      <c r="M18" s="135">
        <f>J18+K18</f>
        <v/>
      </c>
      <c r="N18" s="134">
        <f>林子善!T9</f>
        <v/>
      </c>
      <c r="O18" s="136">
        <f>N18/L18</f>
        <v/>
      </c>
      <c r="P18" s="137">
        <f>N18/M18</f>
        <v/>
      </c>
      <c r="Q18" s="137">
        <f>N18/J18</f>
        <v/>
      </c>
    </row>
    <row r="19" ht="43" customHeight="1">
      <c r="C19" s="22" t="inlineStr">
        <is>
          <t>59500*0.93投放3个月，6月13日上线，6月18天，7月31天，8月31天，9月10天</t>
        </is>
      </c>
      <c r="D19" s="16" t="inlineStr">
        <is>
          <t>90天</t>
        </is>
      </c>
      <c r="E19" s="30" t="inlineStr">
        <is>
          <t>mamidaily-汇总</t>
        </is>
      </c>
      <c r="F19" s="134">
        <f>G19-J19</f>
        <v/>
      </c>
      <c r="G19" s="134">
        <f>mamidaily!I9</f>
        <v/>
      </c>
      <c r="H19" s="134">
        <f>59500*0.93-(59500*0.93)/90*90</f>
        <v/>
      </c>
      <c r="I19" s="135">
        <f>SUM(G19:H19)</f>
        <v/>
      </c>
      <c r="J19" s="135">
        <f>G19-(59500*0.93)/90*90</f>
        <v/>
      </c>
      <c r="K19" s="134">
        <f>SUM(mamidaily!AJ9:AN9)</f>
        <v/>
      </c>
      <c r="L19" s="135">
        <f>SUM(I19,K19)</f>
        <v/>
      </c>
      <c r="M19" s="135">
        <f>J19+K19</f>
        <v/>
      </c>
      <c r="N19" s="134">
        <f>mamidaily!T9</f>
        <v/>
      </c>
      <c r="O19" s="136">
        <f>N19/L19</f>
        <v/>
      </c>
      <c r="P19" s="137">
        <f>N19/M19</f>
        <v/>
      </c>
      <c r="Q19" s="137">
        <f>N19/J19</f>
        <v/>
      </c>
    </row>
    <row r="20" ht="47" customHeight="1">
      <c r="C20" s="22" t="inlineStr">
        <is>
          <t>68000*0.93投放3个月，7月1日上线，7月31天，8月31天，9月27天</t>
        </is>
      </c>
      <c r="D20" s="16" t="inlineStr">
        <is>
          <t>90天</t>
        </is>
      </c>
      <c r="E20" s="30" t="inlineStr">
        <is>
          <t>吴若希-汇总</t>
        </is>
      </c>
      <c r="F20" s="134">
        <f>G20-J20</f>
        <v/>
      </c>
      <c r="G20" s="134">
        <f>吴若希!I8</f>
        <v/>
      </c>
      <c r="H20" s="134">
        <f>68000*0.93-(68000*0.93)/90*90</f>
        <v/>
      </c>
      <c r="I20" s="135">
        <f>SUM(G20:H20)</f>
        <v/>
      </c>
      <c r="J20" s="135">
        <f>G20-(68000*0.93)/90*90</f>
        <v/>
      </c>
      <c r="K20" s="134">
        <f>SUM(吴若希!AJ8:AN8)</f>
        <v/>
      </c>
      <c r="L20" s="135">
        <f>SUM(I20,K20)</f>
        <v/>
      </c>
      <c r="M20" s="135">
        <f>J20+K20</f>
        <v/>
      </c>
      <c r="N20" s="134">
        <f>吴若希!T8</f>
        <v/>
      </c>
      <c r="O20" s="136">
        <f>N20/L20</f>
        <v/>
      </c>
      <c r="P20" s="137">
        <f>N20/M20</f>
        <v/>
      </c>
      <c r="Q20" s="137">
        <f>N20/J20</f>
        <v/>
      </c>
    </row>
    <row r="21" ht="28.5" customHeight="1">
      <c r="A21" s="39" t="inlineStr">
        <is>
          <t>有</t>
        </is>
      </c>
      <c r="B21" s="39">
        <f>9+31+30+19</f>
        <v/>
      </c>
      <c r="C21" s="22" t="inlineStr">
        <is>
          <t>27000*0.93投放3个月，7月23日上线，7月9天，8月31天，9月30天，10月20天</t>
        </is>
      </c>
      <c r="D21" s="16" t="inlineStr">
        <is>
          <t>90天</t>
        </is>
      </c>
      <c r="E21" s="30" t="inlineStr">
        <is>
          <t>张美妮-汇总</t>
        </is>
      </c>
      <c r="F21" s="134">
        <f>G21-J21</f>
        <v/>
      </c>
      <c r="G21" s="134">
        <f>张美妮!H8</f>
        <v/>
      </c>
      <c r="H21" s="134">
        <f>27000*0.93-(27000*0.93)/90*90</f>
        <v/>
      </c>
      <c r="I21" s="135">
        <f>SUM(G21:H21)</f>
        <v/>
      </c>
      <c r="J21" s="135">
        <f>G21-(27000*0.93)/90*90</f>
        <v/>
      </c>
      <c r="K21" s="134">
        <f>SUM(张美妮!AJ8:AN8)</f>
        <v/>
      </c>
      <c r="L21" s="135">
        <f>SUM(I21,K21)</f>
        <v/>
      </c>
      <c r="M21" s="135">
        <f>J21+K21</f>
        <v/>
      </c>
      <c r="N21" s="134">
        <f>张美妮!T8</f>
        <v/>
      </c>
      <c r="O21" s="136">
        <f>N21/L21</f>
        <v/>
      </c>
      <c r="P21" s="137">
        <f>N21/M21</f>
        <v/>
      </c>
      <c r="Q21" s="137">
        <f>N21/J21</f>
        <v/>
      </c>
    </row>
    <row r="22" ht="57" customHeight="1">
      <c r="A22" s="39" t="inlineStr">
        <is>
          <t>有</t>
        </is>
      </c>
      <c r="B22" s="39">
        <f>31+30+31+30+31+31+28+31+30+26</f>
        <v/>
      </c>
      <c r="C22" s="4" t="inlineStr">
        <is>
          <t>400000*0.93投放12个月，8月1日上线，8月31天，9月30天，10月31天，11月30天，12月31天,1月31天.,2月28天，3月31天，4月30天，5月26天</t>
        </is>
      </c>
      <c r="D22" s="5" t="inlineStr">
        <is>
          <t>299天</t>
        </is>
      </c>
      <c r="E22" s="57" t="inlineStr">
        <is>
          <t>钟嘉欣-汇总</t>
        </is>
      </c>
      <c r="F22" s="107">
        <f>G22-J22</f>
        <v/>
      </c>
      <c r="G22" s="107">
        <f>钟嘉欣!J13</f>
        <v/>
      </c>
      <c r="H22" s="107">
        <f>400000*0.93-(400000*0.93)/360*299+145000*0.93-145000*0.93*45%-145000*0.93*25%/31*26</f>
        <v/>
      </c>
      <c r="I22" s="143">
        <f>SUM(G22:H22)</f>
        <v/>
      </c>
      <c r="J22" s="143">
        <f>G22-(400000*0.93)/360*299-145000*0.93*45%-145000*0.93*25%/31*26</f>
        <v/>
      </c>
      <c r="K22" s="107">
        <f>SUM(钟嘉欣!AO13:AS13)</f>
        <v/>
      </c>
      <c r="L22" s="143">
        <f>SUM(I22,K22)</f>
        <v/>
      </c>
      <c r="M22" s="143">
        <f>J22+K22</f>
        <v/>
      </c>
      <c r="N22" s="107">
        <f>钟嘉欣!X13</f>
        <v/>
      </c>
      <c r="O22" s="144">
        <f>N22/L22</f>
        <v/>
      </c>
      <c r="P22" s="109">
        <f>N22/M22</f>
        <v/>
      </c>
      <c r="Q22" s="109">
        <f>N22/J22</f>
        <v/>
      </c>
    </row>
    <row r="23" ht="33" customHeight="1">
      <c r="A23" s="39" t="inlineStr">
        <is>
          <t>有</t>
        </is>
      </c>
      <c r="B23" s="39">
        <f>10+30+31+19</f>
        <v/>
      </c>
      <c r="C23" s="22" t="inlineStr">
        <is>
          <t>28000*0.93投放3个月，8月22日上线，8月10天，9月30天，10月31天，11月23天</t>
        </is>
      </c>
      <c r="D23" s="16" t="inlineStr">
        <is>
          <t>90天</t>
        </is>
      </c>
      <c r="E23" s="30" t="inlineStr">
        <is>
          <t>蔡雪莹-汇总</t>
        </is>
      </c>
      <c r="F23" s="134">
        <f>G23-J23</f>
        <v/>
      </c>
      <c r="G23" s="134">
        <f>蔡雪莹!H9</f>
        <v/>
      </c>
      <c r="H23" s="134">
        <f>28000*0.93-(28000*0.93)/90*90</f>
        <v/>
      </c>
      <c r="I23" s="135">
        <f>SUM(G23:H23)</f>
        <v/>
      </c>
      <c r="J23" s="135">
        <f>G23-(28000*0.93)/90*90</f>
        <v/>
      </c>
      <c r="K23" s="134">
        <f>SUM(蔡雪莹!AM9:AQ9)</f>
        <v/>
      </c>
      <c r="L23" s="135">
        <f>SUM(I23,K23)</f>
        <v/>
      </c>
      <c r="M23" s="135">
        <f>J23+K23</f>
        <v/>
      </c>
      <c r="N23" s="134">
        <f>蔡雪莹!V9</f>
        <v/>
      </c>
      <c r="O23" s="136">
        <f>N23/L23</f>
        <v/>
      </c>
      <c r="P23" s="137">
        <f>N23/M23</f>
        <v/>
      </c>
      <c r="Q23" s="137">
        <f>N23/J23</f>
        <v/>
      </c>
    </row>
    <row r="24" ht="57" customFormat="1" customHeight="1" s="2">
      <c r="A24" s="2" t="inlineStr">
        <is>
          <t>有</t>
        </is>
      </c>
      <c r="B24" s="2">
        <f>30+31+30+31+31+28</f>
        <v/>
      </c>
      <c r="C24" s="22" t="inlineStr">
        <is>
          <t>70000，1个月，9.1开始投，9月30天，10月31天，11月30天，12月31天，1月31天，2月28天
18000+40000，5个月，10月份开始续费</t>
        </is>
      </c>
      <c r="D24" s="16" t="inlineStr">
        <is>
          <t>181天</t>
        </is>
      </c>
      <c r="E24" s="30" t="inlineStr">
        <is>
          <t>陈琪直播-汇总</t>
        </is>
      </c>
      <c r="F24" s="134">
        <f>G24-J24</f>
        <v/>
      </c>
      <c r="G24" s="134">
        <f>陈琪直播!I11</f>
        <v/>
      </c>
      <c r="H24" s="134">
        <f>70000*0.93-70000*0.93+58000*0.93-58000*0.93*50%-58000*0.93*20%-58000*0.93*15%-58000*0.93*10%/31*31-58000*0.93*5%/28*28</f>
        <v/>
      </c>
      <c r="I24" s="135">
        <f>SUM(G24:H24)</f>
        <v/>
      </c>
      <c r="J24" s="134">
        <f>G24-70000*0.93-58000*0.93*50%-58000*0.93*20%-58000*0.93*15%-58000*0.93*10%/31*31-58000*0.93*5%/28*28</f>
        <v/>
      </c>
      <c r="K24" s="134">
        <f>SUM(陈琪直播!AM11:AQ11)</f>
        <v/>
      </c>
      <c r="L24" s="135">
        <f>SUM(I24,K24)</f>
        <v/>
      </c>
      <c r="M24" s="135">
        <f>J24+K24</f>
        <v/>
      </c>
      <c r="N24" s="134">
        <f>陈琪直播!V11</f>
        <v/>
      </c>
      <c r="O24" s="136">
        <f>N24/L24</f>
        <v/>
      </c>
      <c r="P24" s="137">
        <f>N24/M24</f>
        <v/>
      </c>
      <c r="Q24" s="137">
        <f>N24/J24</f>
        <v/>
      </c>
    </row>
    <row r="25" ht="27" customFormat="1" customHeight="1" s="1">
      <c r="A25" s="1" t="inlineStr">
        <is>
          <t>有</t>
        </is>
      </c>
      <c r="B25" s="1">
        <f>13+31+30+17</f>
        <v/>
      </c>
      <c r="C25" s="23" t="inlineStr">
        <is>
          <t>100000，3个月，9.18开始投放，9月13天，10月31天，11月30天，12月17天</t>
        </is>
      </c>
      <c r="D25" s="24" t="inlineStr">
        <is>
          <t>90天</t>
        </is>
      </c>
      <c r="E25" s="25" t="inlineStr">
        <is>
          <t>陈展鹏-汇总</t>
        </is>
      </c>
      <c r="F25" s="138">
        <f>G25-J25</f>
        <v/>
      </c>
      <c r="G25" s="138">
        <f>陈展鹏!I8</f>
        <v/>
      </c>
      <c r="H25" s="138">
        <f>100000*0.93-100000*0.93/90*90</f>
        <v/>
      </c>
      <c r="I25" s="139">
        <f>SUM(G25:H25)</f>
        <v/>
      </c>
      <c r="J25" s="138">
        <f>G25-100000*0.93/90*90</f>
        <v/>
      </c>
      <c r="K25" s="138">
        <f>SUM(陈展鹏!AM8:AQ8)</f>
        <v/>
      </c>
      <c r="L25" s="139">
        <f>SUM(I25,K25)</f>
        <v/>
      </c>
      <c r="M25" s="139">
        <f>J25+K25</f>
        <v/>
      </c>
      <c r="N25" s="138">
        <f>陈展鹏!V8</f>
        <v/>
      </c>
      <c r="O25" s="140">
        <f>N25/L25</f>
        <v/>
      </c>
      <c r="P25" s="141">
        <f>N25/M25</f>
        <v/>
      </c>
      <c r="Q25" s="141">
        <f>N25/J25</f>
        <v/>
      </c>
    </row>
    <row r="26" ht="27" customFormat="1" customHeight="1" s="2">
      <c r="A26" s="2" t="inlineStr">
        <is>
          <t>有</t>
        </is>
      </c>
      <c r="B26" s="2" t="n">
        <v>90</v>
      </c>
      <c r="C26" s="22" t="inlineStr">
        <is>
          <t>18000，3个月，10.1开始投放，10月31天，11月30天，12月29天</t>
        </is>
      </c>
      <c r="D26" s="16" t="inlineStr">
        <is>
          <t>90天</t>
        </is>
      </c>
      <c r="E26" s="30" t="inlineStr">
        <is>
          <t>專家鄧明儀-汇总</t>
        </is>
      </c>
      <c r="F26" s="134">
        <f>G26-J26</f>
        <v/>
      </c>
      <c r="G26" s="134">
        <f>專家鄧明儀!I7</f>
        <v/>
      </c>
      <c r="H26" s="134">
        <f>18000*0.93-18000*0.93/90*90</f>
        <v/>
      </c>
      <c r="I26" s="135">
        <f>SUM(G26:H26)</f>
        <v/>
      </c>
      <c r="J26" s="134">
        <f>G26-18000*0.93/90*90</f>
        <v/>
      </c>
      <c r="K26" s="134">
        <f>SUM(專家鄧明儀!AM7:AQ7)</f>
        <v/>
      </c>
      <c r="L26" s="135">
        <f>SUM(I26,K26)</f>
        <v/>
      </c>
      <c r="M26" s="135">
        <f>J26+K26</f>
        <v/>
      </c>
      <c r="N26" s="134">
        <f>專家鄧明儀!V7</f>
        <v/>
      </c>
      <c r="O26" s="136">
        <f>N26/L26</f>
        <v/>
      </c>
      <c r="P26" s="137">
        <f>N26/M26</f>
        <v/>
      </c>
      <c r="Q26" s="137">
        <f>N26/J26</f>
        <v/>
      </c>
    </row>
    <row r="27" ht="27" customFormat="1" customHeight="1" s="1">
      <c r="B27" s="1">
        <f>26+19</f>
        <v/>
      </c>
      <c r="C27" s="23" t="inlineStr">
        <is>
          <t>麥雅緻11.5开始投，75000港币，投1.5个月
11月26天,首月80%，次月20%，12月20天</t>
        </is>
      </c>
      <c r="D27" s="24" t="inlineStr">
        <is>
          <t>45天</t>
        </is>
      </c>
      <c r="E27" s="25" t="inlineStr">
        <is>
          <t>麥雅緻直播-汇总</t>
        </is>
      </c>
      <c r="F27" s="138">
        <f>G27-J27</f>
        <v/>
      </c>
      <c r="G27" s="138">
        <f>麥雅緻直播!I5</f>
        <v/>
      </c>
      <c r="H27" s="138">
        <f>75000*0.93-75000*0.93*80%-75000*0.93*20%/19*19</f>
        <v/>
      </c>
      <c r="I27" s="139">
        <f>SUM(G27:H27)</f>
        <v/>
      </c>
      <c r="J27" s="138">
        <f>G27-75000*0.93*80%/26*26-75000*0.93*20%/19*19</f>
        <v/>
      </c>
      <c r="K27" s="138">
        <f>SUM(麥雅緻直播!AM5:AQ5)</f>
        <v/>
      </c>
      <c r="L27" s="139">
        <f>SUM(I27,K27)</f>
        <v/>
      </c>
      <c r="M27" s="139">
        <f>J27+K27</f>
        <v/>
      </c>
      <c r="N27" s="138">
        <f>麥雅緻直播!V5</f>
        <v/>
      </c>
      <c r="O27" s="140">
        <f>N27/L27</f>
        <v/>
      </c>
      <c r="P27" s="141">
        <f>N27/M27</f>
        <v/>
      </c>
      <c r="Q27" s="141">
        <f>N27/J27</f>
        <v/>
      </c>
    </row>
    <row r="28" ht="27" customFormat="1" customHeight="1" s="2">
      <c r="B28" s="2">
        <f>18+31+31+10</f>
        <v/>
      </c>
      <c r="C28" s="22" t="inlineStr">
        <is>
          <t>呂慧儀直播11.13开始投，60000港币，投3个月
11月18天，12月31天，1月31天，2月10天</t>
        </is>
      </c>
      <c r="D28" s="16" t="inlineStr">
        <is>
          <t>90天</t>
        </is>
      </c>
      <c r="E28" s="30" t="inlineStr">
        <is>
          <t>呂慧儀直播-汇总</t>
        </is>
      </c>
      <c r="F28" s="134">
        <f>G28-J28</f>
        <v/>
      </c>
      <c r="G28" s="134">
        <f>呂慧儀直播!I8</f>
        <v/>
      </c>
      <c r="H28" s="134">
        <f>60000*0.93-60000*0.93/90*90</f>
        <v/>
      </c>
      <c r="I28" s="135">
        <f>SUM(G28:H28)</f>
        <v/>
      </c>
      <c r="J28" s="134">
        <f>G28-60000*0.93/30*90</f>
        <v/>
      </c>
      <c r="K28" s="134">
        <f>SUM(呂慧儀直播!AM8:AQ8)</f>
        <v/>
      </c>
      <c r="L28" s="135">
        <f>SUM(I28,K28)</f>
        <v/>
      </c>
      <c r="M28" s="135">
        <f>J28+K28</f>
        <v/>
      </c>
      <c r="N28" s="134">
        <f>呂慧儀直播!V8</f>
        <v/>
      </c>
      <c r="O28" s="136">
        <f>N28/L28</f>
        <v/>
      </c>
      <c r="P28" s="137">
        <f>N28/M28</f>
        <v/>
      </c>
      <c r="Q28" s="137">
        <f>N28/J28</f>
        <v/>
      </c>
    </row>
    <row r="29" ht="27" customFormat="1" customHeight="1" s="1">
      <c r="B29" s="1">
        <f>21+31+28+10</f>
        <v/>
      </c>
      <c r="C29" s="23" t="inlineStr">
        <is>
          <t>Kayan購物團直播 12.11开始投，9000港币，投1个月，12月21天，1月31天，2月28天，3月10天</t>
        </is>
      </c>
      <c r="D29" s="24" t="inlineStr">
        <is>
          <t>90天</t>
        </is>
      </c>
      <c r="E29" s="25" t="inlineStr">
        <is>
          <t>Kayan購物團直播</t>
        </is>
      </c>
      <c r="F29" s="138">
        <f>G29-J29</f>
        <v/>
      </c>
      <c r="G29" s="138">
        <f>Kayan購物團直播!I5</f>
        <v/>
      </c>
      <c r="H29" s="138">
        <f>9000*0.93-9000*0.93/90*90</f>
        <v/>
      </c>
      <c r="I29" s="139">
        <f>SUM(G29:H29)</f>
        <v/>
      </c>
      <c r="J29" s="138">
        <f>G29-9000*0.93/90*90</f>
        <v/>
      </c>
      <c r="K29" s="138">
        <f>SUM(Kayan購物團直播!AM5:AQ5)</f>
        <v/>
      </c>
      <c r="L29" s="139">
        <f>SUM(I29,K29)</f>
        <v/>
      </c>
      <c r="M29" s="139">
        <f>J29+K29</f>
        <v/>
      </c>
      <c r="N29" s="138">
        <f>Kayan購物團直播!V5</f>
        <v/>
      </c>
      <c r="O29" s="140">
        <f>N29/L29</f>
        <v/>
      </c>
      <c r="P29" s="141">
        <f>N29/M29</f>
        <v/>
      </c>
      <c r="Q29" s="141">
        <f>N29/J29</f>
        <v/>
      </c>
    </row>
    <row r="30" ht="27" customFormat="1" customHeight="1" s="1">
      <c r="B30" s="1">
        <f>10+31+28+21</f>
        <v/>
      </c>
      <c r="C30" s="23" t="inlineStr">
        <is>
          <t>邓明仪直播，12.22开始，30000港币，投3个月，12月10天，1月31天，2月28天，3月23天</t>
        </is>
      </c>
      <c r="D30" s="24" t="inlineStr">
        <is>
          <t>90天</t>
        </is>
      </c>
      <c r="E30" s="25" t="inlineStr">
        <is>
          <t>鄧明儀直播-汇总</t>
        </is>
      </c>
      <c r="F30" s="138">
        <f>G30-J30</f>
        <v/>
      </c>
      <c r="G30" s="138">
        <f>鄧明儀直播!H6</f>
        <v/>
      </c>
      <c r="H30" s="138">
        <f>30000*0.93-30000*0.93/90*90</f>
        <v/>
      </c>
      <c r="I30" s="139">
        <f>SUM(G30:H30)</f>
        <v/>
      </c>
      <c r="J30" s="138">
        <f>G30-30000*0.93/90*90</f>
        <v/>
      </c>
      <c r="K30" s="138">
        <f>SUM(鄧明儀直播!AM6:AQ6)</f>
        <v/>
      </c>
      <c r="L30" s="139">
        <f>SUM(I30,K30)</f>
        <v/>
      </c>
      <c r="M30" s="139">
        <f>J30+K30</f>
        <v/>
      </c>
      <c r="N30" s="138">
        <f>鄧明儀直播!V6</f>
        <v/>
      </c>
      <c r="O30" s="140">
        <f>N30/L30</f>
        <v/>
      </c>
      <c r="P30" s="141">
        <f>N30/M30</f>
        <v/>
      </c>
      <c r="Q30" s="141">
        <f>N30/J30</f>
        <v/>
      </c>
    </row>
    <row r="31" ht="42.75" customHeight="1">
      <c r="A31" s="39" t="n"/>
      <c r="B31" s="39">
        <f>30+30+26</f>
        <v/>
      </c>
      <c r="C31" s="4" t="inlineStr">
        <is>
          <t>周家蔚3.2开始投，成本75000+9500HKD.时间3个月，按照50%，30%，20%衰减，3月30天，4月30天，5月26天</t>
        </is>
      </c>
      <c r="D31" s="5" t="inlineStr">
        <is>
          <t>86天</t>
        </is>
      </c>
      <c r="E31" s="57" t="inlineStr">
        <is>
          <t>周家蔚-汇总</t>
        </is>
      </c>
      <c r="F31" s="107">
        <f>G31-J31</f>
        <v/>
      </c>
      <c r="G31" s="107">
        <f>周家蔚!H7</f>
        <v/>
      </c>
      <c r="H31" s="107">
        <f>84500*0.93-84500*0.93*80%-84500*0.93*20%/31*26</f>
        <v/>
      </c>
      <c r="I31" s="143">
        <f>SUM(G31:H31)</f>
        <v/>
      </c>
      <c r="J31" s="107">
        <f>G31-84500*0.93*80%-84500*0.93*20%/31*26</f>
        <v/>
      </c>
      <c r="K31" s="107">
        <f>SUM(周家蔚!AM7:AQ7)</f>
        <v/>
      </c>
      <c r="L31" s="143">
        <f>SUM(I31,K31)</f>
        <v/>
      </c>
      <c r="M31" s="143">
        <f>J31+K31</f>
        <v/>
      </c>
      <c r="N31" s="107">
        <f>周家蔚!V7</f>
        <v/>
      </c>
      <c r="O31" s="144">
        <f>N31/L31</f>
        <v/>
      </c>
      <c r="P31" s="109">
        <f>N31/M31</f>
        <v/>
      </c>
      <c r="Q31" s="109">
        <f>N31/J31</f>
        <v/>
      </c>
    </row>
    <row r="32" ht="27" customFormat="1" customHeight="1" s="2">
      <c r="A32" s="2" t="inlineStr">
        <is>
          <t>有</t>
        </is>
      </c>
      <c r="B32" s="2" t="n">
        <v>90</v>
      </c>
      <c r="C32" s="22" t="inlineStr">
        <is>
          <t>202000,3个月，10.18开始投，10月14天，11月30天，12月31天，1月16天</t>
        </is>
      </c>
      <c r="D32" s="16" t="inlineStr">
        <is>
          <t>90天</t>
        </is>
      </c>
      <c r="E32" s="30" t="inlineStr">
        <is>
          <t>陳凱琳-汇总</t>
        </is>
      </c>
      <c r="F32" s="134">
        <f>G32-J32</f>
        <v/>
      </c>
      <c r="G32" s="134">
        <f>陳凱琳!I8</f>
        <v/>
      </c>
      <c r="H32" s="134">
        <f>202000*0.93-202000*0.93/90*90</f>
        <v/>
      </c>
      <c r="I32" s="135">
        <f>SUM(G32:H32)</f>
        <v/>
      </c>
      <c r="J32" s="134">
        <f>G32-202000*0.93/90*90</f>
        <v/>
      </c>
      <c r="K32" s="134">
        <f>SUM(陳凱琳!AM8:AQ8)</f>
        <v/>
      </c>
      <c r="L32" s="135">
        <f>SUM(I32,K32)</f>
        <v/>
      </c>
      <c r="M32" s="135">
        <f>J32+K32</f>
        <v/>
      </c>
      <c r="N32" s="134">
        <f>陳凱琳!V8</f>
        <v/>
      </c>
      <c r="O32" s="136">
        <f>N32/L32</f>
        <v/>
      </c>
      <c r="P32" s="137">
        <f>N32/M32</f>
        <v/>
      </c>
      <c r="Q32" s="137">
        <f>N32/J32</f>
        <v/>
      </c>
    </row>
    <row r="33" ht="27" customHeight="1">
      <c r="E33" s="57" t="inlineStr">
        <is>
          <t>汇总</t>
        </is>
      </c>
      <c r="F33" s="107">
        <f>SUM(F11:F32)</f>
        <v/>
      </c>
      <c r="G33" s="107">
        <f>SUM(G11:G32)</f>
        <v/>
      </c>
      <c r="H33" s="107">
        <f>SUM(H11:H32)</f>
        <v/>
      </c>
      <c r="I33" s="107">
        <f>SUM(I11:I32)</f>
        <v/>
      </c>
      <c r="J33" s="107">
        <f>SUM(J11:J32)</f>
        <v/>
      </c>
      <c r="K33" s="107">
        <f>SUM(K11:K32)</f>
        <v/>
      </c>
      <c r="L33" s="107">
        <f>SUM(L11:L32)</f>
        <v/>
      </c>
      <c r="M33" s="107">
        <f>SUM(M11:M32)</f>
        <v/>
      </c>
      <c r="N33" s="107">
        <f>SUM(N11:N32)</f>
        <v/>
      </c>
      <c r="O33" s="144">
        <f>N33/L33</f>
        <v/>
      </c>
      <c r="P33" s="109">
        <f>N33/M33</f>
        <v/>
      </c>
      <c r="Q33" s="109">
        <f>N33/J33</f>
        <v/>
      </c>
    </row>
  </sheetData>
  <mergeCells count="1">
    <mergeCell ref="D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林海涛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2026-06-10T08:04:39Z</dcterms:modified>
  <cp:lastModifiedBy>陈梓烁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F8DF04EE57434F30AE74F0F65ADF7EC3_12</vt:lpwstr>
  </property>
  <property name="CalculationRule" fmtid="{D5CDD505-2E9C-101B-9397-08002B2CF9AE}" pid="4">
    <vt:i4 xmlns:vt="http://schemas.openxmlformats.org/officeDocument/2006/docPropsVTypes">0</vt:i4>
  </property>
</Properties>
</file>