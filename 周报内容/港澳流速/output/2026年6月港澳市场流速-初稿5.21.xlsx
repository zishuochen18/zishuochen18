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25" tabRatio="600" firstSheet="0" activeTab="0" autoFilterDateGrouping="1"/>
  </bookViews>
  <sheets>
    <sheet xmlns:r="http://schemas.openxmlformats.org/officeDocument/2006/relationships" name="香港市场目标" sheetId="1" state="visible" r:id="rId1"/>
    <sheet xmlns:r="http://schemas.openxmlformats.org/officeDocument/2006/relationships" name="嘉欣购物团（暂定）" sheetId="2" state="hidden" r:id="rId2"/>
    <sheet xmlns:r="http://schemas.openxmlformats.org/officeDocument/2006/relationships" name="钟嘉欣新视频" sheetId="3" state="visible" r:id="rId3"/>
    <sheet xmlns:r="http://schemas.openxmlformats.org/officeDocument/2006/relationships" name="周家蔚" sheetId="4" state="visible" r:id="rId4"/>
    <sheet xmlns:r="http://schemas.openxmlformats.org/officeDocument/2006/relationships" name="邓明仪直播" sheetId="5" state="visible" r:id="rId5"/>
    <sheet xmlns:r="http://schemas.openxmlformats.org/officeDocument/2006/relationships" name="麦雅致" sheetId="6" state="hidden" r:id="rId6"/>
    <sheet xmlns:r="http://schemas.openxmlformats.org/officeDocument/2006/relationships" name="吕慧仪" sheetId="7" state="visible" r:id="rId7"/>
    <sheet xmlns:r="http://schemas.openxmlformats.org/officeDocument/2006/relationships" name="專家鄧明儀" sheetId="8" state="hidden" r:id="rId8"/>
    <sheet xmlns:r="http://schemas.openxmlformats.org/officeDocument/2006/relationships" name="陳凱琳" sheetId="9" state="hidden" r:id="rId9"/>
    <sheet xmlns:r="http://schemas.openxmlformats.org/officeDocument/2006/relationships" name="陈展鹏" sheetId="10" state="hidden" r:id="rId10"/>
    <sheet xmlns:r="http://schemas.openxmlformats.org/officeDocument/2006/relationships" name="陈琪" sheetId="11" state="hidden" r:id="rId11"/>
    <sheet xmlns:r="http://schemas.openxmlformats.org/officeDocument/2006/relationships" name="展会数据测算" sheetId="12" state="visible" r:id="rId12"/>
    <sheet xmlns:r="http://schemas.openxmlformats.org/officeDocument/2006/relationships" name="BB展ROI测算数据" sheetId="13" state="hidden" r:id="rId13"/>
    <sheet xmlns:r="http://schemas.openxmlformats.org/officeDocument/2006/relationships" name="BB展ROI测算数据 (2)" sheetId="14" state="hidden" r:id="rId14"/>
    <sheet xmlns:r="http://schemas.openxmlformats.org/officeDocument/2006/relationships" name="回本预测" sheetId="15" state="hidden" r:id="rId15"/>
    <sheet xmlns:r="http://schemas.openxmlformats.org/officeDocument/2006/relationships" name="历史KOL数据" sheetId="16" state="hidden" r:id="rId16"/>
    <sheet xmlns:r="http://schemas.openxmlformats.org/officeDocument/2006/relationships" name="商场具体计划（待更新）" sheetId="17" state="hidden" r:id="rId17"/>
    <sheet xmlns:r="http://schemas.openxmlformats.org/officeDocument/2006/relationships" name="展会ROI测算" sheetId="18" state="visible" r:id="rId18"/>
    <sheet xmlns:r="http://schemas.openxmlformats.org/officeDocument/2006/relationships" name="Sheet1" sheetId="19" state="visible" r:id="rId19"/>
  </sheets>
  <externalReferences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</externalReferences>
  <definedNames>
    <definedName name="___INDEX_SHEET___ASAP_Utilities" localSheetId="3">#REF!</definedName>
    <definedName name="___INDEX_SHEET___ASAP_Utilities" localSheetId="6">#REF!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.00_ "/>
    <numFmt numFmtId="165" formatCode="_ * #,##0.00_ ;_ * \-#,##0.00_ ;_ * &quot;-&quot;??_ ;_ @_ "/>
    <numFmt numFmtId="166" formatCode="_ * #,##0_ ;_ * \-#,##0_ ;_ * &quot;-&quot;??_ ;_ @_ "/>
    <numFmt numFmtId="167" formatCode="0.00_);[Red]\(0.00\)"/>
    <numFmt numFmtId="168" formatCode="0.0%"/>
    <numFmt numFmtId="169" formatCode="0_ "/>
    <numFmt numFmtId="170" formatCode="\$#,##0.00_);\(\$#,##0.00\)"/>
    <numFmt numFmtId="171" formatCode="&quot;￥&quot;#,##0.00_);\(&quot;￥&quot;#,##0.00\)"/>
    <numFmt numFmtId="172" formatCode="\$#,##0.00_);[Red]\(\$#,##0.00\)"/>
    <numFmt numFmtId="173" formatCode="#,##0.0_ "/>
    <numFmt numFmtId="174" formatCode="#,##0_ "/>
    <numFmt numFmtId="175" formatCode="_ * #,##0_ ;_ * \-#,##0_ ;_ * "/>
    <numFmt numFmtId="176" formatCode="0.00_ "/>
    <numFmt numFmtId="177" formatCode="0.0"/>
    <numFmt numFmtId="178" formatCode="0.0_ "/>
    <numFmt numFmtId="179" formatCode="0.0000000_ "/>
  </numFmts>
  <fonts count="63">
    <font>
      <name val="等线"/>
      <charset val="134"/>
      <color theme="1"/>
      <sz val="12"/>
      <scheme val="minor"/>
    </font>
    <font>
      <name val="等线"/>
      <charset val="134"/>
      <color rgb="FF000000"/>
      <sz val="12"/>
    </font>
    <font>
      <name val="微软雅黑"/>
      <charset val="134"/>
      <color rgb="FF000000"/>
      <sz val="10"/>
    </font>
    <font>
      <name val="微软雅黑"/>
      <charset val="134"/>
      <color rgb="FFFFFFFF"/>
      <sz val="10"/>
    </font>
    <font>
      <name val="細明體"/>
      <charset val="136"/>
      <color rgb="FF000000"/>
      <sz val="10"/>
    </font>
    <font>
      <name val="微软雅黑"/>
      <charset val="134"/>
      <b val="1"/>
      <color rgb="FF006600"/>
      <sz val="10"/>
    </font>
    <font>
      <name val="微软雅黑"/>
      <charset val="134"/>
      <color rgb="FFFF0000"/>
      <sz val="10"/>
    </font>
    <font>
      <name val="等线"/>
      <charset val="134"/>
      <color rgb="FF000000"/>
      <sz val="10"/>
    </font>
    <font>
      <name val="微软雅黑"/>
      <charset val="134"/>
      <color rgb="FF0F4861"/>
      <sz val="10"/>
    </font>
    <font>
      <name val="微软雅黑"/>
      <charset val="134"/>
      <b val="1"/>
      <color rgb="FFC00000"/>
      <sz val="10"/>
    </font>
    <font>
      <name val="微软雅黑"/>
      <charset val="134"/>
      <b val="1"/>
      <color rgb="FFFF0000"/>
      <sz val="10"/>
    </font>
    <font>
      <name val="微软雅黑"/>
      <charset val="134"/>
      <sz val="10"/>
    </font>
    <font>
      <name val="細明體"/>
      <charset val="136"/>
      <color rgb="FFFF0000"/>
      <sz val="10"/>
    </font>
    <font>
      <name val="微软雅黑"/>
      <charset val="134"/>
      <color rgb="FF000000"/>
      <sz val="12"/>
    </font>
    <font>
      <name val="宋体-简"/>
      <charset val="134"/>
      <color rgb="FF000000"/>
      <sz val="12"/>
    </font>
    <font>
      <name val="等线"/>
      <charset val="134"/>
      <b val="1"/>
      <color rgb="FF000000"/>
      <sz val="11"/>
      <scheme val="minor"/>
    </font>
    <font>
      <name val="等线"/>
      <charset val="134"/>
      <color rgb="FF1F2329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0"/>
      <scheme val="minor"/>
    </font>
    <font>
      <name val="等线"/>
      <charset val="134"/>
      <color rgb="FFF54A45"/>
      <sz val="11"/>
      <scheme val="minor"/>
    </font>
    <font>
      <name val="等线"/>
      <charset val="134"/>
      <b val="1"/>
      <color rgb="FFF54A45"/>
      <sz val="11"/>
      <scheme val="minor"/>
    </font>
    <font>
      <name val="等线"/>
      <charset val="134"/>
      <b val="1"/>
      <color rgb="FF000000"/>
      <sz val="10"/>
      <scheme val="minor"/>
    </font>
    <font>
      <name val="等线"/>
      <charset val="134"/>
      <color rgb="FFFF0000"/>
      <sz val="12"/>
      <scheme val="minor"/>
    </font>
    <font>
      <name val="Microsoft YaHei"/>
      <charset val="134"/>
      <b val="1"/>
      <color rgb="FF000000"/>
      <sz val="10"/>
    </font>
    <font>
      <name val="Arial"/>
      <charset val="134"/>
      <b val="1"/>
      <color rgb="FF000000"/>
      <sz val="10"/>
    </font>
    <font>
      <name val="Arial"/>
      <charset val="134"/>
      <color rgb="FF000000"/>
      <sz val="10"/>
    </font>
    <font>
      <name val="Arial"/>
      <charset val="134"/>
      <sz val="10"/>
    </font>
    <font>
      <name val="Arial"/>
      <charset val="134"/>
      <color rgb="FFEA3324"/>
      <sz val="10"/>
    </font>
    <font>
      <name val="宋体"/>
      <charset val="134"/>
      <color rgb="FF000000"/>
      <sz val="10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i val="1"/>
      <color theme="1"/>
      <sz val="12"/>
      <scheme val="minor"/>
    </font>
    <font>
      <name val="等线"/>
      <charset val="134"/>
      <color rgb="FF000000"/>
      <sz val="12"/>
      <scheme val="minor"/>
    </font>
    <font>
      <name val="微软雅黑"/>
      <charset val="134"/>
      <b val="1"/>
      <color rgb="FF000000"/>
      <sz val="10"/>
    </font>
    <font>
      <name val="微软雅黑"/>
      <charset val="134"/>
      <color rgb="FF00B0F0"/>
      <sz val="9"/>
    </font>
    <font>
      <name val="微软雅黑"/>
      <charset val="134"/>
      <color rgb="FF0070C0"/>
      <sz val="10"/>
    </font>
    <font>
      <name val="微软雅黑"/>
      <charset val="134"/>
      <color theme="1"/>
      <sz val="10"/>
    </font>
    <font>
      <name val="等线"/>
      <charset val="134"/>
      <sz val="12"/>
    </font>
    <font>
      <name val="等线"/>
      <charset val="134"/>
      <b val="1"/>
      <color rgb="FFFF0000"/>
      <sz val="12"/>
      <scheme val="minor"/>
    </font>
    <font>
      <name val="等线"/>
      <charset val="134"/>
      <color theme="1"/>
      <sz val="10"/>
      <scheme val="minor"/>
    </font>
    <font>
      <name val="微软雅黑"/>
      <charset val="134"/>
      <color theme="1"/>
      <sz val="11"/>
    </font>
    <font>
      <name val="等线"/>
      <charset val="134"/>
      <b val="1"/>
      <color rgb="FF000000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000000"/>
      <sz val="11"/>
    </font>
  </fonts>
  <fills count="49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CEE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rgb="FFFEE59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FF0000"/>
      </right>
      <top style="medium">
        <color rgb="FFDEE0E3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FF0000"/>
      </bottom>
      <diagonal/>
    </border>
    <border>
      <left style="medium">
        <color rgb="FFDEE0E3"/>
      </left>
      <right style="medium">
        <color rgb="FFFF0000"/>
      </right>
      <top style="medium">
        <color rgb="FFDEE0E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EE0E3"/>
      </right>
      <top style="thin">
        <color rgb="FF000000"/>
      </top>
      <bottom/>
      <diagonal/>
    </border>
    <border>
      <left/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1">
    <xf numFmtId="0" fontId="0" fillId="0" borderId="0" applyAlignment="1">
      <alignment vertical="center"/>
    </xf>
    <xf numFmtId="43" fontId="42" fillId="0" borderId="0" applyAlignment="1">
      <alignment vertical="center"/>
    </xf>
    <xf numFmtId="44" fontId="42" fillId="0" borderId="0" applyAlignment="1">
      <alignment vertical="center"/>
    </xf>
    <xf numFmtId="9" fontId="0" fillId="0" borderId="0" applyAlignment="1">
      <alignment vertical="center"/>
    </xf>
    <xf numFmtId="41" fontId="42" fillId="0" borderId="0" applyAlignment="1">
      <alignment vertical="center"/>
    </xf>
    <xf numFmtId="42" fontId="42" fillId="0" borderId="0" applyAlignment="1">
      <alignment vertical="center"/>
    </xf>
    <xf numFmtId="0" fontId="43" fillId="0" borderId="0" applyAlignment="1">
      <alignment vertical="center"/>
    </xf>
    <xf numFmtId="0" fontId="44" fillId="0" borderId="0" applyAlignment="1">
      <alignment vertical="center"/>
    </xf>
    <xf numFmtId="0" fontId="42" fillId="6" borderId="29" applyAlignment="1">
      <alignment vertical="center"/>
    </xf>
    <xf numFmtId="0" fontId="45" fillId="0" borderId="0" applyAlignment="1">
      <alignment vertical="center"/>
    </xf>
    <xf numFmtId="0" fontId="46" fillId="0" borderId="0" applyAlignment="1">
      <alignment vertical="center"/>
    </xf>
    <xf numFmtId="0" fontId="47" fillId="0" borderId="0" applyAlignment="1">
      <alignment vertical="center"/>
    </xf>
    <xf numFmtId="0" fontId="48" fillId="0" borderId="30" applyAlignment="1">
      <alignment vertical="center"/>
    </xf>
    <xf numFmtId="0" fontId="49" fillId="0" borderId="30" applyAlignment="1">
      <alignment vertical="center"/>
    </xf>
    <xf numFmtId="0" fontId="50" fillId="0" borderId="31" applyAlignment="1">
      <alignment vertical="center"/>
    </xf>
    <xf numFmtId="0" fontId="50" fillId="0" borderId="0" applyAlignment="1">
      <alignment vertical="center"/>
    </xf>
    <xf numFmtId="0" fontId="51" fillId="21" borderId="32" applyAlignment="1">
      <alignment vertical="center"/>
    </xf>
    <xf numFmtId="0" fontId="52" fillId="22" borderId="33" applyAlignment="1">
      <alignment vertical="center"/>
    </xf>
    <xf numFmtId="0" fontId="53" fillId="22" borderId="32" applyAlignment="1">
      <alignment vertical="center"/>
    </xf>
    <xf numFmtId="0" fontId="54" fillId="23" borderId="34" applyAlignment="1">
      <alignment vertical="center"/>
    </xf>
    <xf numFmtId="0" fontId="55" fillId="0" borderId="35" applyAlignment="1">
      <alignment vertical="center"/>
    </xf>
    <xf numFmtId="0" fontId="56" fillId="0" borderId="36" applyAlignment="1">
      <alignment vertical="center"/>
    </xf>
    <xf numFmtId="0" fontId="57" fillId="24" borderId="0" applyAlignment="1">
      <alignment vertical="center"/>
    </xf>
    <xf numFmtId="0" fontId="58" fillId="25" borderId="0" applyAlignment="1">
      <alignment vertical="center"/>
    </xf>
    <xf numFmtId="0" fontId="59" fillId="26" borderId="0" applyAlignment="1">
      <alignment vertical="center"/>
    </xf>
    <xf numFmtId="0" fontId="60" fillId="27" borderId="0" applyAlignment="1">
      <alignment vertical="center"/>
    </xf>
    <xf numFmtId="0" fontId="61" fillId="28" borderId="0" applyAlignment="1">
      <alignment vertical="center"/>
    </xf>
    <xf numFmtId="0" fontId="61" fillId="29" borderId="0" applyAlignment="1">
      <alignment vertical="center"/>
    </xf>
    <xf numFmtId="0" fontId="60" fillId="30" borderId="0" applyAlignment="1">
      <alignment vertical="center"/>
    </xf>
    <xf numFmtId="0" fontId="60" fillId="31" borderId="0" applyAlignment="1">
      <alignment vertical="center"/>
    </xf>
    <xf numFmtId="0" fontId="61" fillId="32" borderId="0" applyAlignment="1">
      <alignment vertical="center"/>
    </xf>
    <xf numFmtId="0" fontId="61" fillId="33" borderId="0" applyAlignment="1">
      <alignment vertical="center"/>
    </xf>
    <xf numFmtId="0" fontId="60" fillId="34" borderId="0" applyAlignment="1">
      <alignment vertical="center"/>
    </xf>
    <xf numFmtId="0" fontId="60" fillId="35" borderId="0" applyAlignment="1">
      <alignment vertical="center"/>
    </xf>
    <xf numFmtId="0" fontId="61" fillId="36" borderId="0" applyAlignment="1">
      <alignment vertical="center"/>
    </xf>
    <xf numFmtId="0" fontId="61" fillId="37" borderId="0" applyAlignment="1">
      <alignment vertical="center"/>
    </xf>
    <xf numFmtId="0" fontId="60" fillId="38" borderId="0" applyAlignment="1">
      <alignment vertical="center"/>
    </xf>
    <xf numFmtId="0" fontId="60" fillId="39" borderId="0" applyAlignment="1">
      <alignment vertical="center"/>
    </xf>
    <xf numFmtId="0" fontId="61" fillId="40" borderId="0" applyAlignment="1">
      <alignment vertical="center"/>
    </xf>
    <xf numFmtId="0" fontId="61" fillId="41" borderId="0" applyAlignment="1">
      <alignment vertical="center"/>
    </xf>
    <xf numFmtId="0" fontId="60" fillId="42" borderId="0" applyAlignment="1">
      <alignment vertical="center"/>
    </xf>
    <xf numFmtId="0" fontId="60" fillId="43" borderId="0" applyAlignment="1">
      <alignment vertical="center"/>
    </xf>
    <xf numFmtId="0" fontId="61" fillId="44" borderId="0" applyAlignment="1">
      <alignment vertical="center"/>
    </xf>
    <xf numFmtId="0" fontId="61" fillId="2" borderId="0" applyAlignment="1">
      <alignment vertical="center"/>
    </xf>
    <xf numFmtId="0" fontId="60" fillId="45" borderId="0" applyAlignment="1">
      <alignment vertical="center"/>
    </xf>
    <xf numFmtId="0" fontId="60" fillId="46" borderId="0" applyAlignment="1">
      <alignment vertical="center"/>
    </xf>
    <xf numFmtId="0" fontId="61" fillId="47" borderId="0" applyAlignment="1">
      <alignment vertical="center"/>
    </xf>
    <xf numFmtId="0" fontId="61" fillId="4" borderId="0" applyAlignment="1">
      <alignment vertical="center"/>
    </xf>
    <xf numFmtId="0" fontId="60" fillId="48" borderId="0" applyAlignment="1">
      <alignment vertical="center"/>
    </xf>
    <xf numFmtId="0" fontId="0" fillId="0" borderId="0" applyAlignment="1">
      <alignment vertical="center"/>
    </xf>
    <xf numFmtId="43" fontId="39" fillId="0" borderId="0" applyAlignment="1">
      <alignment vertical="center"/>
    </xf>
  </cellStyleXfs>
  <cellXfs count="46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164" fontId="2" fillId="6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65" fontId="9" fillId="7" borderId="0" applyAlignment="1" pivotButton="0" quotePrefix="0" xfId="0">
      <alignment horizontal="center" vertical="center"/>
    </xf>
    <xf numFmtId="165" fontId="9" fillId="3" borderId="0" applyAlignment="1" pivotButton="0" quotePrefix="0" xfId="0">
      <alignment horizontal="center" vertical="center"/>
    </xf>
    <xf numFmtId="165" fontId="9" fillId="4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/>
    </xf>
    <xf numFmtId="0" fontId="7" fillId="0" borderId="5" applyAlignment="1" pivotButton="0" quotePrefix="0" xfId="0">
      <alignment horizontal="center"/>
    </xf>
    <xf numFmtId="166" fontId="9" fillId="7" borderId="0" applyAlignment="1" pivotButton="0" quotePrefix="0" xfId="0">
      <alignment horizontal="center" vertical="center"/>
    </xf>
    <xf numFmtId="166" fontId="9" fillId="3" borderId="0" applyAlignment="1" pivotButton="0" quotePrefix="0" xfId="0">
      <alignment horizontal="center" vertical="center"/>
    </xf>
    <xf numFmtId="166" fontId="10" fillId="4" borderId="0" applyAlignment="1" pivotButton="0" quotePrefix="0" xfId="0">
      <alignment vertical="center"/>
    </xf>
    <xf numFmtId="0" fontId="2" fillId="6" borderId="0" applyAlignment="1" pivotButton="0" quotePrefix="0" xfId="0">
      <alignment horizontal="left" vertical="center"/>
    </xf>
    <xf numFmtId="10" fontId="7" fillId="0" borderId="2" applyAlignment="1" pivotButton="0" quotePrefix="0" xfId="0">
      <alignment horizontal="center"/>
    </xf>
    <xf numFmtId="10" fontId="7" fillId="0" borderId="3" applyAlignment="1" pivotButton="0" quotePrefix="0" xfId="0">
      <alignment horizontal="center"/>
    </xf>
    <xf numFmtId="166" fontId="2" fillId="7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" fontId="2" fillId="7" borderId="0" applyAlignment="1" pivotButton="0" quotePrefix="0" xfId="0">
      <alignment horizontal="center" vertical="center"/>
    </xf>
    <xf numFmtId="4" fontId="2" fillId="3" borderId="0" applyAlignment="1" pivotButton="0" quotePrefix="0" xfId="0">
      <alignment horizontal="center" vertical="center"/>
    </xf>
    <xf numFmtId="167" fontId="11" fillId="4" borderId="0" applyAlignment="1" pivotButton="0" quotePrefix="0" xfId="3">
      <alignment vertical="center"/>
    </xf>
    <xf numFmtId="0" fontId="2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/>
    </xf>
    <xf numFmtId="166" fontId="2" fillId="7" borderId="0" applyAlignment="1" pivotButton="0" quotePrefix="0" xfId="0">
      <alignment vertical="center"/>
    </xf>
    <xf numFmtId="166" fontId="6" fillId="7" borderId="0" applyAlignment="1" pivotButton="0" quotePrefix="0" xfId="0">
      <alignment vertical="center"/>
    </xf>
    <xf numFmtId="166" fontId="6" fillId="3" borderId="0" applyAlignment="1" pivotButton="0" quotePrefix="0" xfId="0">
      <alignment vertical="center"/>
    </xf>
    <xf numFmtId="166" fontId="6" fillId="4" borderId="0" applyAlignment="1" pivotButton="0" quotePrefix="0" xfId="0">
      <alignment vertical="center"/>
    </xf>
    <xf numFmtId="10" fontId="2" fillId="7" borderId="0" applyAlignment="1" pivotButton="0" quotePrefix="0" xfId="0">
      <alignment vertical="center"/>
    </xf>
    <xf numFmtId="10" fontId="2" fillId="3" borderId="0" applyAlignment="1" pivotButton="0" quotePrefix="0" xfId="0">
      <alignment vertical="center"/>
    </xf>
    <xf numFmtId="9" fontId="11" fillId="4" borderId="0" applyAlignment="1" pivotButton="0" quotePrefix="0" xfId="3">
      <alignment vertical="center"/>
    </xf>
    <xf numFmtId="10" fontId="6" fillId="7" borderId="0" applyAlignment="1" pivotButton="0" quotePrefix="0" xfId="0">
      <alignment vertical="center"/>
    </xf>
    <xf numFmtId="10" fontId="6" fillId="3" borderId="0" applyAlignment="1" pivotButton="0" quotePrefix="0" xfId="0">
      <alignment vertical="center"/>
    </xf>
    <xf numFmtId="9" fontId="6" fillId="4" borderId="0" applyAlignment="1" pivotButton="0" quotePrefix="0" xfId="3">
      <alignment vertical="center"/>
    </xf>
    <xf numFmtId="10" fontId="12" fillId="7" borderId="0" applyAlignment="1" pivotButton="0" quotePrefix="0" xfId="0">
      <alignment vertical="center"/>
    </xf>
    <xf numFmtId="10" fontId="9" fillId="7" borderId="0" applyAlignment="1" pivotButton="0" quotePrefix="0" xfId="0">
      <alignment vertical="center"/>
    </xf>
    <xf numFmtId="166" fontId="9" fillId="7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2" fillId="3" borderId="0" applyAlignment="1" pivotButton="0" quotePrefix="0" xfId="0">
      <alignment vertical="center"/>
    </xf>
    <xf numFmtId="166" fontId="2" fillId="4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5" fontId="2" fillId="3" borderId="0" applyAlignment="1" pivotButton="0" quotePrefix="0" xfId="0">
      <alignment vertical="center"/>
    </xf>
    <xf numFmtId="165" fontId="2" fillId="4" borderId="0" applyAlignment="1" pivotButton="0" quotePrefix="0" xfId="0">
      <alignment vertical="center"/>
    </xf>
    <xf numFmtId="168" fontId="2" fillId="9" borderId="0" applyAlignment="1" pivotButton="0" quotePrefix="0" xfId="0">
      <alignment vertical="center"/>
    </xf>
    <xf numFmtId="168" fontId="2" fillId="3" borderId="0" applyAlignment="1" pivotButton="0" quotePrefix="0" xfId="0">
      <alignment vertical="center"/>
    </xf>
    <xf numFmtId="168" fontId="2" fillId="4" borderId="0" applyAlignment="1" pivotButton="0" quotePrefix="0" xfId="0">
      <alignment vertical="center"/>
    </xf>
    <xf numFmtId="10" fontId="2" fillId="9" borderId="0" applyAlignment="1" pivotButton="0" quotePrefix="0" xfId="0">
      <alignment vertical="center"/>
    </xf>
    <xf numFmtId="10" fontId="2" fillId="4" borderId="0" applyAlignment="1" pivotButton="0" quotePrefix="0" xfId="0">
      <alignment vertical="center"/>
    </xf>
    <xf numFmtId="10" fontId="6" fillId="9" borderId="0" applyAlignment="1" pivotButton="0" quotePrefix="0" xfId="0">
      <alignment vertical="center"/>
    </xf>
    <xf numFmtId="10" fontId="6" fillId="4" borderId="0" applyAlignment="1" pivotButton="0" quotePrefix="0" xfId="0">
      <alignment vertical="center"/>
    </xf>
    <xf numFmtId="10" fontId="9" fillId="9" borderId="0" applyAlignment="1" pivotButton="0" quotePrefix="0" xfId="0">
      <alignment vertical="center"/>
    </xf>
    <xf numFmtId="10" fontId="6" fillId="8" borderId="0" applyAlignment="1" pivotButton="0" quotePrefix="0" xfId="0">
      <alignment vertical="center"/>
    </xf>
    <xf numFmtId="166" fontId="9" fillId="9" borderId="0" applyAlignment="1" pivotButton="0" quotePrefix="0" xfId="0">
      <alignment vertical="center"/>
    </xf>
    <xf numFmtId="166" fontId="2" fillId="8" borderId="0" applyAlignment="1" pivotButton="0" quotePrefix="0" xfId="0">
      <alignment vertical="center"/>
    </xf>
    <xf numFmtId="0" fontId="13" fillId="0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 wrapText="1"/>
    </xf>
    <xf numFmtId="0" fontId="14" fillId="0" borderId="6" applyAlignment="1" pivotButton="0" quotePrefix="0" xfId="0">
      <alignment horizontal="left" vertical="center" wrapText="1"/>
    </xf>
    <xf numFmtId="0" fontId="13" fillId="0" borderId="6" applyAlignment="1" pivotButton="0" quotePrefix="0" xfId="0">
      <alignment vertical="center" wrapText="1"/>
    </xf>
    <xf numFmtId="0" fontId="14" fillId="0" borderId="6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center" vertical="center"/>
    </xf>
    <xf numFmtId="0" fontId="15" fillId="10" borderId="9" applyAlignment="1" pivotButton="0" quotePrefix="0" xfId="0">
      <alignment horizontal="center" vertical="center"/>
    </xf>
    <xf numFmtId="0" fontId="15" fillId="10" borderId="10" applyAlignment="1" pivotButton="0" quotePrefix="0" xfId="0">
      <alignment horizontal="center" vertical="center"/>
    </xf>
    <xf numFmtId="0" fontId="15" fillId="11" borderId="6" applyAlignment="1" pivotButton="0" quotePrefix="0" xfId="0">
      <alignment horizontal="center" vertical="center"/>
    </xf>
    <xf numFmtId="0" fontId="15" fillId="0" borderId="9" applyAlignment="1" pivotButton="0" quotePrefix="0" xfId="0">
      <alignment vertical="center"/>
    </xf>
    <xf numFmtId="0" fontId="15" fillId="12" borderId="11" applyAlignment="1" pivotButton="0" quotePrefix="0" xfId="0">
      <alignment horizontal="center" vertical="center"/>
    </xf>
    <xf numFmtId="0" fontId="15" fillId="0" borderId="10" applyAlignment="1" pivotButton="0" quotePrefix="0" xfId="0">
      <alignment vertical="center"/>
    </xf>
    <xf numFmtId="0" fontId="15" fillId="13" borderId="6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3" fontId="17" fillId="0" borderId="6" applyAlignment="1" pivotButton="0" quotePrefix="0" xfId="0">
      <alignment horizontal="center" vertical="center"/>
    </xf>
    <xf numFmtId="10" fontId="17" fillId="0" borderId="6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/>
    </xf>
    <xf numFmtId="0" fontId="16" fillId="0" borderId="10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center"/>
    </xf>
    <xf numFmtId="3" fontId="16" fillId="0" borderId="6" applyAlignment="1" pivotButton="0" quotePrefix="0" xfId="0">
      <alignment horizontal="center" vertical="center"/>
    </xf>
    <xf numFmtId="10" fontId="16" fillId="0" borderId="6" applyAlignment="1" pivotButton="0" quotePrefix="0" xfId="0">
      <alignment horizontal="center" vertical="center"/>
    </xf>
    <xf numFmtId="3" fontId="16" fillId="7" borderId="6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/>
    </xf>
    <xf numFmtId="0" fontId="16" fillId="0" borderId="13" applyAlignment="1" pivotButton="0" quotePrefix="0" xfId="0">
      <alignment horizontal="center" vertical="center"/>
    </xf>
    <xf numFmtId="0" fontId="17" fillId="7" borderId="12" applyAlignment="1" pivotButton="0" quotePrefix="0" xfId="0">
      <alignment horizontal="center"/>
    </xf>
    <xf numFmtId="0" fontId="17" fillId="7" borderId="10" applyAlignment="1" pivotButton="0" quotePrefix="0" xfId="0">
      <alignment horizontal="center" vertical="center"/>
    </xf>
    <xf numFmtId="0" fontId="17" fillId="7" borderId="6" applyAlignment="1" pivotButton="0" quotePrefix="0" xfId="0">
      <alignment horizontal="center" vertical="center"/>
    </xf>
    <xf numFmtId="3" fontId="17" fillId="7" borderId="6" applyAlignment="1" pivotButton="0" quotePrefix="0" xfId="0">
      <alignment horizontal="center" vertical="center"/>
    </xf>
    <xf numFmtId="10" fontId="17" fillId="7" borderId="6" applyAlignment="1" pivotButton="0" quotePrefix="0" xfId="0">
      <alignment horizontal="center" vertical="center"/>
    </xf>
    <xf numFmtId="0" fontId="17" fillId="14" borderId="12" applyAlignment="1" pivotButton="0" quotePrefix="0" xfId="0">
      <alignment horizontal="center"/>
    </xf>
    <xf numFmtId="0" fontId="17" fillId="14" borderId="10" applyAlignment="1" pivotButton="0" quotePrefix="0" xfId="0">
      <alignment horizontal="center" vertical="center"/>
    </xf>
    <xf numFmtId="0" fontId="17" fillId="14" borderId="6" applyAlignment="1" pivotButton="0" quotePrefix="0" xfId="0">
      <alignment horizontal="center" vertical="center"/>
    </xf>
    <xf numFmtId="3" fontId="17" fillId="14" borderId="6" applyAlignment="1" pivotButton="0" quotePrefix="0" xfId="0">
      <alignment horizontal="center" vertical="center"/>
    </xf>
    <xf numFmtId="10" fontId="17" fillId="14" borderId="6" applyAlignment="1" pivotButton="0" quotePrefix="0" xfId="0">
      <alignment horizontal="center" vertical="center"/>
    </xf>
    <xf numFmtId="0" fontId="17" fillId="7" borderId="8" applyAlignment="1" pivotButton="0" quotePrefix="0" xfId="0">
      <alignment horizontal="center" vertical="center"/>
    </xf>
    <xf numFmtId="0" fontId="16" fillId="7" borderId="8" applyAlignment="1" pivotButton="0" quotePrefix="0" xfId="0">
      <alignment horizontal="center" vertical="center"/>
    </xf>
    <xf numFmtId="0" fontId="16" fillId="7" borderId="1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10" fontId="16" fillId="7" borderId="6" applyAlignment="1" pivotButton="0" quotePrefix="0" xfId="0">
      <alignment horizontal="center" vertical="center"/>
    </xf>
    <xf numFmtId="0" fontId="17" fillId="7" borderId="13" applyAlignment="1" pivotButton="0" quotePrefix="0" xfId="0">
      <alignment horizontal="center" vertical="center"/>
    </xf>
    <xf numFmtId="3" fontId="17" fillId="7" borderId="13" applyAlignment="1" pivotButton="0" quotePrefix="0" xfId="0">
      <alignment horizontal="center" vertical="center"/>
    </xf>
    <xf numFmtId="10" fontId="17" fillId="7" borderId="13" applyAlignment="1" pivotButton="0" quotePrefix="0" xfId="0">
      <alignment horizontal="center" vertical="center"/>
    </xf>
    <xf numFmtId="0" fontId="17" fillId="7" borderId="11" applyAlignment="1" pivotButton="0" quotePrefix="0" xfId="0">
      <alignment horizontal="center" vertical="center"/>
    </xf>
    <xf numFmtId="3" fontId="17" fillId="7" borderId="8" applyAlignment="1" pivotButton="0" quotePrefix="0" xfId="0">
      <alignment horizontal="center" vertical="center"/>
    </xf>
    <xf numFmtId="10" fontId="17" fillId="7" borderId="8" applyAlignment="1" pivotButton="0" quotePrefix="0" xfId="0">
      <alignment horizontal="center" vertical="center"/>
    </xf>
    <xf numFmtId="3" fontId="18" fillId="7" borderId="8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10" fontId="19" fillId="7" borderId="8" applyAlignment="1" pivotButton="0" quotePrefix="0" xfId="0">
      <alignment horizontal="center" vertical="center"/>
    </xf>
    <xf numFmtId="0" fontId="17" fillId="14" borderId="8" applyAlignment="1" pivotButton="0" quotePrefix="0" xfId="0">
      <alignment horizontal="center" vertical="center"/>
    </xf>
    <xf numFmtId="0" fontId="17" fillId="14" borderId="11" applyAlignment="1" pivotButton="0" quotePrefix="0" xfId="0">
      <alignment horizontal="center" vertical="center"/>
    </xf>
    <xf numFmtId="0" fontId="20" fillId="14" borderId="8" applyAlignment="1" pivotButton="0" quotePrefix="0" xfId="0">
      <alignment horizontal="center" vertical="center"/>
    </xf>
    <xf numFmtId="10" fontId="20" fillId="14" borderId="6" applyAlignment="1" pivotButton="0" quotePrefix="0" xfId="0">
      <alignment horizontal="center" vertical="center"/>
    </xf>
    <xf numFmtId="0" fontId="20" fillId="14" borderId="6" applyAlignment="1" pivotButton="0" quotePrefix="0" xfId="0">
      <alignment horizontal="center" vertical="center"/>
    </xf>
    <xf numFmtId="10" fontId="16" fillId="7" borderId="8" applyAlignment="1" pivotButton="0" quotePrefix="0" xfId="0">
      <alignment horizontal="center" vertical="center"/>
    </xf>
    <xf numFmtId="3" fontId="17" fillId="14" borderId="8" applyAlignment="1" pivotButton="0" quotePrefix="0" xfId="0">
      <alignment horizontal="center" vertical="center"/>
    </xf>
    <xf numFmtId="0" fontId="16" fillId="14" borderId="8" applyAlignment="1" pivotButton="0" quotePrefix="0" xfId="0">
      <alignment horizontal="center" vertical="center"/>
    </xf>
    <xf numFmtId="10" fontId="17" fillId="14" borderId="8" applyAlignment="1" pivotButton="0" quotePrefix="0" xfId="0">
      <alignment horizontal="center" vertical="center"/>
    </xf>
    <xf numFmtId="10" fontId="16" fillId="14" borderId="8" applyAlignment="1" pivotButton="0" quotePrefix="0" xfId="0">
      <alignment horizontal="center" vertical="center"/>
    </xf>
    <xf numFmtId="3" fontId="18" fillId="14" borderId="8" applyAlignment="1" pivotButton="0" quotePrefix="0" xfId="0">
      <alignment horizontal="center" vertical="center"/>
    </xf>
    <xf numFmtId="0" fontId="18" fillId="14" borderId="8" applyAlignment="1" pivotButton="0" quotePrefix="0" xfId="0">
      <alignment horizontal="center" vertical="center"/>
    </xf>
    <xf numFmtId="10" fontId="20" fillId="7" borderId="8" applyAlignment="1" pivotButton="0" quotePrefix="0" xfId="0">
      <alignment horizontal="center" vertical="center"/>
    </xf>
    <xf numFmtId="0" fontId="20" fillId="7" borderId="8" applyAlignment="1" pivotButton="0" quotePrefix="0" xfId="0">
      <alignment horizontal="center" vertical="center"/>
    </xf>
    <xf numFmtId="10" fontId="20" fillId="14" borderId="8" applyAlignment="1" pivotButton="0" quotePrefix="0" xfId="0">
      <alignment horizontal="center" vertical="center"/>
    </xf>
    <xf numFmtId="0" fontId="17" fillId="15" borderId="8" applyAlignment="1" pivotButton="0" quotePrefix="0" xfId="0">
      <alignment horizontal="center" vertical="center"/>
    </xf>
    <xf numFmtId="0" fontId="17" fillId="15" borderId="10" applyAlignment="1" pivotButton="0" quotePrefix="0" xfId="0">
      <alignment horizontal="center" vertical="center"/>
    </xf>
    <xf numFmtId="0" fontId="17" fillId="15" borderId="6" applyAlignment="1" pivotButton="0" quotePrefix="0" xfId="0">
      <alignment horizontal="center" vertical="center"/>
    </xf>
    <xf numFmtId="0" fontId="17" fillId="15" borderId="11" applyAlignment="1" pivotButton="0" quotePrefix="0" xfId="0">
      <alignment horizontal="center" vertical="center"/>
    </xf>
    <xf numFmtId="3" fontId="17" fillId="15" borderId="8" applyAlignment="1" pivotButton="0" quotePrefix="0" xfId="0">
      <alignment horizontal="center" vertical="center"/>
    </xf>
    <xf numFmtId="0" fontId="16" fillId="15" borderId="8" applyAlignment="1" pivotButton="0" quotePrefix="0" xfId="0">
      <alignment horizontal="center" vertical="center"/>
    </xf>
    <xf numFmtId="10" fontId="17" fillId="15" borderId="8" applyAlignment="1" pivotButton="0" quotePrefix="0" xfId="0">
      <alignment horizontal="center" vertical="center"/>
    </xf>
    <xf numFmtId="10" fontId="16" fillId="15" borderId="8" applyAlignment="1" pivotButton="0" quotePrefix="0" xfId="0">
      <alignment horizontal="center" vertical="center"/>
    </xf>
    <xf numFmtId="3" fontId="18" fillId="15" borderId="8" applyAlignment="1" pivotButton="0" quotePrefix="0" xfId="0">
      <alignment horizontal="center" vertical="center"/>
    </xf>
    <xf numFmtId="0" fontId="18" fillId="15" borderId="8" applyAlignment="1" pivotButton="0" quotePrefix="0" xfId="0">
      <alignment horizontal="center" vertical="center"/>
    </xf>
    <xf numFmtId="3" fontId="16" fillId="7" borderId="8" applyAlignment="1" pivotButton="0" quotePrefix="0" xfId="0">
      <alignment horizontal="center" vertical="center"/>
    </xf>
    <xf numFmtId="3" fontId="16" fillId="14" borderId="8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167" fontId="21" fillId="0" borderId="0" applyAlignment="1" pivotButton="0" quotePrefix="0" xfId="0">
      <alignment vertical="center"/>
    </xf>
    <xf numFmtId="3" fontId="17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57" fontId="2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71" fontId="0" fillId="0" borderId="0" applyAlignment="1" pivotButton="0" quotePrefix="0" xfId="0">
      <alignment vertical="center"/>
    </xf>
    <xf numFmtId="39" fontId="0" fillId="0" borderId="0" applyAlignment="1" pivotButton="0" quotePrefix="0" xfId="0">
      <alignment vertical="center"/>
    </xf>
    <xf numFmtId="170" fontId="0" fillId="0" borderId="14" applyAlignment="1" pivotButton="0" quotePrefix="0" xfId="0">
      <alignment horizontal="center" vertical="center"/>
    </xf>
    <xf numFmtId="17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3" fillId="0" borderId="1" applyAlignment="1" pivotButton="0" quotePrefix="0" xfId="0">
      <alignment vertical="center"/>
    </xf>
    <xf numFmtId="170" fontId="24" fillId="0" borderId="14" applyAlignment="1" pivotButton="0" quotePrefix="0" xfId="0">
      <alignment vertical="center"/>
    </xf>
    <xf numFmtId="171" fontId="24" fillId="0" borderId="1" applyAlignment="1" pivotButton="0" quotePrefix="0" xfId="0">
      <alignment vertical="center"/>
    </xf>
    <xf numFmtId="0" fontId="24" fillId="0" borderId="1" applyAlignment="1" pivotButton="0" quotePrefix="0" xfId="0">
      <alignment vertical="center"/>
    </xf>
    <xf numFmtId="0" fontId="24" fillId="0" borderId="15" applyAlignment="1" pivotButton="0" quotePrefix="0" xfId="0">
      <alignment vertical="center"/>
    </xf>
    <xf numFmtId="0" fontId="24" fillId="0" borderId="1" applyAlignment="1" pivotButton="0" quotePrefix="0" xfId="0">
      <alignment horizontal="center"/>
    </xf>
    <xf numFmtId="0" fontId="25" fillId="4" borderId="1" applyAlignment="1" pivotButton="0" quotePrefix="0" xfId="0">
      <alignment vertical="center"/>
    </xf>
    <xf numFmtId="170" fontId="25" fillId="4" borderId="14" applyAlignment="1" pivotButton="0" quotePrefix="0" xfId="0">
      <alignment vertical="center"/>
    </xf>
    <xf numFmtId="171" fontId="25" fillId="4" borderId="1" applyAlignment="1" pivotButton="0" quotePrefix="0" xfId="0">
      <alignment vertical="center"/>
    </xf>
    <xf numFmtId="172" fontId="25" fillId="4" borderId="1" applyAlignment="1" pivotButton="0" quotePrefix="0" xfId="0">
      <alignment vertical="center"/>
    </xf>
    <xf numFmtId="171" fontId="25" fillId="4" borderId="1" applyAlignment="1" pivotButton="0" quotePrefix="0" xfId="0">
      <alignment horizontal="right" vertical="center"/>
    </xf>
    <xf numFmtId="171" fontId="25" fillId="4" borderId="14" applyAlignment="1" pivotButton="0" quotePrefix="0" xfId="0">
      <alignment vertical="center"/>
    </xf>
    <xf numFmtId="171" fontId="25" fillId="4" borderId="15" applyAlignment="1" pivotButton="0" quotePrefix="0" xfId="0">
      <alignment vertical="center"/>
    </xf>
    <xf numFmtId="170" fontId="25" fillId="4" borderId="1" applyAlignment="1" pivotButton="0" quotePrefix="0" xfId="0">
      <alignment vertical="center"/>
    </xf>
    <xf numFmtId="0" fontId="25" fillId="0" borderId="1" applyAlignment="1" pivotButton="0" quotePrefix="0" xfId="0">
      <alignment vertical="center"/>
    </xf>
    <xf numFmtId="170" fontId="25" fillId="0" borderId="14" applyAlignment="1" pivotButton="0" quotePrefix="0" xfId="0">
      <alignment vertical="center"/>
    </xf>
    <xf numFmtId="171" fontId="25" fillId="0" borderId="1" applyAlignment="1" pivotButton="0" quotePrefix="0" xfId="0">
      <alignment vertical="center"/>
    </xf>
    <xf numFmtId="171" fontId="25" fillId="0" borderId="1" applyAlignment="1" pivotButton="0" quotePrefix="0" xfId="0">
      <alignment horizontal="right" vertical="center"/>
    </xf>
    <xf numFmtId="171" fontId="25" fillId="0" borderId="14" applyAlignment="1" pivotButton="0" quotePrefix="0" xfId="0">
      <alignment vertical="center"/>
    </xf>
    <xf numFmtId="171" fontId="25" fillId="0" borderId="15" applyAlignment="1" pivotButton="0" quotePrefix="0" xfId="0">
      <alignment vertical="center"/>
    </xf>
    <xf numFmtId="170" fontId="26" fillId="0" borderId="14" applyAlignment="1" pivotButton="0" quotePrefix="0" xfId="0">
      <alignment vertical="center"/>
    </xf>
    <xf numFmtId="0" fontId="27" fillId="0" borderId="1" applyAlignment="1" pivotButton="0" quotePrefix="0" xfId="0">
      <alignment vertical="center"/>
    </xf>
    <xf numFmtId="172" fontId="25" fillId="0" borderId="1" applyAlignment="1" pivotButton="0" quotePrefix="0" xfId="0">
      <alignment vertical="center"/>
    </xf>
    <xf numFmtId="170" fontId="25" fillId="0" borderId="1" applyAlignment="1" pivotButton="0" quotePrefix="0" xfId="0">
      <alignment vertical="center"/>
    </xf>
    <xf numFmtId="0" fontId="28" fillId="0" borderId="1" applyAlignment="1" pivotButton="0" quotePrefix="0" xfId="0">
      <alignment vertical="center"/>
    </xf>
    <xf numFmtId="172" fontId="25" fillId="0" borderId="14" applyAlignment="1" pivotButton="0" quotePrefix="0" xfId="0">
      <alignment vertical="center"/>
    </xf>
    <xf numFmtId="171" fontId="25" fillId="0" borderId="16" applyAlignment="1" pivotButton="0" quotePrefix="0" xfId="0">
      <alignment vertical="center"/>
    </xf>
    <xf numFmtId="170" fontId="24" fillId="0" borderId="1" applyAlignment="1" pivotButton="0" quotePrefix="0" xfId="0">
      <alignment vertical="center"/>
    </xf>
    <xf numFmtId="0" fontId="29" fillId="0" borderId="1" applyAlignment="1" pivotButton="0" quotePrefix="0" xfId="0">
      <alignment vertical="center"/>
    </xf>
    <xf numFmtId="170" fontId="29" fillId="0" borderId="1" applyAlignment="1" pivotButton="0" quotePrefix="0" xfId="0">
      <alignment vertical="center"/>
    </xf>
    <xf numFmtId="171" fontId="30" fillId="0" borderId="1" applyAlignment="1" pivotButton="0" quotePrefix="0" xfId="0">
      <alignment vertical="center"/>
    </xf>
    <xf numFmtId="171" fontId="30" fillId="0" borderId="15" applyAlignment="1" pivotButton="0" quotePrefix="0" xfId="0">
      <alignment vertical="center"/>
    </xf>
    <xf numFmtId="170" fontId="0" fillId="0" borderId="1" applyAlignment="1" pivotButton="0" quotePrefix="0" xfId="0">
      <alignment vertical="center"/>
    </xf>
    <xf numFmtId="171" fontId="0" fillId="0" borderId="1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169" fontId="31" fillId="0" borderId="1" applyAlignment="1" pivotButton="0" quotePrefix="0" xfId="0">
      <alignment vertical="center"/>
    </xf>
    <xf numFmtId="169" fontId="31" fillId="0" borderId="15" applyAlignment="1" pivotButton="0" quotePrefix="0" xfId="0">
      <alignment vertical="center"/>
    </xf>
    <xf numFmtId="169" fontId="0" fillId="0" borderId="1" applyAlignment="1" pivotButton="0" quotePrefix="0" xfId="0">
      <alignment vertical="center"/>
    </xf>
    <xf numFmtId="169" fontId="31" fillId="4" borderId="1" applyAlignment="1" pivotButton="0" quotePrefix="0" xfId="0">
      <alignment vertical="center"/>
    </xf>
    <xf numFmtId="169" fontId="31" fillId="4" borderId="15" applyAlignment="1" pivotButton="0" quotePrefix="0" xfId="0">
      <alignment vertical="center"/>
    </xf>
    <xf numFmtId="171" fontId="0" fillId="0" borderId="15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9" fontId="32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166" fontId="2" fillId="0" borderId="0" pivotButton="0" quotePrefix="0" xfId="49"/>
    <xf numFmtId="166" fontId="33" fillId="0" borderId="17" pivotButton="0" quotePrefix="0" xfId="49"/>
    <xf numFmtId="166" fontId="2" fillId="0" borderId="17" applyAlignment="1" pivotButton="0" quotePrefix="0" xfId="49">
      <alignment horizontal="center"/>
    </xf>
    <xf numFmtId="166" fontId="34" fillId="0" borderId="0" pivotButton="0" quotePrefix="0" xfId="49"/>
    <xf numFmtId="166" fontId="2" fillId="16" borderId="0" applyProtection="1" pivotButton="0" quotePrefix="0" xfId="49">
      <protection locked="0" hidden="0"/>
    </xf>
    <xf numFmtId="166" fontId="2" fillId="8" borderId="0" applyProtection="1" pivotButton="0" quotePrefix="0" xfId="49">
      <protection locked="0" hidden="0"/>
    </xf>
    <xf numFmtId="166" fontId="33" fillId="0" borderId="18" pivotButton="0" quotePrefix="0" xfId="49"/>
    <xf numFmtId="166" fontId="2" fillId="0" borderId="19" applyAlignment="1" pivotButton="0" quotePrefix="0" xfId="49">
      <alignment horizontal="center"/>
    </xf>
    <xf numFmtId="166" fontId="2" fillId="0" borderId="20" pivotButton="0" quotePrefix="0" xfId="49"/>
    <xf numFmtId="166" fontId="2" fillId="0" borderId="0" applyProtection="1" pivotButton="0" quotePrefix="0" xfId="49">
      <protection locked="0" hidden="0"/>
    </xf>
    <xf numFmtId="166" fontId="2" fillId="0" borderId="21" pivotButton="0" quotePrefix="0" xfId="49"/>
    <xf numFmtId="164" fontId="2" fillId="8" borderId="0" pivotButton="0" quotePrefix="0" xfId="49"/>
    <xf numFmtId="166" fontId="2" fillId="8" borderId="0" pivotButton="0" quotePrefix="0" xfId="49"/>
    <xf numFmtId="166" fontId="2" fillId="8" borderId="22" pivotButton="0" quotePrefix="0" xfId="49"/>
    <xf numFmtId="10" fontId="2" fillId="8" borderId="0" pivotButton="0" quotePrefix="0" xfId="49"/>
    <xf numFmtId="10" fontId="2" fillId="8" borderId="22" applyAlignment="1" pivotButton="0" quotePrefix="0" xfId="49">
      <alignment vertical="center"/>
    </xf>
    <xf numFmtId="9" fontId="2" fillId="16" borderId="0" applyProtection="1" pivotButton="0" quotePrefix="0" xfId="49">
      <protection locked="0" hidden="0"/>
    </xf>
    <xf numFmtId="173" fontId="11" fillId="8" borderId="0" pivotButton="0" quotePrefix="0" xfId="49"/>
    <xf numFmtId="173" fontId="11" fillId="8" borderId="22" pivotButton="0" quotePrefix="0" xfId="49"/>
    <xf numFmtId="166" fontId="35" fillId="0" borderId="0" applyAlignment="1" pivotButton="0" quotePrefix="0" xfId="49">
      <alignment horizontal="left" indent="1"/>
    </xf>
    <xf numFmtId="166" fontId="2" fillId="17" borderId="0" applyProtection="1" pivotButton="0" quotePrefix="0" xfId="49">
      <protection locked="0" hidden="0"/>
    </xf>
    <xf numFmtId="168" fontId="2" fillId="8" borderId="0" applyAlignment="1" pivotButton="0" quotePrefix="0" xfId="49">
      <alignment horizontal="center"/>
    </xf>
    <xf numFmtId="168" fontId="2" fillId="8" borderId="22" applyAlignment="1" pivotButton="0" quotePrefix="0" xfId="49">
      <alignment horizontal="center"/>
    </xf>
    <xf numFmtId="174" fontId="2" fillId="8" borderId="0" pivotButton="0" quotePrefix="0" xfId="49"/>
    <xf numFmtId="166" fontId="2" fillId="0" borderId="23" pivotButton="0" quotePrefix="0" xfId="49"/>
    <xf numFmtId="166" fontId="2" fillId="8" borderId="24" pivotButton="0" quotePrefix="0" xfId="49"/>
    <xf numFmtId="9" fontId="2" fillId="17" borderId="0" applyProtection="1" pivotButton="0" quotePrefix="0" xfId="49">
      <protection locked="0" hidden="0"/>
    </xf>
    <xf numFmtId="166" fontId="6" fillId="0" borderId="0" pivotButton="0" quotePrefix="0" xfId="49"/>
    <xf numFmtId="168" fontId="2" fillId="0" borderId="0" applyAlignment="1" pivotButton="0" quotePrefix="0" xfId="49">
      <alignment horizontal="left" indent="1"/>
    </xf>
    <xf numFmtId="165" fontId="2" fillId="0" borderId="0" pivotButton="0" quotePrefix="0" xfId="49"/>
    <xf numFmtId="166" fontId="2" fillId="0" borderId="17" pivotButton="0" quotePrefix="0" xfId="49"/>
    <xf numFmtId="10" fontId="2" fillId="18" borderId="0" pivotButton="0" quotePrefix="0" xfId="49"/>
    <xf numFmtId="168" fontId="2" fillId="16" borderId="0" applyProtection="1" pivotButton="0" quotePrefix="0" xfId="49">
      <protection locked="0" hidden="0"/>
    </xf>
    <xf numFmtId="9" fontId="11" fillId="8" borderId="0" pivotButton="0" quotePrefix="0" xfId="49"/>
    <xf numFmtId="168" fontId="11" fillId="8" borderId="0" pivotButton="0" quotePrefix="0" xfId="49"/>
    <xf numFmtId="168" fontId="2" fillId="0" borderId="0" applyProtection="1" pivotButton="0" quotePrefix="0" xfId="49">
      <protection locked="1" hidden="1"/>
    </xf>
    <xf numFmtId="168" fontId="2" fillId="8" borderId="0" applyProtection="1" pivotButton="0" quotePrefix="0" xfId="49">
      <protection locked="1" hidden="1"/>
    </xf>
    <xf numFmtId="175" fontId="11" fillId="8" borderId="0" pivotButton="0" quotePrefix="0" xfId="49"/>
    <xf numFmtId="9" fontId="2" fillId="0" borderId="0" pivotButton="0" quotePrefix="0" xfId="49"/>
    <xf numFmtId="168" fontId="2" fillId="0" borderId="0" pivotButton="0" quotePrefix="0" xfId="49"/>
    <xf numFmtId="166" fontId="2" fillId="0" borderId="0" applyProtection="1" pivotButton="0" quotePrefix="0" xfId="49">
      <protection locked="1" hidden="1"/>
    </xf>
    <xf numFmtId="166" fontId="36" fillId="0" borderId="0" pivotButton="0" quotePrefix="0" xfId="50"/>
    <xf numFmtId="166" fontId="33" fillId="0" borderId="0" pivotButton="0" quotePrefix="0" xfId="49"/>
    <xf numFmtId="165" fontId="33" fillId="0" borderId="0" applyProtection="1" pivotButton="0" quotePrefix="0" xfId="49">
      <protection locked="1" hidden="1"/>
    </xf>
    <xf numFmtId="166" fontId="2" fillId="0" borderId="17" applyProtection="1" pivotButton="0" quotePrefix="0" xfId="49">
      <protection locked="1" hidden="1"/>
    </xf>
    <xf numFmtId="166" fontId="2" fillId="0" borderId="0" applyAlignment="1" pivotButton="0" quotePrefix="0" xfId="49">
      <alignment horizontal="left" indent="1"/>
    </xf>
    <xf numFmtId="166" fontId="33" fillId="19" borderId="25" pivotButton="0" quotePrefix="0" xfId="49"/>
    <xf numFmtId="165" fontId="33" fillId="19" borderId="25" applyProtection="1" pivotButton="0" quotePrefix="0" xfId="49">
      <protection locked="1" hidden="1"/>
    </xf>
    <xf numFmtId="176" fontId="33" fillId="19" borderId="25" applyProtection="1" pivotButton="0" quotePrefix="0" xfId="49">
      <protection locked="1" hidden="1"/>
    </xf>
    <xf numFmtId="166" fontId="11" fillId="0" borderId="0" pivotButton="0" quotePrefix="0" xfId="50"/>
    <xf numFmtId="166" fontId="36" fillId="0" borderId="0" pivotButton="0" quotePrefix="0" xfId="50"/>
    <xf numFmtId="174" fontId="2" fillId="0" borderId="0" pivotButton="0" quotePrefix="0" xfId="49"/>
    <xf numFmtId="9" fontId="0" fillId="0" borderId="0" applyAlignment="1" pivotButton="0" quotePrefix="0" xfId="3">
      <alignment vertical="center"/>
    </xf>
    <xf numFmtId="0" fontId="0" fillId="2" borderId="0" applyAlignment="1" pivotButton="0" quotePrefix="0" xfId="0">
      <alignment vertical="center"/>
    </xf>
    <xf numFmtId="58" fontId="1" fillId="0" borderId="1" applyAlignment="1" pivotButton="0" quotePrefix="0" xfId="0">
      <alignment vertical="center"/>
    </xf>
    <xf numFmtId="0" fontId="37" fillId="20" borderId="1" applyAlignment="1" pivotButton="0" quotePrefix="0" xfId="0">
      <alignment vertical="center"/>
    </xf>
    <xf numFmtId="2" fontId="37" fillId="20" borderId="1" applyAlignment="1" pivotButton="0" quotePrefix="0" xfId="0">
      <alignment vertical="center"/>
    </xf>
    <xf numFmtId="177" fontId="1" fillId="0" borderId="1" applyAlignment="1" pivotButton="0" quotePrefix="0" xfId="0">
      <alignment horizontal="right" vertical="center"/>
    </xf>
    <xf numFmtId="169" fontId="37" fillId="20" borderId="1" applyAlignment="1" pivotButton="0" quotePrefix="0" xfId="0">
      <alignment vertical="center"/>
    </xf>
    <xf numFmtId="2" fontId="1" fillId="0" borderId="1" applyAlignment="1" pivotButton="0" quotePrefix="0" xfId="0">
      <alignment vertical="center"/>
    </xf>
    <xf numFmtId="0" fontId="38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right" vertical="center"/>
    </xf>
    <xf numFmtId="178" fontId="1" fillId="2" borderId="1" applyAlignment="1" pivotButton="0" quotePrefix="0" xfId="0">
      <alignment horizontal="right" vertical="center"/>
    </xf>
    <xf numFmtId="0" fontId="0" fillId="2" borderId="1" applyAlignment="1" pivotButton="0" quotePrefix="0" xfId="0">
      <alignment vertical="center"/>
    </xf>
    <xf numFmtId="169" fontId="0" fillId="2" borderId="1" applyAlignment="1" pivotButton="0" quotePrefix="0" xfId="0">
      <alignment vertical="center"/>
    </xf>
    <xf numFmtId="0" fontId="0" fillId="0" borderId="26" applyAlignment="1" pivotButton="0" quotePrefix="0" xfId="0">
      <alignment horizontal="center" vertical="center"/>
    </xf>
    <xf numFmtId="178" fontId="1" fillId="0" borderId="1" applyAlignment="1" pivotButton="0" quotePrefix="0" xfId="0">
      <alignment horizontal="right" vertical="center"/>
    </xf>
    <xf numFmtId="169" fontId="1" fillId="0" borderId="1" applyAlignment="1" pivotButton="0" quotePrefix="0" xfId="0">
      <alignment horizontal="right" vertical="center"/>
    </xf>
    <xf numFmtId="0" fontId="0" fillId="0" borderId="27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79" fontId="1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169" fontId="1" fillId="2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174" fontId="40" fillId="0" borderId="1" applyAlignment="1" pivotButton="0" quotePrefix="0" xfId="0">
      <alignment horizontal="right" vertical="center"/>
    </xf>
    <xf numFmtId="177" fontId="1" fillId="0" borderId="1" applyAlignment="1" pivotButton="0" quotePrefix="0" xfId="0">
      <alignment vertical="center"/>
    </xf>
    <xf numFmtId="178" fontId="0" fillId="0" borderId="0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4" borderId="28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169" fontId="1" fillId="4" borderId="28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1" fontId="1" fillId="4" borderId="28" applyAlignment="1" pivotButton="0" quotePrefix="0" xfId="0">
      <alignment horizontal="right" vertical="center"/>
    </xf>
    <xf numFmtId="1" fontId="1" fillId="4" borderId="6" applyAlignment="1" pivotButton="0" quotePrefix="0" xfId="0">
      <alignment horizontal="right" vertical="center"/>
    </xf>
    <xf numFmtId="1" fontId="0" fillId="0" borderId="1" applyAlignment="1" pivotButton="0" quotePrefix="0" xfId="0">
      <alignment vertical="center"/>
    </xf>
    <xf numFmtId="177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39" fillId="0" borderId="1" applyAlignment="1" pivotButton="0" quotePrefix="0" xfId="0">
      <alignment vertical="center"/>
    </xf>
    <xf numFmtId="0" fontId="41" fillId="0" borderId="0" applyAlignment="1" pivotButton="0" quotePrefix="0" xfId="0">
      <alignment horizontal="center" vertical="center"/>
    </xf>
    <xf numFmtId="0" fontId="41" fillId="2" borderId="0" applyAlignment="1" pivotButton="0" quotePrefix="0" xfId="0">
      <alignment horizontal="center" vertical="center"/>
    </xf>
    <xf numFmtId="57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9" fontId="1" fillId="0" borderId="0" applyAlignment="1" pivotButton="0" quotePrefix="0" xfId="3">
      <alignment horizontal="center" vertical="center"/>
    </xf>
    <xf numFmtId="57" fontId="1" fillId="0" borderId="0" applyAlignment="1" pivotButton="0" quotePrefix="0" xfId="0">
      <alignment vertical="center"/>
    </xf>
    <xf numFmtId="0" fontId="0" fillId="0" borderId="0" pivotButton="0" quotePrefix="0" xfId="0"/>
    <xf numFmtId="177" fontId="1" fillId="0" borderId="1" applyAlignment="1" pivotButton="0" quotePrefix="0" xfId="0">
      <alignment horizontal="right" vertical="center"/>
    </xf>
    <xf numFmtId="169" fontId="0" fillId="0" borderId="1" applyAlignment="1" pivotButton="0" quotePrefix="0" xfId="0">
      <alignment vertical="center"/>
    </xf>
    <xf numFmtId="169" fontId="37" fillId="20" borderId="1" applyAlignment="1" pivotButton="0" quotePrefix="0" xfId="0">
      <alignment vertical="center"/>
    </xf>
    <xf numFmtId="0" fontId="0" fillId="0" borderId="38" pivotButton="0" quotePrefix="0" xfId="0"/>
    <xf numFmtId="0" fontId="0" fillId="0" borderId="27" pivotButton="0" quotePrefix="0" xfId="0"/>
    <xf numFmtId="178" fontId="1" fillId="2" borderId="1" applyAlignment="1" pivotButton="0" quotePrefix="0" xfId="0">
      <alignment horizontal="right" vertical="center"/>
    </xf>
    <xf numFmtId="169" fontId="0" fillId="2" borderId="1" applyAlignment="1" pivotButton="0" quotePrefix="0" xfId="0">
      <alignment vertical="center"/>
    </xf>
    <xf numFmtId="178" fontId="1" fillId="0" borderId="1" applyAlignment="1" pivotButton="0" quotePrefix="0" xfId="0">
      <alignment horizontal="right" vertical="center"/>
    </xf>
    <xf numFmtId="169" fontId="1" fillId="0" borderId="1" applyAlignment="1" pivotButton="0" quotePrefix="0" xfId="0">
      <alignment horizontal="right" vertical="center"/>
    </xf>
    <xf numFmtId="179" fontId="1" fillId="0" borderId="1" applyAlignment="1" pivotButton="0" quotePrefix="0" xfId="0">
      <alignment horizontal="right" vertical="center"/>
    </xf>
    <xf numFmtId="169" fontId="1" fillId="2" borderId="1" applyAlignment="1" pivotButton="0" quotePrefix="0" xfId="0">
      <alignment horizontal="right" vertical="center"/>
    </xf>
    <xf numFmtId="174" fontId="40" fillId="0" borderId="1" applyAlignment="1" pivotButton="0" quotePrefix="0" xfId="0">
      <alignment horizontal="right" vertical="center"/>
    </xf>
    <xf numFmtId="169" fontId="0" fillId="0" borderId="0" applyAlignment="1" pivotButton="0" quotePrefix="0" xfId="0">
      <alignment vertical="center"/>
    </xf>
    <xf numFmtId="177" fontId="1" fillId="0" borderId="1" applyAlignment="1" pivotButton="0" quotePrefix="0" xfId="0">
      <alignment vertical="center"/>
    </xf>
    <xf numFmtId="178" fontId="0" fillId="0" borderId="0" applyAlignment="1" pivotButton="0" quotePrefix="0" xfId="0">
      <alignment vertical="center"/>
    </xf>
    <xf numFmtId="169" fontId="1" fillId="4" borderId="28" applyAlignment="1" pivotButton="0" quotePrefix="0" xfId="0">
      <alignment vertical="center"/>
    </xf>
    <xf numFmtId="177" fontId="0" fillId="0" borderId="1" applyAlignment="1" pivotButton="0" quotePrefix="0" xfId="0">
      <alignment vertical="center"/>
    </xf>
    <xf numFmtId="166" fontId="2" fillId="0" borderId="0" pivotButton="0" quotePrefix="0" xfId="49"/>
    <xf numFmtId="166" fontId="33" fillId="0" borderId="17" pivotButton="0" quotePrefix="0" xfId="49"/>
    <xf numFmtId="166" fontId="2" fillId="0" borderId="17" applyAlignment="1" pivotButton="0" quotePrefix="0" xfId="49">
      <alignment horizontal="center"/>
    </xf>
    <xf numFmtId="166" fontId="34" fillId="0" borderId="0" pivotButton="0" quotePrefix="0" xfId="49"/>
    <xf numFmtId="166" fontId="2" fillId="16" borderId="0" applyProtection="1" pivotButton="0" quotePrefix="0" xfId="49">
      <protection locked="0" hidden="0"/>
    </xf>
    <xf numFmtId="166" fontId="2" fillId="8" borderId="0" applyProtection="1" pivotButton="0" quotePrefix="0" xfId="49">
      <protection locked="0" hidden="0"/>
    </xf>
    <xf numFmtId="166" fontId="33" fillId="0" borderId="18" pivotButton="0" quotePrefix="0" xfId="49"/>
    <xf numFmtId="166" fontId="2" fillId="0" borderId="19" applyAlignment="1" pivotButton="0" quotePrefix="0" xfId="49">
      <alignment horizontal="center"/>
    </xf>
    <xf numFmtId="166" fontId="2" fillId="0" borderId="20" pivotButton="0" quotePrefix="0" xfId="49"/>
    <xf numFmtId="166" fontId="2" fillId="0" borderId="0" applyProtection="1" pivotButton="0" quotePrefix="0" xfId="49">
      <protection locked="0" hidden="0"/>
    </xf>
    <xf numFmtId="166" fontId="2" fillId="0" borderId="21" pivotButton="0" quotePrefix="0" xfId="49"/>
    <xf numFmtId="164" fontId="2" fillId="8" borderId="0" pivotButton="0" quotePrefix="0" xfId="49"/>
    <xf numFmtId="166" fontId="2" fillId="8" borderId="0" pivotButton="0" quotePrefix="0" xfId="49"/>
    <xf numFmtId="166" fontId="2" fillId="8" borderId="22" pivotButton="0" quotePrefix="0" xfId="49"/>
    <xf numFmtId="173" fontId="11" fillId="8" borderId="0" pivotButton="0" quotePrefix="0" xfId="49"/>
    <xf numFmtId="173" fontId="11" fillId="8" borderId="22" pivotButton="0" quotePrefix="0" xfId="49"/>
    <xf numFmtId="166" fontId="35" fillId="0" borderId="0" applyAlignment="1" pivotButton="0" quotePrefix="0" xfId="49">
      <alignment horizontal="left" indent="1"/>
    </xf>
    <xf numFmtId="166" fontId="2" fillId="17" borderId="0" applyProtection="1" pivotButton="0" quotePrefix="0" xfId="49">
      <protection locked="0" hidden="0"/>
    </xf>
    <xf numFmtId="168" fontId="2" fillId="8" borderId="0" applyAlignment="1" pivotButton="0" quotePrefix="0" xfId="49">
      <alignment horizontal="center"/>
    </xf>
    <xf numFmtId="168" fontId="2" fillId="8" borderId="22" applyAlignment="1" pivotButton="0" quotePrefix="0" xfId="49">
      <alignment horizontal="center"/>
    </xf>
    <xf numFmtId="174" fontId="2" fillId="8" borderId="0" pivotButton="0" quotePrefix="0" xfId="49"/>
    <xf numFmtId="166" fontId="2" fillId="0" borderId="23" pivotButton="0" quotePrefix="0" xfId="49"/>
    <xf numFmtId="166" fontId="2" fillId="8" borderId="24" pivotButton="0" quotePrefix="0" xfId="49"/>
    <xf numFmtId="166" fontId="6" fillId="0" borderId="0" pivotButton="0" quotePrefix="0" xfId="49"/>
    <xf numFmtId="168" fontId="2" fillId="0" borderId="0" applyAlignment="1" pivotButton="0" quotePrefix="0" xfId="49">
      <alignment horizontal="left" indent="1"/>
    </xf>
    <xf numFmtId="165" fontId="2" fillId="0" borderId="0" pivotButton="0" quotePrefix="0" xfId="49"/>
    <xf numFmtId="166" fontId="2" fillId="0" borderId="17" pivotButton="0" quotePrefix="0" xfId="49"/>
    <xf numFmtId="168" fontId="2" fillId="16" borderId="0" applyProtection="1" pivotButton="0" quotePrefix="0" xfId="49">
      <protection locked="0" hidden="0"/>
    </xf>
    <xf numFmtId="168" fontId="11" fillId="8" borderId="0" pivotButton="0" quotePrefix="0" xfId="49"/>
    <xf numFmtId="168" fontId="2" fillId="0" borderId="0" applyProtection="1" pivotButton="0" quotePrefix="0" xfId="49">
      <protection locked="1" hidden="1"/>
    </xf>
    <xf numFmtId="168" fontId="2" fillId="8" borderId="0" applyProtection="1" pivotButton="0" quotePrefix="0" xfId="49">
      <protection locked="1" hidden="1"/>
    </xf>
    <xf numFmtId="175" fontId="11" fillId="8" borderId="0" pivotButton="0" quotePrefix="0" xfId="49"/>
    <xf numFmtId="168" fontId="2" fillId="0" borderId="0" pivotButton="0" quotePrefix="0" xfId="49"/>
    <xf numFmtId="166" fontId="2" fillId="0" borderId="0" applyProtection="1" pivotButton="0" quotePrefix="0" xfId="49">
      <protection locked="1" hidden="1"/>
    </xf>
    <xf numFmtId="166" fontId="36" fillId="0" borderId="0" pivotButton="0" quotePrefix="0" xfId="50"/>
    <xf numFmtId="166" fontId="33" fillId="0" borderId="0" pivotButton="0" quotePrefix="0" xfId="49"/>
    <xf numFmtId="165" fontId="33" fillId="0" borderId="0" applyProtection="1" pivotButton="0" quotePrefix="0" xfId="49">
      <protection locked="1" hidden="1"/>
    </xf>
    <xf numFmtId="166" fontId="2" fillId="0" borderId="17" applyProtection="1" pivotButton="0" quotePrefix="0" xfId="49">
      <protection locked="1" hidden="1"/>
    </xf>
    <xf numFmtId="166" fontId="2" fillId="0" borderId="0" applyAlignment="1" pivotButton="0" quotePrefix="0" xfId="49">
      <alignment horizontal="left" indent="1"/>
    </xf>
    <xf numFmtId="166" fontId="33" fillId="19" borderId="25" pivotButton="0" quotePrefix="0" xfId="49"/>
    <xf numFmtId="165" fontId="33" fillId="19" borderId="25" applyProtection="1" pivotButton="0" quotePrefix="0" xfId="49">
      <protection locked="1" hidden="1"/>
    </xf>
    <xf numFmtId="176" fontId="33" fillId="19" borderId="25" applyProtection="1" pivotButton="0" quotePrefix="0" xfId="49">
      <protection locked="1" hidden="1"/>
    </xf>
    <xf numFmtId="166" fontId="11" fillId="0" borderId="0" pivotButton="0" quotePrefix="0" xfId="50"/>
    <xf numFmtId="174" fontId="2" fillId="0" borderId="0" pivotButton="0" quotePrefix="0" xfId="49"/>
    <xf numFmtId="170" fontId="0" fillId="0" borderId="0" applyAlignment="1" pivotButton="0" quotePrefix="0" xfId="0">
      <alignment vertical="center"/>
    </xf>
    <xf numFmtId="171" fontId="0" fillId="0" borderId="0" applyAlignment="1" pivotButton="0" quotePrefix="0" xfId="0">
      <alignment vertical="center"/>
    </xf>
    <xf numFmtId="170" fontId="0" fillId="0" borderId="14" applyAlignment="1" pivotButton="0" quotePrefix="0" xfId="0">
      <alignment horizontal="center" vertical="center"/>
    </xf>
    <xf numFmtId="0" fontId="0" fillId="0" borderId="14" pivotButton="0" quotePrefix="0" xfId="0"/>
    <xf numFmtId="170" fontId="24" fillId="0" borderId="14" applyAlignment="1" pivotButton="0" quotePrefix="0" xfId="0">
      <alignment vertical="center"/>
    </xf>
    <xf numFmtId="171" fontId="24" fillId="0" borderId="1" applyAlignment="1" pivotButton="0" quotePrefix="0" xfId="0">
      <alignment vertical="center"/>
    </xf>
    <xf numFmtId="170" fontId="25" fillId="4" borderId="14" applyAlignment="1" pivotButton="0" quotePrefix="0" xfId="0">
      <alignment vertical="center"/>
    </xf>
    <xf numFmtId="171" fontId="25" fillId="4" borderId="1" applyAlignment="1" pivotButton="0" quotePrefix="0" xfId="0">
      <alignment vertical="center"/>
    </xf>
    <xf numFmtId="172" fontId="25" fillId="4" borderId="1" applyAlignment="1" pivotButton="0" quotePrefix="0" xfId="0">
      <alignment vertical="center"/>
    </xf>
    <xf numFmtId="171" fontId="25" fillId="4" borderId="1" applyAlignment="1" pivotButton="0" quotePrefix="0" xfId="0">
      <alignment horizontal="right" vertical="center"/>
    </xf>
    <xf numFmtId="171" fontId="25" fillId="4" borderId="14" applyAlignment="1" pivotButton="0" quotePrefix="0" xfId="0">
      <alignment vertical="center"/>
    </xf>
    <xf numFmtId="171" fontId="25" fillId="4" borderId="15" applyAlignment="1" pivotButton="0" quotePrefix="0" xfId="0">
      <alignment vertical="center"/>
    </xf>
    <xf numFmtId="170" fontId="25" fillId="4" borderId="1" applyAlignment="1" pivotButton="0" quotePrefix="0" xfId="0">
      <alignment vertical="center"/>
    </xf>
    <xf numFmtId="170" fontId="25" fillId="0" borderId="14" applyAlignment="1" pivotButton="0" quotePrefix="0" xfId="0">
      <alignment vertical="center"/>
    </xf>
    <xf numFmtId="171" fontId="25" fillId="0" borderId="1" applyAlignment="1" pivotButton="0" quotePrefix="0" xfId="0">
      <alignment vertical="center"/>
    </xf>
    <xf numFmtId="171" fontId="25" fillId="0" borderId="1" applyAlignment="1" pivotButton="0" quotePrefix="0" xfId="0">
      <alignment horizontal="right" vertical="center"/>
    </xf>
    <xf numFmtId="171" fontId="25" fillId="0" borderId="14" applyAlignment="1" pivotButton="0" quotePrefix="0" xfId="0">
      <alignment vertical="center"/>
    </xf>
    <xf numFmtId="171" fontId="25" fillId="0" borderId="15" applyAlignment="1" pivotButton="0" quotePrefix="0" xfId="0">
      <alignment vertical="center"/>
    </xf>
    <xf numFmtId="170" fontId="26" fillId="0" borderId="14" applyAlignment="1" pivotButton="0" quotePrefix="0" xfId="0">
      <alignment vertical="center"/>
    </xf>
    <xf numFmtId="172" fontId="25" fillId="0" borderId="1" applyAlignment="1" pivotButton="0" quotePrefix="0" xfId="0">
      <alignment vertical="center"/>
    </xf>
    <xf numFmtId="170" fontId="25" fillId="0" borderId="1" applyAlignment="1" pivotButton="0" quotePrefix="0" xfId="0">
      <alignment vertical="center"/>
    </xf>
    <xf numFmtId="172" fontId="25" fillId="0" borderId="14" applyAlignment="1" pivotButton="0" quotePrefix="0" xfId="0">
      <alignment vertical="center"/>
    </xf>
    <xf numFmtId="171" fontId="25" fillId="0" borderId="16" applyAlignment="1" pivotButton="0" quotePrefix="0" xfId="0">
      <alignment vertical="center"/>
    </xf>
    <xf numFmtId="170" fontId="24" fillId="0" borderId="1" applyAlignment="1" pivotButton="0" quotePrefix="0" xfId="0">
      <alignment vertical="center"/>
    </xf>
    <xf numFmtId="170" fontId="29" fillId="0" borderId="1" applyAlignment="1" pivotButton="0" quotePrefix="0" xfId="0">
      <alignment vertical="center"/>
    </xf>
    <xf numFmtId="171" fontId="30" fillId="0" borderId="1" applyAlignment="1" pivotButton="0" quotePrefix="0" xfId="0">
      <alignment vertical="center"/>
    </xf>
    <xf numFmtId="171" fontId="30" fillId="0" borderId="15" applyAlignment="1" pivotButton="0" quotePrefix="0" xfId="0">
      <alignment vertical="center"/>
    </xf>
    <xf numFmtId="170" fontId="0" fillId="0" borderId="1" applyAlignment="1" pivotButton="0" quotePrefix="0" xfId="0">
      <alignment vertical="center"/>
    </xf>
    <xf numFmtId="171" fontId="0" fillId="0" borderId="1" applyAlignment="1" pivotButton="0" quotePrefix="0" xfId="0">
      <alignment vertical="center"/>
    </xf>
    <xf numFmtId="169" fontId="31" fillId="0" borderId="1" applyAlignment="1" pivotButton="0" quotePrefix="0" xfId="0">
      <alignment vertical="center"/>
    </xf>
    <xf numFmtId="169" fontId="31" fillId="0" borderId="15" applyAlignment="1" pivotButton="0" quotePrefix="0" xfId="0">
      <alignment vertical="center"/>
    </xf>
    <xf numFmtId="169" fontId="31" fillId="4" borderId="1" applyAlignment="1" pivotButton="0" quotePrefix="0" xfId="0">
      <alignment vertical="center"/>
    </xf>
    <xf numFmtId="169" fontId="31" fillId="4" borderId="15" applyAlignment="1" pivotButton="0" quotePrefix="0" xfId="0">
      <alignment vertical="center"/>
    </xf>
    <xf numFmtId="171" fontId="0" fillId="0" borderId="15" applyAlignment="1" pivotButton="0" quotePrefix="0" xfId="0">
      <alignment vertical="center"/>
    </xf>
    <xf numFmtId="164" fontId="2" fillId="6" borderId="0" applyAlignment="1" pivotButton="0" quotePrefix="0" xfId="0">
      <alignment horizontal="left" vertical="center"/>
    </xf>
    <xf numFmtId="165" fontId="9" fillId="7" borderId="0" applyAlignment="1" pivotButton="0" quotePrefix="0" xfId="0">
      <alignment horizontal="center" vertical="center"/>
    </xf>
    <xf numFmtId="166" fontId="9" fillId="7" borderId="0" applyAlignment="1" pivotButton="0" quotePrefix="0" xfId="0">
      <alignment horizontal="center" vertical="center"/>
    </xf>
    <xf numFmtId="166" fontId="2" fillId="7" borderId="0" applyAlignment="1" pivotButton="0" quotePrefix="0" xfId="0">
      <alignment horizontal="center" vertical="center"/>
    </xf>
    <xf numFmtId="166" fontId="2" fillId="7" borderId="0" applyAlignment="1" pivotButton="0" quotePrefix="0" xfId="0">
      <alignment vertical="center"/>
    </xf>
    <xf numFmtId="166" fontId="6" fillId="7" borderId="0" applyAlignment="1" pivotButton="0" quotePrefix="0" xfId="0">
      <alignment vertical="center"/>
    </xf>
    <xf numFmtId="166" fontId="9" fillId="7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8" fontId="2" fillId="9" borderId="0" applyAlignment="1" pivotButton="0" quotePrefix="0" xfId="0">
      <alignment vertical="center"/>
    </xf>
    <xf numFmtId="166" fontId="9" fillId="9" borderId="0" applyAlignment="1" pivotButton="0" quotePrefix="0" xfId="0">
      <alignment vertical="center"/>
    </xf>
    <xf numFmtId="166" fontId="2" fillId="8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21" fillId="0" borderId="0" applyAlignment="1" pivotButton="0" quotePrefix="0" xfId="0">
      <alignment vertical="center"/>
    </xf>
    <xf numFmtId="0" fontId="0" fillId="0" borderId="17" pivotButton="0" quotePrefix="0" xfId="0"/>
    <xf numFmtId="0" fontId="0" fillId="0" borderId="43" pivotButton="0" quotePrefix="0" xfId="0"/>
    <xf numFmtId="0" fontId="0" fillId="0" borderId="45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1" pivotButton="0" quotePrefix="0" xfId="0"/>
    <xf numFmtId="0" fontId="0" fillId="0" borderId="46" pivotButton="0" quotePrefix="0" xfId="0"/>
    <xf numFmtId="165" fontId="9" fillId="3" borderId="0" applyAlignment="1" pivotButton="0" quotePrefix="0" xfId="0">
      <alignment horizontal="center" vertical="center"/>
    </xf>
    <xf numFmtId="165" fontId="9" fillId="4" borderId="0" applyAlignment="1" pivotButton="0" quotePrefix="0" xfId="0">
      <alignment horizontal="center" vertical="center"/>
    </xf>
    <xf numFmtId="166" fontId="9" fillId="3" borderId="0" applyAlignment="1" pivotButton="0" quotePrefix="0" xfId="0">
      <alignment horizontal="center" vertical="center"/>
    </xf>
    <xf numFmtId="166" fontId="10" fillId="4" borderId="0" applyAlignment="1" pivotButton="0" quotePrefix="0" xfId="0">
      <alignment vertical="center"/>
    </xf>
    <xf numFmtId="166" fontId="2" fillId="3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center" vertical="center"/>
    </xf>
    <xf numFmtId="167" fontId="11" fillId="4" borderId="0" applyAlignment="1" pivotButton="0" quotePrefix="0" xfId="3">
      <alignment vertical="center"/>
    </xf>
    <xf numFmtId="166" fontId="6" fillId="3" borderId="0" applyAlignment="1" pivotButton="0" quotePrefix="0" xfId="0">
      <alignment vertical="center"/>
    </xf>
    <xf numFmtId="166" fontId="6" fillId="4" borderId="0" applyAlignment="1" pivotButton="0" quotePrefix="0" xfId="0">
      <alignment vertical="center"/>
    </xf>
    <xf numFmtId="166" fontId="2" fillId="3" borderId="0" applyAlignment="1" pivotButton="0" quotePrefix="0" xfId="0">
      <alignment vertical="center"/>
    </xf>
    <xf numFmtId="166" fontId="2" fillId="4" borderId="0" applyAlignment="1" pivotButton="0" quotePrefix="0" xfId="0">
      <alignment vertical="center"/>
    </xf>
    <xf numFmtId="165" fontId="2" fillId="3" borderId="0" applyAlignment="1" pivotButton="0" quotePrefix="0" xfId="0">
      <alignment vertical="center"/>
    </xf>
    <xf numFmtId="165" fontId="2" fillId="4" borderId="0" applyAlignment="1" pivotButton="0" quotePrefix="0" xfId="0">
      <alignment vertical="center"/>
    </xf>
    <xf numFmtId="168" fontId="2" fillId="3" borderId="0" applyAlignment="1" pivotButton="0" quotePrefix="0" xfId="0">
      <alignment vertical="center"/>
    </xf>
    <xf numFmtId="168" fontId="2" fillId="4" borderId="0" applyAlignment="1" pivotButton="0" quotePrefix="0" xfId="0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externalLink" Target="/xl/externalLinks/externalLink1.xml" Id="rId20"/><Relationship Type="http://schemas.openxmlformats.org/officeDocument/2006/relationships/externalLink" Target="/xl/externalLinks/externalLink2.xml" Id="rId21"/><Relationship Type="http://schemas.openxmlformats.org/officeDocument/2006/relationships/externalLink" Target="/xl/externalLinks/externalLink3.xml" Id="rId22"/><Relationship Type="http://schemas.openxmlformats.org/officeDocument/2006/relationships/externalLink" Target="/xl/externalLinks/externalLink4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Users\chenzishuo\AppData\Roaming\Kingsoft\office6\backup\2026BB&#26360;&#23637;ROI&#28204;&#31639;(1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Users\chenzishuo\Desktop\&#38472;&#26771;&#28865;-&#24605;&#32500;\25-26&#24180;&#21830;&#21153;&#27719;&#24635;\4-&#28023;&#22806;&#28207;&#28595;&#21830;&#21153;\1-&#20070;&#23637;\2026&#23637;&#26371;&#35206;&#30436;20260420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chenzishuo\Desktop\&#38472;&#26771;&#28865;-&#24605;&#32500;\25-26&#24180;&#21830;&#21153;&#27719;&#24635;\4-&#28023;&#22806;&#28207;&#28595;&#21830;&#21153;\1-&#20070;&#23637;\2026&#24180;5&#26376;&#35506;&#22806;&#27963;&#21205;&#23637;P&amp;L%200519_v2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Users\chenzishuo\Downloads\&#28023;&#22806;&#28207;&#28595;&#21830;&#21153;_&#21508;&#28192;&#36947;&#20027;&#36741;&#25237;&#25968;&#25454;%20(76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開支總表"/>
      <sheetName val="Sheet3"/>
    </sheetNames>
    <sheetDataSet>
      <sheetData sheetId="0">
        <row r="15">
          <cell r="C15">
            <v>40607.472</v>
          </cell>
        </row>
        <row r="15">
          <cell r="E15">
            <v>47321.93935</v>
          </cell>
          <cell r="F15">
            <v>36570.28935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開支總表"/>
      <sheetName val="ROI測算"/>
      <sheetName val="參展成本"/>
      <sheetName val="餐費"/>
      <sheetName val="payme收入"/>
      <sheetName val="Kpay收入-1"/>
    </sheetNames>
    <sheetDataSet>
      <sheetData sheetId="0" refreshError="1">
        <row r="18">
          <cell r="C18">
            <v>45881.061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開支總表"/>
      <sheetName val="ROI測算"/>
      <sheetName val="參展成本"/>
      <sheetName val="餐費"/>
      <sheetName val="kpay收入"/>
      <sheetName val="payme收入"/>
    </sheetNames>
    <sheetDataSet>
      <sheetData sheetId="0">
        <row r="15">
          <cell r="C15">
            <v>41967.9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/>
      <sheetData sheetId="1"/>
      <sheetData sheetId="2">
        <row r="1">
          <cell r="G1" t="str">
            <v>主投</v>
          </cell>
        </row>
        <row r="2">
          <cell r="B2" t="str">
            <v>供应商</v>
          </cell>
          <cell r="C2" t="str">
            <v>渠道名称</v>
          </cell>
          <cell r="D2" t="str">
            <v>主投</v>
          </cell>
          <cell r="E2" t="str">
            <v>辅投</v>
          </cell>
          <cell r="F2" t="str">
            <v>结算方式</v>
          </cell>
          <cell r="G2" t="str">
            <v>滚动消耗</v>
          </cell>
          <cell r="H2" t="str">
            <v>滚动消耗(不含赠课成本)</v>
          </cell>
          <cell r="I2" t="str">
            <v>单例子成本</v>
          </cell>
          <cell r="J2" t="str">
            <v>例子数</v>
          </cell>
          <cell r="K2" t="str">
            <v>分发数</v>
          </cell>
          <cell r="L2" t="str">
            <v>分发数
(剔除毛例子)</v>
          </cell>
          <cell r="M2" t="str">
            <v>约课数</v>
          </cell>
        </row>
        <row r="3">
          <cell r="B3" t="str">
            <v>呂慧儀直播</v>
          </cell>
          <cell r="C3" t="str">
            <v>总计</v>
          </cell>
          <cell r="D3" t="str">
            <v>-</v>
          </cell>
          <cell r="E3" t="str">
            <v>-</v>
          </cell>
          <cell r="F3" t="str">
            <v>-</v>
          </cell>
          <cell r="G3">
            <v>0</v>
          </cell>
          <cell r="H3">
            <v>0</v>
          </cell>
          <cell r="I3">
            <v>0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 t="e">
            <v>#N/A</v>
          </cell>
          <cell r="O3">
            <v>0</v>
          </cell>
        </row>
        <row r="4">
          <cell r="B4" t="str">
            <v>蔡雪莹</v>
          </cell>
          <cell r="C4" t="str">
            <v>总计</v>
          </cell>
          <cell r="D4" t="str">
            <v>-</v>
          </cell>
          <cell r="E4" t="str">
            <v>-</v>
          </cell>
          <cell r="F4" t="str">
            <v>-</v>
          </cell>
          <cell r="G4">
            <v>3855.25</v>
          </cell>
          <cell r="H4">
            <v>3855.25</v>
          </cell>
          <cell r="I4">
            <v>550.75</v>
          </cell>
          <cell r="J4">
            <v>7</v>
          </cell>
          <cell r="K4">
            <v>3</v>
          </cell>
          <cell r="L4">
            <v>6</v>
          </cell>
          <cell r="M4">
            <v>3</v>
          </cell>
          <cell r="N4" t="e">
            <v>#N/A</v>
          </cell>
          <cell r="O4">
            <v>1285.08333333333</v>
          </cell>
        </row>
        <row r="5">
          <cell r="B5" t="str">
            <v>钟嘉欣图片</v>
          </cell>
          <cell r="C5" t="str">
            <v>总计</v>
          </cell>
          <cell r="D5" t="str">
            <v>-</v>
          </cell>
          <cell r="E5" t="str">
            <v>-</v>
          </cell>
          <cell r="F5" t="str">
            <v>-</v>
          </cell>
          <cell r="G5">
            <v>40938.6923076923</v>
          </cell>
          <cell r="H5">
            <v>40938.6923076923</v>
          </cell>
          <cell r="I5">
            <v>649.820512820512</v>
          </cell>
          <cell r="J5">
            <v>63</v>
          </cell>
          <cell r="K5">
            <v>36</v>
          </cell>
          <cell r="L5">
            <v>40</v>
          </cell>
          <cell r="M5">
            <v>39</v>
          </cell>
          <cell r="N5" t="str">
            <v>钟嘉欣图片</v>
          </cell>
          <cell r="O5">
            <v>1049.7100591716</v>
          </cell>
        </row>
        <row r="6">
          <cell r="B6" t="str">
            <v>钟嘉欣视频</v>
          </cell>
          <cell r="C6" t="str">
            <v>总计</v>
          </cell>
          <cell r="D6" t="str">
            <v>-</v>
          </cell>
          <cell r="E6" t="str">
            <v>-</v>
          </cell>
          <cell r="F6" t="str">
            <v>-</v>
          </cell>
          <cell r="G6">
            <v>13657</v>
          </cell>
          <cell r="H6">
            <v>13657</v>
          </cell>
          <cell r="I6">
            <v>379.361111111111</v>
          </cell>
          <cell r="J6">
            <v>36</v>
          </cell>
          <cell r="K6">
            <v>12</v>
          </cell>
          <cell r="L6">
            <v>12</v>
          </cell>
          <cell r="M6">
            <v>12</v>
          </cell>
          <cell r="N6" t="str">
            <v>钟嘉欣视频</v>
          </cell>
          <cell r="O6">
            <v>1138.08333333333</v>
          </cell>
        </row>
        <row r="7">
          <cell r="B7" t="str">
            <v>钟嘉欣视频1</v>
          </cell>
          <cell r="C7" t="str">
            <v>总计</v>
          </cell>
          <cell r="D7" t="str">
            <v>-</v>
          </cell>
          <cell r="E7" t="str">
            <v>-</v>
          </cell>
          <cell r="F7" t="str">
            <v>-</v>
          </cell>
          <cell r="G7">
            <v>23188.4489795918</v>
          </cell>
          <cell r="H7">
            <v>23188.4489795918</v>
          </cell>
          <cell r="I7">
            <v>527.010204081633</v>
          </cell>
          <cell r="J7">
            <v>44</v>
          </cell>
          <cell r="K7">
            <v>11</v>
          </cell>
          <cell r="L7">
            <v>13</v>
          </cell>
          <cell r="M7">
            <v>11</v>
          </cell>
          <cell r="N7" t="str">
            <v>钟嘉欣视频1</v>
          </cell>
          <cell r="O7">
            <v>2108.04081632653</v>
          </cell>
        </row>
        <row r="8">
          <cell r="B8" t="str">
            <v>陈琪直播</v>
          </cell>
          <cell r="C8" t="str">
            <v>总计</v>
          </cell>
          <cell r="D8" t="str">
            <v>-</v>
          </cell>
          <cell r="E8" t="str">
            <v>-</v>
          </cell>
          <cell r="F8" t="str">
            <v>-</v>
          </cell>
          <cell r="G8">
            <v>0</v>
          </cell>
          <cell r="H8">
            <v>0</v>
          </cell>
        </row>
        <row r="8">
          <cell r="J8">
            <v>0</v>
          </cell>
          <cell r="K8">
            <v>0</v>
          </cell>
          <cell r="L8">
            <v>0</v>
          </cell>
          <cell r="M8">
            <v>0</v>
          </cell>
          <cell r="N8" t="e">
            <v>#N/A</v>
          </cell>
          <cell r="O8" t="e">
            <v>#DIV/0!</v>
          </cell>
        </row>
        <row r="9">
          <cell r="B9" t="str">
            <v>陳展鵬</v>
          </cell>
          <cell r="C9" t="str">
            <v>总计</v>
          </cell>
          <cell r="D9" t="str">
            <v>-</v>
          </cell>
          <cell r="E9" t="str">
            <v>-</v>
          </cell>
          <cell r="F9" t="str">
            <v>-</v>
          </cell>
          <cell r="G9">
            <v>0</v>
          </cell>
          <cell r="H9">
            <v>0</v>
          </cell>
        </row>
        <row r="9">
          <cell r="J9">
            <v>0</v>
          </cell>
          <cell r="K9">
            <v>0</v>
          </cell>
          <cell r="L9">
            <v>0</v>
          </cell>
          <cell r="M9">
            <v>0</v>
          </cell>
          <cell r="N9" t="e">
            <v>#N/A</v>
          </cell>
          <cell r="O9" t="e">
            <v>#DIV/0!</v>
          </cell>
        </row>
        <row r="10">
          <cell r="B10" t="str">
            <v>总计</v>
          </cell>
          <cell r="C10" t="str">
            <v>总计</v>
          </cell>
          <cell r="D10" t="str">
            <v>-</v>
          </cell>
          <cell r="E10" t="str">
            <v>-</v>
          </cell>
          <cell r="F10" t="str">
            <v>-</v>
          </cell>
          <cell r="G10">
            <v>81639.3912872841</v>
          </cell>
          <cell r="H10">
            <v>81639.3912872841</v>
          </cell>
          <cell r="I10">
            <v>540.65822044559</v>
          </cell>
          <cell r="J10">
            <v>151</v>
          </cell>
          <cell r="K10">
            <v>63</v>
          </cell>
          <cell r="L10">
            <v>72</v>
          </cell>
          <cell r="M10">
            <v>66</v>
          </cell>
          <cell r="N10" t="e">
            <v>#N/A</v>
          </cell>
          <cell r="O10">
            <v>1236.96047404976</v>
          </cell>
        </row>
        <row r="11">
          <cell r="B11" t="str">
            <v>618出席送禮</v>
          </cell>
          <cell r="C11" t="str">
            <v>总计</v>
          </cell>
          <cell r="D11" t="str">
            <v>-</v>
          </cell>
          <cell r="E11" t="str">
            <v>-</v>
          </cell>
          <cell r="F11" t="str">
            <v>-</v>
          </cell>
          <cell r="G11">
            <v>950</v>
          </cell>
          <cell r="H11">
            <v>950</v>
          </cell>
          <cell r="I11">
            <v>237.5</v>
          </cell>
          <cell r="J11">
            <v>4</v>
          </cell>
          <cell r="K11">
            <v>2</v>
          </cell>
          <cell r="L11">
            <v>2</v>
          </cell>
          <cell r="M11">
            <v>2</v>
          </cell>
        </row>
        <row r="12">
          <cell r="B12" t="str">
            <v>总计</v>
          </cell>
          <cell r="C12" t="str">
            <v>总计</v>
          </cell>
          <cell r="D12" t="str">
            <v>-</v>
          </cell>
          <cell r="E12" t="str">
            <v>-</v>
          </cell>
          <cell r="F12" t="str">
            <v>-</v>
          </cell>
          <cell r="G12">
            <v>950</v>
          </cell>
          <cell r="H12">
            <v>950</v>
          </cell>
          <cell r="I12">
            <v>237.5</v>
          </cell>
          <cell r="J12">
            <v>4</v>
          </cell>
          <cell r="K12">
            <v>2</v>
          </cell>
          <cell r="L12">
            <v>2</v>
          </cell>
          <cell r="M12">
            <v>2</v>
          </cell>
        </row>
        <row r="13">
          <cell r="B13" t="str">
            <v>Amy</v>
          </cell>
          <cell r="C13" t="str">
            <v>总计</v>
          </cell>
          <cell r="D13" t="str">
            <v>-</v>
          </cell>
          <cell r="E13" t="str">
            <v>-</v>
          </cell>
          <cell r="F13" t="str">
            <v>-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1</v>
          </cell>
          <cell r="M13">
            <v>1</v>
          </cell>
        </row>
        <row r="14">
          <cell r="B14" t="str">
            <v>Maggie</v>
          </cell>
          <cell r="C14" t="str">
            <v>总计</v>
          </cell>
          <cell r="D14" t="str">
            <v>-</v>
          </cell>
          <cell r="E14" t="str">
            <v>-</v>
          </cell>
          <cell r="F14" t="str">
            <v>-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1</v>
          </cell>
          <cell r="L14">
            <v>1</v>
          </cell>
          <cell r="M14">
            <v>0</v>
          </cell>
        </row>
        <row r="15">
          <cell r="B15" t="str">
            <v>教學小蜜蜂FB</v>
          </cell>
          <cell r="C15" t="str">
            <v>总计</v>
          </cell>
          <cell r="D15" t="str">
            <v>-</v>
          </cell>
          <cell r="E15" t="str">
            <v>-</v>
          </cell>
          <cell r="F15" t="str">
            <v>-</v>
          </cell>
          <cell r="G15">
            <v>0</v>
          </cell>
          <cell r="H15">
            <v>0</v>
          </cell>
        </row>
        <row r="15"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 t="str">
            <v>甄芷琳</v>
          </cell>
          <cell r="C16" t="str">
            <v>总计</v>
          </cell>
          <cell r="D16" t="str">
            <v>-</v>
          </cell>
          <cell r="E16" t="str">
            <v>-</v>
          </cell>
          <cell r="F16" t="str">
            <v>-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0</v>
          </cell>
          <cell r="L16">
            <v>0</v>
          </cell>
          <cell r="M16">
            <v>0</v>
          </cell>
        </row>
        <row r="17">
          <cell r="B17" t="str">
            <v>总计</v>
          </cell>
          <cell r="C17" t="str">
            <v>总计</v>
          </cell>
          <cell r="D17" t="str">
            <v>-</v>
          </cell>
          <cell r="E17" t="str">
            <v>-</v>
          </cell>
          <cell r="F17" t="str">
            <v>-</v>
          </cell>
          <cell r="G17">
            <v>0</v>
          </cell>
          <cell r="H17">
            <v>0</v>
          </cell>
          <cell r="I17">
            <v>0</v>
          </cell>
          <cell r="J17">
            <v>3</v>
          </cell>
          <cell r="K17">
            <v>1</v>
          </cell>
          <cell r="L17">
            <v>2</v>
          </cell>
          <cell r="M17">
            <v>1</v>
          </cell>
        </row>
        <row r="18">
          <cell r="B18" t="str">
            <v>25年12月兒童書展</v>
          </cell>
          <cell r="C18" t="str">
            <v>总计</v>
          </cell>
          <cell r="D18" t="str">
            <v>-</v>
          </cell>
          <cell r="E18" t="str">
            <v>-</v>
          </cell>
          <cell r="F18" t="str">
            <v>-</v>
          </cell>
          <cell r="G18">
            <v>0</v>
          </cell>
          <cell r="H18">
            <v>0</v>
          </cell>
        </row>
        <row r="18"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 t="str">
            <v>26年3月第十一屆兒童書展</v>
          </cell>
          <cell r="C19" t="str">
            <v>总计</v>
          </cell>
          <cell r="D19" t="str">
            <v>-</v>
          </cell>
          <cell r="E19" t="str">
            <v>-</v>
          </cell>
          <cell r="F19" t="str">
            <v>-</v>
          </cell>
          <cell r="G19">
            <v>0</v>
          </cell>
          <cell r="H19">
            <v>0</v>
          </cell>
        </row>
        <row r="19"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B20" t="str">
            <v>26年4月澳门A+教育展</v>
          </cell>
          <cell r="C20" t="str">
            <v>总计</v>
          </cell>
          <cell r="D20" t="str">
            <v>-</v>
          </cell>
          <cell r="E20" t="str">
            <v>-</v>
          </cell>
          <cell r="F20" t="str">
            <v>-</v>
          </cell>
          <cell r="G20">
            <v>0</v>
          </cell>
          <cell r="H20">
            <v>0</v>
          </cell>
        </row>
        <row r="20"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 t="str">
            <v>26年5月第十二屆兒童書展</v>
          </cell>
          <cell r="C21" t="str">
            <v>总计</v>
          </cell>
          <cell r="D21" t="str">
            <v>-</v>
          </cell>
          <cell r="E21" t="str">
            <v>-</v>
          </cell>
          <cell r="F21" t="str">
            <v>-</v>
          </cell>
          <cell r="G21">
            <v>6081.6</v>
          </cell>
          <cell r="H21">
            <v>6081.6</v>
          </cell>
          <cell r="I21">
            <v>6081.6</v>
          </cell>
          <cell r="J21">
            <v>1</v>
          </cell>
          <cell r="K21">
            <v>1</v>
          </cell>
          <cell r="L21">
            <v>9</v>
          </cell>
          <cell r="M21">
            <v>1</v>
          </cell>
        </row>
        <row r="22">
          <cell r="B22" t="str">
            <v>26年5月課外活動展</v>
          </cell>
          <cell r="C22" t="str">
            <v>总计</v>
          </cell>
          <cell r="D22" t="str">
            <v>-</v>
          </cell>
          <cell r="E22" t="str">
            <v>-</v>
          </cell>
          <cell r="F22" t="str">
            <v>-</v>
          </cell>
          <cell r="G22">
            <v>1290.8</v>
          </cell>
          <cell r="H22">
            <v>1290.8</v>
          </cell>
        </row>
        <row r="22">
          <cell r="J22">
            <v>0</v>
          </cell>
          <cell r="K22">
            <v>0</v>
          </cell>
          <cell r="L22">
            <v>7</v>
          </cell>
          <cell r="M22">
            <v>0</v>
          </cell>
        </row>
        <row r="23">
          <cell r="B23" t="str">
            <v>元州商場</v>
          </cell>
          <cell r="C23" t="str">
            <v>总计</v>
          </cell>
          <cell r="D23" t="str">
            <v>-</v>
          </cell>
          <cell r="E23" t="str">
            <v>-</v>
          </cell>
          <cell r="F23" t="str">
            <v>-</v>
          </cell>
          <cell r="G23">
            <v>0</v>
          </cell>
          <cell r="H23">
            <v>0</v>
          </cell>
        </row>
        <row r="23"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 t="str">
            <v>商超宣傳單</v>
          </cell>
          <cell r="C24" t="str">
            <v>总计</v>
          </cell>
          <cell r="D24" t="str">
            <v>-</v>
          </cell>
          <cell r="E24" t="str">
            <v>-</v>
          </cell>
          <cell r="F24" t="str">
            <v>-</v>
          </cell>
          <cell r="G24">
            <v>0</v>
          </cell>
          <cell r="H24">
            <v>0</v>
          </cell>
          <cell r="I24">
            <v>0</v>
          </cell>
          <cell r="J24">
            <v>2</v>
          </cell>
          <cell r="K24">
            <v>0</v>
          </cell>
          <cell r="L24">
            <v>0</v>
          </cell>
          <cell r="M24">
            <v>1</v>
          </cell>
        </row>
        <row r="25">
          <cell r="B25" t="str">
            <v>啟田商場3場</v>
          </cell>
          <cell r="C25" t="str">
            <v>总计</v>
          </cell>
          <cell r="D25" t="str">
            <v>-</v>
          </cell>
          <cell r="E25" t="str">
            <v>-</v>
          </cell>
          <cell r="F25" t="str">
            <v>-</v>
          </cell>
          <cell r="G25">
            <v>0</v>
          </cell>
          <cell r="H25">
            <v>0</v>
          </cell>
        </row>
        <row r="25">
          <cell r="J25">
            <v>0</v>
          </cell>
          <cell r="K25">
            <v>0</v>
          </cell>
          <cell r="L25">
            <v>1</v>
          </cell>
          <cell r="M25">
            <v>0</v>
          </cell>
        </row>
        <row r="26">
          <cell r="B26" t="str">
            <v>東港城會所</v>
          </cell>
          <cell r="C26" t="str">
            <v>总计</v>
          </cell>
          <cell r="D26" t="str">
            <v>-</v>
          </cell>
          <cell r="E26" t="str">
            <v>-</v>
          </cell>
          <cell r="F26" t="str">
            <v>-</v>
          </cell>
          <cell r="G26">
            <v>4305.8</v>
          </cell>
          <cell r="H26">
            <v>4305.8</v>
          </cell>
          <cell r="I26">
            <v>269.1125</v>
          </cell>
          <cell r="J26">
            <v>16</v>
          </cell>
          <cell r="K26">
            <v>7</v>
          </cell>
          <cell r="L26">
            <v>7</v>
          </cell>
          <cell r="M26">
            <v>8</v>
          </cell>
        </row>
        <row r="27">
          <cell r="B27" t="str">
            <v>栢麗商場3場</v>
          </cell>
          <cell r="C27" t="str">
            <v>总计</v>
          </cell>
          <cell r="D27" t="str">
            <v>-</v>
          </cell>
          <cell r="E27" t="str">
            <v>-</v>
          </cell>
          <cell r="F27" t="str">
            <v>-</v>
          </cell>
          <cell r="G27">
            <v>1290.8</v>
          </cell>
          <cell r="H27">
            <v>1290.8</v>
          </cell>
        </row>
        <row r="27">
          <cell r="J27">
            <v>0</v>
          </cell>
          <cell r="K27">
            <v>0</v>
          </cell>
          <cell r="L27">
            <v>2</v>
          </cell>
          <cell r="M27">
            <v>0</v>
          </cell>
        </row>
        <row r="28">
          <cell r="B28" t="str">
            <v>樂富商場市集</v>
          </cell>
          <cell r="C28" t="str">
            <v>总计</v>
          </cell>
          <cell r="D28" t="str">
            <v>-</v>
          </cell>
          <cell r="E28" t="str">
            <v>-</v>
          </cell>
          <cell r="F28" t="str">
            <v>-</v>
          </cell>
          <cell r="G28">
            <v>0</v>
          </cell>
          <cell r="H28">
            <v>0</v>
          </cell>
        </row>
        <row r="28">
          <cell r="J28">
            <v>0</v>
          </cell>
          <cell r="K28">
            <v>0</v>
          </cell>
          <cell r="L28">
            <v>3</v>
          </cell>
          <cell r="M28">
            <v>0</v>
          </cell>
        </row>
        <row r="29">
          <cell r="B29" t="str">
            <v>石籬商場2場</v>
          </cell>
          <cell r="C29" t="str">
            <v>总计</v>
          </cell>
          <cell r="D29" t="str">
            <v>-</v>
          </cell>
          <cell r="E29" t="str">
            <v>-</v>
          </cell>
          <cell r="F29" t="str">
            <v>-</v>
          </cell>
          <cell r="G29">
            <v>5226.3</v>
          </cell>
          <cell r="H29">
            <v>5226.3</v>
          </cell>
          <cell r="I29">
            <v>130.6575</v>
          </cell>
          <cell r="J29">
            <v>40</v>
          </cell>
          <cell r="K29">
            <v>30</v>
          </cell>
          <cell r="L29">
            <v>30</v>
          </cell>
          <cell r="M29">
            <v>32</v>
          </cell>
        </row>
        <row r="30">
          <cell r="B30" t="str">
            <v>秀茂坪商場</v>
          </cell>
          <cell r="C30" t="str">
            <v>总计</v>
          </cell>
          <cell r="D30" t="str">
            <v>-</v>
          </cell>
          <cell r="E30" t="str">
            <v>-</v>
          </cell>
          <cell r="F30" t="str">
            <v>-</v>
          </cell>
          <cell r="G30">
            <v>0</v>
          </cell>
          <cell r="H30">
            <v>0</v>
          </cell>
        </row>
        <row r="30"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 t="str">
            <v>第33届香港bb展</v>
          </cell>
          <cell r="C31" t="str">
            <v>总计</v>
          </cell>
          <cell r="D31" t="str">
            <v>-</v>
          </cell>
          <cell r="E31" t="str">
            <v>-</v>
          </cell>
          <cell r="F31" t="str">
            <v>-</v>
          </cell>
          <cell r="G31">
            <v>0</v>
          </cell>
          <cell r="H31">
            <v>0</v>
          </cell>
        </row>
        <row r="31"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 t="str">
            <v>興華商場</v>
          </cell>
          <cell r="C32" t="str">
            <v>总计</v>
          </cell>
          <cell r="D32" t="str">
            <v>-</v>
          </cell>
          <cell r="E32" t="str">
            <v>-</v>
          </cell>
          <cell r="F32" t="str">
            <v>-</v>
          </cell>
          <cell r="G32">
            <v>0</v>
          </cell>
          <cell r="H32">
            <v>0</v>
          </cell>
        </row>
        <row r="32"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B33" t="str">
            <v>馬鞍山市集2場</v>
          </cell>
          <cell r="C33" t="str">
            <v>总计</v>
          </cell>
          <cell r="D33" t="str">
            <v>-</v>
          </cell>
          <cell r="E33" t="str">
            <v>-</v>
          </cell>
          <cell r="F33" t="str">
            <v>-</v>
          </cell>
          <cell r="G33">
            <v>2726.5</v>
          </cell>
          <cell r="H33">
            <v>2726.5</v>
          </cell>
          <cell r="I33">
            <v>61.9659090909091</v>
          </cell>
          <cell r="J33">
            <v>44</v>
          </cell>
          <cell r="K33">
            <v>21</v>
          </cell>
          <cell r="L33">
            <v>21</v>
          </cell>
          <cell r="M33">
            <v>22</v>
          </cell>
        </row>
        <row r="34">
          <cell r="B34" t="str">
            <v>总计</v>
          </cell>
          <cell r="C34" t="str">
            <v>总计</v>
          </cell>
          <cell r="D34" t="str">
            <v>-</v>
          </cell>
          <cell r="E34" t="str">
            <v>-</v>
          </cell>
          <cell r="F34" t="str">
            <v>-</v>
          </cell>
          <cell r="G34">
            <v>20921.8</v>
          </cell>
          <cell r="H34">
            <v>20921.8</v>
          </cell>
          <cell r="I34">
            <v>203.12427184466</v>
          </cell>
          <cell r="J34">
            <v>103</v>
          </cell>
          <cell r="K34">
            <v>59</v>
          </cell>
          <cell r="L34">
            <v>80</v>
          </cell>
          <cell r="M34">
            <v>64</v>
          </cell>
        </row>
        <row r="35">
          <cell r="B35" t="str">
            <v>总计</v>
          </cell>
          <cell r="C35" t="str">
            <v>总计</v>
          </cell>
          <cell r="D35" t="str">
            <v>-</v>
          </cell>
          <cell r="E35" t="str">
            <v>-</v>
          </cell>
          <cell r="F35" t="str">
            <v>-</v>
          </cell>
          <cell r="G35">
            <v>103511.191287284</v>
          </cell>
          <cell r="H35">
            <v>103511.191287284</v>
          </cell>
          <cell r="I35">
            <v>396.594602633272</v>
          </cell>
          <cell r="J35">
            <v>261</v>
          </cell>
          <cell r="K35">
            <v>125</v>
          </cell>
          <cell r="L35">
            <v>156</v>
          </cell>
          <cell r="M35">
            <v>133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W80"/>
  <sheetViews>
    <sheetView tabSelected="1" zoomScale="84" zoomScaleNormal="84" workbookViewId="0">
      <pane xSplit="12" ySplit="1" topLeftCell="M2" activePane="bottomRight" state="frozen"/>
      <selection activeCell="A1" sqref="A1"/>
      <selection pane="topRight" activeCell="A1" sqref="A1"/>
      <selection pane="bottomLeft" activeCell="A1" sqref="A1"/>
      <selection pane="bottomRight" activeCell="I8" sqref="I8"/>
    </sheetView>
  </sheetViews>
  <sheetFormatPr baseColWidth="8" defaultColWidth="10.8333333333333" defaultRowHeight="16" customHeight="1"/>
  <cols>
    <col width="19.8333333333333" customWidth="1" style="170" min="2" max="2"/>
    <col width="53.5" customWidth="1" style="170" min="3" max="3"/>
    <col hidden="1" width="16.5" customWidth="1" style="170" min="4" max="4"/>
    <col hidden="1" width="15.5" customWidth="1" style="170" min="5" max="5"/>
    <col hidden="1" width="14.8333333333333" customWidth="1" style="170" min="6" max="6"/>
    <col hidden="1" width="19.8333333333333" customWidth="1" style="170" min="7" max="7"/>
    <col width="14.8333333333333" customWidth="1" style="170" min="8" max="9"/>
    <col hidden="1" width="19.1666666666667" customWidth="1" style="170" min="10" max="10"/>
    <col hidden="1" width="14.5" customWidth="1" style="170" min="11" max="11"/>
    <col hidden="1" width="14" customWidth="1" style="327" min="12" max="12"/>
    <col hidden="1" width="13.1666666666667" customWidth="1" style="170" min="13" max="13"/>
    <col hidden="1" width="12.6666666666667" customWidth="1" style="327" min="14" max="14"/>
    <col hidden="1" width="9.66666666666667" customWidth="1" style="327" min="15" max="15"/>
    <col hidden="1" width="10.8333333333333" customWidth="1" style="327" min="16" max="16"/>
    <col hidden="1" width="7.33333333333333" customWidth="1" style="327" min="17" max="17"/>
    <col hidden="1" width="10.8333333333333" customWidth="1" style="327" min="18" max="18"/>
    <col hidden="1" width="11.5" customWidth="1" style="327" min="19" max="19"/>
    <col hidden="1" width="15.8333333333333" customWidth="1" style="327" min="20" max="20"/>
    <col hidden="1" width="14" customWidth="1" style="327" min="21" max="21"/>
    <col hidden="1" width="16" customWidth="1" style="327" min="22" max="22"/>
    <col hidden="1" width="13.6666666666667" customWidth="1" style="327" min="23" max="23"/>
    <col hidden="1" width="10.8333333333333" customWidth="1" style="327" min="24" max="39"/>
    <col width="10.8333333333333" customWidth="1" style="327" min="40" max="40"/>
    <col width="13.6666666666667" customWidth="1" style="327" min="41" max="41"/>
    <col width="10.8333333333333" customWidth="1" style="327" min="42" max="42"/>
    <col width="18.3333333333333" customWidth="1" style="327" min="43" max="43"/>
    <col width="13.6666666666667" customWidth="1" style="327" min="44" max="44"/>
    <col width="12.8333333333333" customWidth="1" style="327" min="45" max="45"/>
    <col width="18.3333333333333" customWidth="1" style="327" min="46" max="46"/>
    <col width="13.6666666666667" customWidth="1" style="327" min="47" max="47"/>
    <col width="12.8333333333333" customWidth="1" style="327" min="48" max="48"/>
    <col width="15.1666666666667" customWidth="1" style="327" min="49" max="49"/>
  </cols>
  <sheetData>
    <row r="1" s="327">
      <c r="A1" s="182" t="inlineStr">
        <is>
          <t>分类</t>
        </is>
      </c>
      <c r="B1" s="3" t="inlineStr">
        <is>
          <t>KOL</t>
        </is>
      </c>
      <c r="C1" s="3" t="inlineStr">
        <is>
          <t>备注</t>
        </is>
      </c>
      <c r="D1" s="3" t="inlineStr">
        <is>
          <t>2月例子数</t>
        </is>
      </c>
      <c r="E1" s="3" t="inlineStr">
        <is>
          <t>2月日均例子数</t>
        </is>
      </c>
      <c r="F1" s="3" t="inlineStr">
        <is>
          <t>截至5.20例子数</t>
        </is>
      </c>
      <c r="G1" s="3" t="inlineStr">
        <is>
          <t>截至5.20日均例子数</t>
        </is>
      </c>
      <c r="H1" s="3" t="inlineStr">
        <is>
          <t>6月-实际日均</t>
        </is>
      </c>
      <c r="I1" s="3" t="inlineStr">
        <is>
          <t>6月实际-合计</t>
        </is>
      </c>
      <c r="J1" s="281" t="n">
        <v>46174</v>
      </c>
      <c r="K1" s="281" t="n">
        <v>46175</v>
      </c>
      <c r="L1" s="281" t="n">
        <v>46176</v>
      </c>
      <c r="M1" s="281" t="n">
        <v>46177</v>
      </c>
      <c r="N1" s="281" t="n">
        <v>46178</v>
      </c>
      <c r="O1" s="281" t="n">
        <v>46179</v>
      </c>
      <c r="P1" s="281" t="n">
        <v>46180</v>
      </c>
      <c r="Q1" s="281" t="n">
        <v>46181</v>
      </c>
      <c r="R1" s="281" t="n">
        <v>46182</v>
      </c>
      <c r="S1" s="281" t="n">
        <v>46183</v>
      </c>
      <c r="T1" s="281" t="n">
        <v>46184</v>
      </c>
      <c r="U1" s="281" t="n">
        <v>46185</v>
      </c>
      <c r="V1" s="281" t="n">
        <v>46186</v>
      </c>
      <c r="W1" s="281" t="n">
        <v>46187</v>
      </c>
      <c r="X1" s="281" t="n">
        <v>46188</v>
      </c>
      <c r="Y1" s="281" t="n">
        <v>46189</v>
      </c>
      <c r="Z1" s="281" t="n">
        <v>46190</v>
      </c>
      <c r="AA1" s="281" t="n">
        <v>46191</v>
      </c>
      <c r="AB1" s="281" t="n">
        <v>46192</v>
      </c>
      <c r="AC1" s="281" t="n">
        <v>46193</v>
      </c>
      <c r="AD1" s="281" t="n">
        <v>46194</v>
      </c>
      <c r="AE1" s="281" t="n">
        <v>46195</v>
      </c>
      <c r="AF1" s="281" t="n">
        <v>46196</v>
      </c>
      <c r="AG1" s="281" t="n">
        <v>46197</v>
      </c>
      <c r="AH1" s="281" t="n">
        <v>46198</v>
      </c>
      <c r="AI1" s="281" t="n">
        <v>46199</v>
      </c>
      <c r="AJ1" s="281" t="n">
        <v>46200</v>
      </c>
      <c r="AK1" s="281" t="n">
        <v>46201</v>
      </c>
      <c r="AL1" s="281" t="n">
        <v>46202</v>
      </c>
      <c r="AM1" s="281" t="n">
        <v>46203</v>
      </c>
      <c r="AN1" s="182" t="inlineStr">
        <is>
          <t>MTD例子目标</t>
        </is>
      </c>
      <c r="AO1" s="182" t="inlineStr">
        <is>
          <t>实际例子达成</t>
        </is>
      </c>
      <c r="AP1" s="182" t="inlineStr">
        <is>
          <t>例子gap</t>
        </is>
      </c>
      <c r="AQ1" s="182" t="inlineStr">
        <is>
          <t>MTD约课例子目标</t>
        </is>
      </c>
      <c r="AR1" s="182" t="inlineStr">
        <is>
          <t>实际约课达成</t>
        </is>
      </c>
      <c r="AS1" s="182" t="inlineStr">
        <is>
          <t>约课例子gap</t>
        </is>
      </c>
      <c r="AT1" s="182" t="inlineStr">
        <is>
          <t>约课成本</t>
        </is>
      </c>
    </row>
    <row r="2" s="327">
      <c r="A2" s="178" t="inlineStr">
        <is>
          <t>KOL</t>
        </is>
      </c>
      <c r="B2" s="282" t="inlineStr">
        <is>
          <t>钟嘉欣图片</t>
        </is>
      </c>
      <c r="C2" s="283" t="n"/>
      <c r="D2" s="328" t="n"/>
      <c r="E2" s="328" t="n"/>
      <c r="F2" s="328" t="n">
        <v>202</v>
      </c>
      <c r="G2" s="328">
        <f>F2/20</f>
        <v/>
      </c>
      <c r="H2" s="328">
        <f>I2/30</f>
        <v/>
      </c>
      <c r="I2" s="3">
        <f>SUM(J2:AM2)</f>
        <v/>
      </c>
      <c r="J2" s="282" t="n">
        <v>9</v>
      </c>
      <c r="K2" s="282" t="n">
        <v>9</v>
      </c>
      <c r="L2" s="282" t="n">
        <v>10</v>
      </c>
      <c r="M2" s="282" t="n">
        <v>10</v>
      </c>
      <c r="N2" s="282" t="n">
        <v>10</v>
      </c>
      <c r="O2" s="282" t="n">
        <v>11</v>
      </c>
      <c r="P2" s="282" t="n">
        <v>11</v>
      </c>
      <c r="Q2" s="282" t="n">
        <v>9</v>
      </c>
      <c r="R2" s="282" t="n">
        <v>9</v>
      </c>
      <c r="S2" s="282" t="n">
        <v>10</v>
      </c>
      <c r="T2" s="282" t="n">
        <v>10</v>
      </c>
      <c r="U2" s="282" t="n">
        <v>10</v>
      </c>
      <c r="V2" s="282" t="n">
        <v>11</v>
      </c>
      <c r="W2" s="282" t="n">
        <v>11</v>
      </c>
      <c r="X2" s="282" t="n">
        <v>9</v>
      </c>
      <c r="Y2" s="282" t="n">
        <v>9</v>
      </c>
      <c r="Z2" s="282" t="n">
        <v>10</v>
      </c>
      <c r="AA2" s="282" t="n">
        <v>10</v>
      </c>
      <c r="AB2" s="282" t="n">
        <v>10</v>
      </c>
      <c r="AC2" s="282" t="n">
        <v>11</v>
      </c>
      <c r="AD2" s="282" t="n">
        <v>11</v>
      </c>
      <c r="AE2" s="282" t="n">
        <v>9</v>
      </c>
      <c r="AF2" s="282" t="n">
        <v>9</v>
      </c>
      <c r="AG2" s="282" t="n">
        <v>10</v>
      </c>
      <c r="AH2" s="282" t="n">
        <v>10</v>
      </c>
      <c r="AI2" s="282" t="n">
        <v>10</v>
      </c>
      <c r="AJ2" s="282" t="n">
        <v>11</v>
      </c>
      <c r="AK2" s="282" t="n">
        <v>11</v>
      </c>
      <c r="AL2" s="282" t="n">
        <v>10</v>
      </c>
      <c r="AM2" s="282" t="n">
        <v>10</v>
      </c>
      <c r="AN2" s="282">
        <f>J2+K2+L2+M2+N2+O2+P2</f>
        <v/>
      </c>
      <c r="AO2" s="282" t="n">
        <v>88</v>
      </c>
      <c r="AP2" s="182" t="n">
        <v>74</v>
      </c>
      <c r="AQ2" s="329">
        <f>AN2*55%</f>
        <v/>
      </c>
      <c r="AR2" s="282">
        <f>VLOOKUP(B2,[4]Sheet3!$B:$M,12,0)</f>
        <v/>
      </c>
      <c r="AS2" s="329" t="n">
        <v>45</v>
      </c>
      <c r="AT2" s="330">
        <f>VLOOKUP(B2,[4]Sheet3!$B:$O,14,0)</f>
        <v/>
      </c>
      <c r="AU2" t="n">
        <v>1040.113767263573</v>
      </c>
    </row>
    <row r="3" s="327">
      <c r="A3" s="331" t="n"/>
      <c r="B3" s="3" t="inlineStr">
        <is>
          <t>钟嘉欣视频1</t>
        </is>
      </c>
      <c r="C3" s="286" t="inlineStr">
        <is>
          <t>模型目标225（通过测试新素材提升至目标）</t>
        </is>
      </c>
      <c r="D3" s="328" t="n"/>
      <c r="E3" s="328" t="n"/>
      <c r="F3" s="328" t="n">
        <v>96</v>
      </c>
      <c r="G3" s="328">
        <f>F3/20</f>
        <v/>
      </c>
      <c r="H3" s="328">
        <f>I3/30</f>
        <v/>
      </c>
      <c r="I3" s="3">
        <f>SUM(J3:AM3)</f>
        <v/>
      </c>
      <c r="J3" s="282" t="n">
        <v>4</v>
      </c>
      <c r="K3" s="282" t="n">
        <v>5</v>
      </c>
      <c r="L3" s="282" t="n">
        <v>5</v>
      </c>
      <c r="M3" s="282" t="n">
        <v>5</v>
      </c>
      <c r="N3" s="282" t="n">
        <v>5</v>
      </c>
      <c r="O3" s="282" t="n">
        <v>5</v>
      </c>
      <c r="P3" s="282" t="n">
        <v>5</v>
      </c>
      <c r="Q3" s="282" t="n">
        <v>4</v>
      </c>
      <c r="R3" s="282" t="n">
        <v>5</v>
      </c>
      <c r="S3" s="282" t="n">
        <v>5</v>
      </c>
      <c r="T3" s="282" t="n">
        <v>5</v>
      </c>
      <c r="U3" s="282" t="n">
        <v>5</v>
      </c>
      <c r="V3" s="282" t="n">
        <v>5</v>
      </c>
      <c r="W3" s="282" t="n">
        <v>5</v>
      </c>
      <c r="X3" s="282" t="n">
        <v>4</v>
      </c>
      <c r="Y3" s="282" t="n">
        <v>5</v>
      </c>
      <c r="Z3" s="282" t="n">
        <v>5</v>
      </c>
      <c r="AA3" s="282" t="n">
        <v>5</v>
      </c>
      <c r="AB3" s="282" t="n">
        <v>5</v>
      </c>
      <c r="AC3" s="282" t="n">
        <v>5</v>
      </c>
      <c r="AD3" s="282" t="n">
        <v>5</v>
      </c>
      <c r="AE3" s="282" t="n">
        <v>4</v>
      </c>
      <c r="AF3" s="282" t="n">
        <v>5</v>
      </c>
      <c r="AG3" s="282" t="n">
        <v>5</v>
      </c>
      <c r="AH3" s="282" t="n">
        <v>5</v>
      </c>
      <c r="AI3" s="282" t="n">
        <v>5</v>
      </c>
      <c r="AJ3" s="282" t="n">
        <v>5</v>
      </c>
      <c r="AK3" s="282" t="n">
        <v>5</v>
      </c>
      <c r="AL3" s="282" t="n">
        <v>4</v>
      </c>
      <c r="AM3" s="282" t="n">
        <v>5</v>
      </c>
      <c r="AN3" s="282">
        <f>J3+K3+L3+M3+N3+O3+P3</f>
        <v/>
      </c>
      <c r="AO3" s="282" t="n">
        <v>43</v>
      </c>
      <c r="AP3" s="287" t="n">
        <v>62</v>
      </c>
      <c r="AQ3" s="329">
        <f>AN3*55%</f>
        <v/>
      </c>
      <c r="AR3" s="282">
        <f>VLOOKUP(B3,[4]Sheet3!$B:$M,12,0)</f>
        <v/>
      </c>
      <c r="AS3" s="329" t="n">
        <v>18</v>
      </c>
      <c r="AT3" s="330">
        <f>VLOOKUP(B3,[4]Sheet3!$B:$O,14,0)</f>
        <v/>
      </c>
      <c r="AU3" t="n">
        <v>1787.292263754303</v>
      </c>
    </row>
    <row r="4" s="327">
      <c r="A4" s="331" t="n"/>
      <c r="B4" s="3" t="inlineStr">
        <is>
          <t>钟嘉欣视频</t>
        </is>
      </c>
      <c r="C4" s="286" t="inlineStr">
        <is>
          <t>预估每天4条</t>
        </is>
      </c>
      <c r="D4" s="328" t="n"/>
      <c r="E4" s="328" t="n"/>
      <c r="F4" s="328" t="n"/>
      <c r="G4" s="328" t="n"/>
      <c r="H4" s="328">
        <f>I4/30</f>
        <v/>
      </c>
      <c r="I4" s="3">
        <f>SUM(J4:AM4)</f>
        <v/>
      </c>
      <c r="J4" s="3" t="n">
        <v>4</v>
      </c>
      <c r="K4" s="3" t="n">
        <v>4</v>
      </c>
      <c r="L4" s="3" t="n">
        <v>4</v>
      </c>
      <c r="M4" s="3" t="n">
        <v>4</v>
      </c>
      <c r="N4" s="3" t="n">
        <v>4</v>
      </c>
      <c r="O4" s="3" t="n">
        <v>4</v>
      </c>
      <c r="P4" s="3" t="n">
        <v>4</v>
      </c>
      <c r="Q4" s="3" t="n">
        <v>4</v>
      </c>
      <c r="R4" s="3" t="n">
        <v>4</v>
      </c>
      <c r="S4" s="3" t="n">
        <v>4</v>
      </c>
      <c r="T4" s="3" t="n">
        <v>4</v>
      </c>
      <c r="U4" s="3" t="n">
        <v>4</v>
      </c>
      <c r="V4" s="3" t="n">
        <v>4</v>
      </c>
      <c r="W4" s="3" t="n">
        <v>4</v>
      </c>
      <c r="X4" s="3" t="n">
        <v>4</v>
      </c>
      <c r="Y4" s="3" t="n">
        <v>4</v>
      </c>
      <c r="Z4" s="3" t="n">
        <v>4</v>
      </c>
      <c r="AA4" s="3" t="n">
        <v>4</v>
      </c>
      <c r="AB4" s="3" t="n">
        <v>4</v>
      </c>
      <c r="AC4" s="3" t="n">
        <v>4</v>
      </c>
      <c r="AD4" s="3" t="n">
        <v>4</v>
      </c>
      <c r="AE4" s="3" t="n">
        <v>4</v>
      </c>
      <c r="AF4" s="3" t="n">
        <v>4</v>
      </c>
      <c r="AG4" s="3" t="n">
        <v>4</v>
      </c>
      <c r="AH4" s="3" t="n">
        <v>4</v>
      </c>
      <c r="AI4" s="3" t="n">
        <v>4</v>
      </c>
      <c r="AJ4" s="3" t="n">
        <v>4</v>
      </c>
      <c r="AK4" s="3" t="n">
        <v>4</v>
      </c>
      <c r="AL4" s="3" t="n">
        <v>4</v>
      </c>
      <c r="AM4" s="3" t="n">
        <v>4</v>
      </c>
      <c r="AN4" s="282">
        <f>J4+K4+L4+M4+N4+O4+P4</f>
        <v/>
      </c>
      <c r="AO4" s="282" t="n">
        <v>36</v>
      </c>
      <c r="AP4" s="287" t="n">
        <v>55</v>
      </c>
      <c r="AQ4" s="329">
        <f>AN4*55%</f>
        <v/>
      </c>
      <c r="AR4" s="282">
        <f>VLOOKUP(B4,[4]Sheet3!$B:$M,12,0)</f>
        <v/>
      </c>
      <c r="AS4" s="329" t="n">
        <v>20</v>
      </c>
      <c r="AT4" s="330">
        <f>VLOOKUP(B4,[4]Sheet3!$B:$O,14,0)</f>
        <v/>
      </c>
      <c r="AU4" t="n">
        <v>1074.0415</v>
      </c>
    </row>
    <row r="5" s="327">
      <c r="A5" s="331" t="n"/>
      <c r="B5" s="3" t="inlineStr">
        <is>
          <t>其他汇总</t>
        </is>
      </c>
      <c r="C5" s="286" t="n"/>
      <c r="D5" s="328" t="n"/>
      <c r="E5" s="328" t="n"/>
      <c r="F5" s="328" t="n">
        <v>27</v>
      </c>
      <c r="G5" s="328">
        <f>F5/20</f>
        <v/>
      </c>
      <c r="H5" s="328">
        <f>I5/30</f>
        <v/>
      </c>
      <c r="I5" s="3">
        <f>SUM(J5:AM5)</f>
        <v/>
      </c>
      <c r="J5" s="3" t="n">
        <v>1</v>
      </c>
      <c r="K5" s="3" t="n">
        <v>1</v>
      </c>
      <c r="L5" s="3" t="n">
        <v>1</v>
      </c>
      <c r="M5" s="3" t="n">
        <v>1</v>
      </c>
      <c r="N5" s="3" t="n">
        <v>1</v>
      </c>
      <c r="O5" s="3" t="n">
        <v>1</v>
      </c>
      <c r="P5" s="3" t="n">
        <v>1</v>
      </c>
      <c r="Q5" s="3" t="n">
        <v>1</v>
      </c>
      <c r="R5" s="3" t="n">
        <v>1</v>
      </c>
      <c r="S5" s="3" t="n">
        <v>1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1</v>
      </c>
      <c r="Z5" s="3" t="n">
        <v>1</v>
      </c>
      <c r="AA5" s="3" t="n">
        <v>1</v>
      </c>
      <c r="AB5" s="3" t="n">
        <v>1</v>
      </c>
      <c r="AC5" s="3" t="n">
        <v>1</v>
      </c>
      <c r="AD5" s="3" t="n">
        <v>1</v>
      </c>
      <c r="AE5" s="3" t="n">
        <v>1</v>
      </c>
      <c r="AF5" s="3" t="n">
        <v>1</v>
      </c>
      <c r="AG5" s="3" t="n">
        <v>1</v>
      </c>
      <c r="AH5" s="3" t="n">
        <v>1</v>
      </c>
      <c r="AI5" s="3" t="n">
        <v>1</v>
      </c>
      <c r="AJ5" s="3" t="n">
        <v>1</v>
      </c>
      <c r="AK5" s="3" t="n">
        <v>1</v>
      </c>
      <c r="AL5" s="3" t="n">
        <v>1</v>
      </c>
      <c r="AM5" s="3" t="n">
        <v>1</v>
      </c>
      <c r="AN5" s="282">
        <f>J5+K5+L5+M5+N5+O5+P5</f>
        <v/>
      </c>
      <c r="AO5" s="282" t="n">
        <v>9</v>
      </c>
      <c r="AP5" s="182" t="n">
        <v>9</v>
      </c>
      <c r="AQ5" s="329">
        <f>AN5*55%</f>
        <v/>
      </c>
      <c r="AR5" s="282" t="n">
        <v>4</v>
      </c>
      <c r="AS5" s="329" t="n">
        <v>5</v>
      </c>
      <c r="AT5" s="330" t="n"/>
      <c r="AU5" t="n">
        <v>1079.964208</v>
      </c>
    </row>
    <row r="6" customFormat="1" s="280">
      <c r="A6" s="332" t="n"/>
      <c r="B6" s="1" t="inlineStr">
        <is>
          <t>KOL-汇总</t>
        </is>
      </c>
      <c r="C6" s="1" t="n"/>
      <c r="D6" s="288" t="n"/>
      <c r="E6" s="333" t="n"/>
      <c r="F6" s="288">
        <f>SUM(F2:F5)</f>
        <v/>
      </c>
      <c r="G6" s="333">
        <f>F6/20</f>
        <v/>
      </c>
      <c r="H6" s="333">
        <f>I6/30</f>
        <v/>
      </c>
      <c r="I6" s="1">
        <f>SUM(J6:AM6)</f>
        <v/>
      </c>
      <c r="J6" s="1">
        <f>SUM(J2:J5)</f>
        <v/>
      </c>
      <c r="K6" s="1">
        <f>SUM(K2:K5)</f>
        <v/>
      </c>
      <c r="L6" s="1">
        <f>SUM(L2:L5)</f>
        <v/>
      </c>
      <c r="M6" s="1">
        <f>SUM(M2:M5)</f>
        <v/>
      </c>
      <c r="N6" s="1">
        <f>SUM(N2:N5)</f>
        <v/>
      </c>
      <c r="O6" s="1">
        <f>SUM(O2:O5)</f>
        <v/>
      </c>
      <c r="P6" s="1">
        <f>SUM(P2:P5)</f>
        <v/>
      </c>
      <c r="Q6" s="1">
        <f>SUM(Q2:Q5)</f>
        <v/>
      </c>
      <c r="R6" s="1">
        <f>SUM(R2:R5)</f>
        <v/>
      </c>
      <c r="S6" s="1">
        <f>SUM(S2:S5)</f>
        <v/>
      </c>
      <c r="T6" s="1">
        <f>SUM(T2:T5)</f>
        <v/>
      </c>
      <c r="U6" s="1">
        <f>SUM(U2:U5)</f>
        <v/>
      </c>
      <c r="V6" s="1">
        <f>SUM(V2:V5)</f>
        <v/>
      </c>
      <c r="W6" s="1">
        <f>SUM(W2:W5)</f>
        <v/>
      </c>
      <c r="X6" s="1">
        <f>SUM(X2:X5)</f>
        <v/>
      </c>
      <c r="Y6" s="1">
        <f>SUM(Y2:Y5)</f>
        <v/>
      </c>
      <c r="Z6" s="1">
        <f>SUM(Z2:Z5)</f>
        <v/>
      </c>
      <c r="AA6" s="1">
        <f>SUM(AA2:AA5)</f>
        <v/>
      </c>
      <c r="AB6" s="1">
        <f>SUM(AB2:AB5)</f>
        <v/>
      </c>
      <c r="AC6" s="1">
        <f>SUM(AC2:AC5)</f>
        <v/>
      </c>
      <c r="AD6" s="1">
        <f>SUM(AD2:AD5)</f>
        <v/>
      </c>
      <c r="AE6" s="1">
        <f>SUM(AE2:AE5)</f>
        <v/>
      </c>
      <c r="AF6" s="1">
        <f>SUM(AF2:AF5)</f>
        <v/>
      </c>
      <c r="AG6" s="1">
        <f>SUM(AG2:AG5)</f>
        <v/>
      </c>
      <c r="AH6" s="1">
        <f>SUM(AH2:AH5)</f>
        <v/>
      </c>
      <c r="AI6" s="1">
        <f>SUM(AI2:AI5)</f>
        <v/>
      </c>
      <c r="AJ6" s="1">
        <f>SUM(AJ2:AJ5)</f>
        <v/>
      </c>
      <c r="AK6" s="1">
        <f>SUM(AK2:AK5)</f>
        <v/>
      </c>
      <c r="AL6" s="1">
        <f>SUM(AL2:AL5)</f>
        <v/>
      </c>
      <c r="AM6" s="1">
        <f>SUM(AM2:AM5)</f>
        <v/>
      </c>
      <c r="AN6" s="1">
        <f>SUM(AN2:AN5)</f>
        <v/>
      </c>
      <c r="AO6" s="1">
        <f>SUM(AO2:AO5)</f>
        <v/>
      </c>
      <c r="AP6" s="290" t="n">
        <v>200</v>
      </c>
      <c r="AQ6" s="334">
        <f>AN6*0.55</f>
        <v/>
      </c>
      <c r="AR6" s="1">
        <f>SUM(AR2:AR5)</f>
        <v/>
      </c>
      <c r="AS6" s="334" t="n">
        <v>88</v>
      </c>
      <c r="AT6" s="334" t="n">
        <v>1236.96047404976</v>
      </c>
      <c r="AU6" t="n">
        <v>1202.920810391343</v>
      </c>
    </row>
    <row r="7" s="327">
      <c r="A7" s="178" t="inlineStr">
        <is>
          <t>独立站HK</t>
        </is>
      </c>
      <c r="B7" s="3" t="inlineStr">
        <is>
          <t>出席礼品测试</t>
        </is>
      </c>
      <c r="C7" s="3" t="inlineStr">
        <is>
          <t>参考51talk，预估一个月30条</t>
        </is>
      </c>
      <c r="D7" s="2" t="n"/>
      <c r="E7" s="335" t="n"/>
      <c r="F7" s="2" t="n"/>
      <c r="G7" s="335" t="n"/>
      <c r="H7" s="328">
        <f>I7/30</f>
        <v/>
      </c>
      <c r="I7" s="3">
        <f>SUM(J7:AM7)</f>
        <v/>
      </c>
      <c r="J7" s="3" t="n"/>
      <c r="K7" s="3" t="n"/>
      <c r="L7" s="3" t="n"/>
      <c r="M7" s="3" t="n"/>
      <c r="N7" s="3" t="n"/>
      <c r="O7" s="3" t="n"/>
      <c r="P7" s="3" t="n">
        <v>1</v>
      </c>
      <c r="Q7" s="3" t="n">
        <v>1</v>
      </c>
      <c r="R7" s="3" t="n">
        <v>1</v>
      </c>
      <c r="S7" s="3" t="n">
        <v>1</v>
      </c>
      <c r="T7" s="3" t="n">
        <v>2</v>
      </c>
      <c r="U7" s="3" t="n">
        <v>2</v>
      </c>
      <c r="V7" s="3" t="n">
        <v>1</v>
      </c>
      <c r="W7" s="3" t="n">
        <v>1</v>
      </c>
      <c r="X7" s="3" t="n">
        <v>1</v>
      </c>
      <c r="Y7" s="3" t="n">
        <v>1</v>
      </c>
      <c r="Z7" s="3" t="n">
        <v>1</v>
      </c>
      <c r="AA7" s="3" t="n">
        <v>2</v>
      </c>
      <c r="AB7" s="3" t="n">
        <v>2</v>
      </c>
      <c r="AC7" s="3" t="n">
        <v>1</v>
      </c>
      <c r="AD7" s="3" t="n">
        <v>1</v>
      </c>
      <c r="AE7" s="3" t="n">
        <v>1</v>
      </c>
      <c r="AF7" s="3" t="n">
        <v>1</v>
      </c>
      <c r="AG7" s="3" t="n">
        <v>1</v>
      </c>
      <c r="AH7" s="3" t="n">
        <v>2</v>
      </c>
      <c r="AI7" s="3" t="n">
        <v>2</v>
      </c>
      <c r="AJ7" s="3" t="n">
        <v>1</v>
      </c>
      <c r="AK7" s="3" t="n">
        <v>1</v>
      </c>
      <c r="AL7" s="3" t="n">
        <v>1</v>
      </c>
      <c r="AM7" s="3" t="n">
        <v>1</v>
      </c>
      <c r="AN7" s="282">
        <f>J7+K7+L7+M7+N7+O7+P7</f>
        <v/>
      </c>
      <c r="AO7" s="3" t="n">
        <v>3</v>
      </c>
      <c r="AP7" s="182" t="n">
        <v>4</v>
      </c>
      <c r="AQ7" s="336">
        <f>AN7*0.6</f>
        <v/>
      </c>
      <c r="AR7" s="3" t="n">
        <v>2</v>
      </c>
      <c r="AS7" s="329" t="n">
        <v>2</v>
      </c>
      <c r="AT7" s="329" t="n"/>
      <c r="AU7" t="n">
        <v>432.9756144</v>
      </c>
    </row>
    <row r="8" s="327">
      <c r="A8" s="332" t="n"/>
      <c r="B8" s="296" t="inlineStr">
        <is>
          <t>edm</t>
        </is>
      </c>
      <c r="C8" s="296" t="inlineStr">
        <is>
          <t>正在走流程，预估月底上线</t>
        </is>
      </c>
      <c r="D8" s="2" t="n"/>
      <c r="E8" s="337" t="n"/>
      <c r="F8" s="335" t="n"/>
      <c r="G8" s="335" t="n"/>
      <c r="H8" s="335" t="n"/>
      <c r="I8" s="3">
        <f>SUM(J8:AM8)</f>
        <v/>
      </c>
      <c r="J8" s="2" t="n"/>
      <c r="K8" s="3" t="n"/>
      <c r="L8" s="182" t="n"/>
      <c r="M8" s="182" t="n"/>
      <c r="N8" s="3" t="n"/>
      <c r="O8" s="182" t="n"/>
      <c r="P8" s="182" t="n"/>
      <c r="Q8" s="182" t="n"/>
      <c r="R8" s="3" t="n"/>
      <c r="S8" s="182" t="n"/>
      <c r="T8" s="182" t="n"/>
      <c r="U8" s="3" t="n"/>
      <c r="V8" s="182" t="n"/>
      <c r="W8" s="182" t="n"/>
      <c r="X8" s="182" t="n"/>
      <c r="Y8" s="3" t="n"/>
      <c r="Z8" s="182" t="n"/>
      <c r="AA8" s="182" t="n"/>
      <c r="AB8" s="3" t="n"/>
      <c r="AC8" s="182" t="n"/>
      <c r="AD8" s="182" t="n">
        <v>1</v>
      </c>
      <c r="AE8" s="182" t="n">
        <v>1</v>
      </c>
      <c r="AF8" s="3" t="n">
        <v>1</v>
      </c>
      <c r="AG8" s="182" t="n">
        <v>1</v>
      </c>
      <c r="AH8" s="182" t="n">
        <v>1</v>
      </c>
      <c r="AI8" s="3" t="n">
        <v>1</v>
      </c>
      <c r="AJ8" s="182" t="n">
        <v>1</v>
      </c>
      <c r="AK8" s="182" t="n">
        <v>1</v>
      </c>
      <c r="AL8" s="182" t="n">
        <v>1</v>
      </c>
      <c r="AM8" s="182" t="n">
        <v>1</v>
      </c>
      <c r="AN8" s="282">
        <f>J8+K8+L8+M8+N8+O8+P8</f>
        <v/>
      </c>
      <c r="AO8" s="182" t="n">
        <v>0</v>
      </c>
      <c r="AP8" s="182" t="n">
        <v>0</v>
      </c>
      <c r="AQ8" s="336">
        <f>AN8*0.6</f>
        <v/>
      </c>
      <c r="AR8" s="182" t="n"/>
      <c r="AS8" s="329" t="n">
        <v>0</v>
      </c>
      <c r="AT8" s="329" t="n"/>
    </row>
    <row r="9" s="327">
      <c r="A9" s="178" t="inlineStr">
        <is>
          <t>商超&amp;社群</t>
        </is>
      </c>
      <c r="B9" s="296" t="inlineStr">
        <is>
          <t>代理商场</t>
        </is>
      </c>
      <c r="C9" s="296" t="inlineStr">
        <is>
          <t>代理商场（预计8+1，合计9）</t>
        </is>
      </c>
      <c r="D9" s="2" t="n"/>
      <c r="E9" s="337" t="n"/>
      <c r="F9" s="335" t="n"/>
      <c r="G9" s="335" t="n"/>
      <c r="H9" s="335" t="n"/>
      <c r="I9" s="3">
        <f>SUM(J9:AM9)</f>
        <v/>
      </c>
      <c r="J9" s="2" t="n"/>
      <c r="K9" s="3" t="n"/>
      <c r="L9" s="182" t="n"/>
      <c r="M9" s="182" t="n"/>
      <c r="N9" s="3" t="n">
        <v>10</v>
      </c>
      <c r="O9" s="182" t="n">
        <v>50</v>
      </c>
      <c r="P9" s="182" t="n">
        <v>50</v>
      </c>
      <c r="Q9" s="182" t="n"/>
      <c r="R9" s="3" t="n"/>
      <c r="S9" s="182" t="n"/>
      <c r="T9" s="182" t="n"/>
      <c r="U9" s="3" t="n">
        <v>20</v>
      </c>
      <c r="V9" s="182" t="n">
        <v>40</v>
      </c>
      <c r="W9" s="182" t="n">
        <v>40</v>
      </c>
      <c r="X9" s="182" t="n">
        <v>20</v>
      </c>
      <c r="Y9" s="3" t="n"/>
      <c r="Z9" s="182" t="n"/>
      <c r="AA9" s="182" t="n">
        <v>20</v>
      </c>
      <c r="AB9" s="3" t="n">
        <v>40</v>
      </c>
      <c r="AC9" s="182" t="n">
        <v>40</v>
      </c>
      <c r="AD9" s="182" t="n">
        <v>20</v>
      </c>
      <c r="AE9" s="182" t="n">
        <v>20</v>
      </c>
      <c r="AF9" s="3" t="n"/>
      <c r="AG9" s="182" t="n"/>
      <c r="AH9" s="182" t="n">
        <v>20</v>
      </c>
      <c r="AI9" s="3" t="n">
        <v>20</v>
      </c>
      <c r="AJ9" s="182" t="n">
        <v>40</v>
      </c>
      <c r="AK9" s="182" t="n">
        <v>20</v>
      </c>
      <c r="AL9" s="182" t="n"/>
      <c r="AM9" s="182" t="n"/>
      <c r="AN9" s="282">
        <f>J9+K9+L9+M9+N9+O9+P9</f>
        <v/>
      </c>
      <c r="AO9" s="182" t="n">
        <v>110</v>
      </c>
      <c r="AP9" s="182" t="n">
        <v>103</v>
      </c>
      <c r="AQ9" s="329">
        <f>AN9*0.78</f>
        <v/>
      </c>
      <c r="AR9" s="182" t="n">
        <v>64</v>
      </c>
      <c r="AS9" s="329" t="n">
        <v>73</v>
      </c>
      <c r="AT9" s="329" t="n"/>
      <c r="AU9" t="n">
        <v>304.2821917808219</v>
      </c>
    </row>
    <row r="10" customFormat="1" s="280">
      <c r="A10" s="331" t="n"/>
      <c r="B10" s="296" t="inlineStr">
        <is>
          <t>澳門展会</t>
        </is>
      </c>
      <c r="C10" s="296" t="n"/>
      <c r="D10" s="2" t="n"/>
      <c r="E10" s="335" t="n"/>
      <c r="F10" s="2" t="n"/>
      <c r="G10" s="328" t="n"/>
      <c r="H10" s="335" t="n"/>
      <c r="I10" s="3">
        <f>SUM(J10:AM10)</f>
        <v/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>
        <v>20</v>
      </c>
      <c r="V10" s="2" t="n">
        <v>40</v>
      </c>
      <c r="W10" s="2" t="n">
        <v>40</v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82">
        <f>J10+K10+L10+M10+N10+O10+P10</f>
        <v/>
      </c>
      <c r="AO10" s="2" t="n">
        <v>0</v>
      </c>
      <c r="AP10" s="182" t="n">
        <v>0</v>
      </c>
      <c r="AQ10" s="329">
        <f>AN10*0.78</f>
        <v/>
      </c>
      <c r="AR10" s="2" t="n"/>
      <c r="AS10" s="329" t="n">
        <v>0</v>
      </c>
      <c r="AT10" s="182" t="n"/>
    </row>
    <row r="11" customFormat="1" s="280">
      <c r="A11" s="331" t="n"/>
      <c r="B11" s="296" t="inlineStr">
        <is>
          <t>代理人汇总</t>
        </is>
      </c>
      <c r="C11" s="296" t="n"/>
      <c r="D11" s="2" t="n"/>
      <c r="E11" s="335" t="n"/>
      <c r="F11" s="2" t="n">
        <v>20</v>
      </c>
      <c r="G11" s="328">
        <f>F11/20</f>
        <v/>
      </c>
      <c r="H11" s="335">
        <f>I11/31</f>
        <v/>
      </c>
      <c r="I11" s="3">
        <f>SUM(J11:AM11)</f>
        <v/>
      </c>
      <c r="J11" s="2" t="n">
        <v>1</v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1</v>
      </c>
      <c r="R11" s="2" t="n">
        <v>1</v>
      </c>
      <c r="S11" s="2" t="n">
        <v>1</v>
      </c>
      <c r="T11" s="2" t="n">
        <v>1</v>
      </c>
      <c r="U11" s="2" t="n">
        <v>1</v>
      </c>
      <c r="V11" s="2" t="n">
        <v>1</v>
      </c>
      <c r="W11" s="2" t="n">
        <v>1</v>
      </c>
      <c r="X11" s="2" t="n">
        <v>1</v>
      </c>
      <c r="Y11" s="2" t="n">
        <v>1</v>
      </c>
      <c r="Z11" s="2" t="n">
        <v>1</v>
      </c>
      <c r="AA11" s="2" t="n">
        <v>1</v>
      </c>
      <c r="AB11" s="2" t="n">
        <v>1</v>
      </c>
      <c r="AC11" s="2" t="n">
        <v>1</v>
      </c>
      <c r="AD11" s="2" t="n">
        <v>1</v>
      </c>
      <c r="AE11" s="2" t="n">
        <v>1</v>
      </c>
      <c r="AF11" s="2" t="n">
        <v>1</v>
      </c>
      <c r="AG11" s="2" t="n">
        <v>1</v>
      </c>
      <c r="AH11" s="2" t="n">
        <v>1</v>
      </c>
      <c r="AI11" s="2" t="n">
        <v>1</v>
      </c>
      <c r="AJ11" s="2" t="n">
        <v>1</v>
      </c>
      <c r="AK11" s="2" t="n">
        <v>1</v>
      </c>
      <c r="AL11" s="2" t="n">
        <v>1</v>
      </c>
      <c r="AM11" s="2" t="n">
        <v>1</v>
      </c>
      <c r="AN11" s="282">
        <f>J11+K11+L11+M11+N11+O11+P11</f>
        <v/>
      </c>
      <c r="AO11" s="2" t="n">
        <v>9</v>
      </c>
      <c r="AP11" s="287" t="n">
        <v>3</v>
      </c>
      <c r="AQ11" s="336">
        <f>AN11*0.6</f>
        <v/>
      </c>
      <c r="AR11" s="2" t="n">
        <v>1</v>
      </c>
      <c r="AS11" s="329" t="n">
        <v>1</v>
      </c>
      <c r="AT11" s="182" t="n"/>
      <c r="AU11" t="n">
        <v>0</v>
      </c>
    </row>
    <row r="12" customFormat="1" s="280">
      <c r="A12" s="332" t="n"/>
      <c r="B12" s="298" t="inlineStr">
        <is>
          <t>合计</t>
        </is>
      </c>
      <c r="C12" s="298" t="n"/>
      <c r="D12" s="288" t="n"/>
      <c r="E12" s="288" t="n"/>
      <c r="F12" s="288" t="n"/>
      <c r="G12" s="288" t="n"/>
      <c r="H12" s="288" t="n"/>
      <c r="I12" s="288">
        <f>SUM(I9:I11)</f>
        <v/>
      </c>
      <c r="J12" s="288">
        <f>SUM(J9:J11)</f>
        <v/>
      </c>
      <c r="K12" s="288">
        <f>SUM(K9:K11)</f>
        <v/>
      </c>
      <c r="L12" s="288">
        <f>SUM(L9:L11)</f>
        <v/>
      </c>
      <c r="M12" s="288">
        <f>SUM(M9:M11)</f>
        <v/>
      </c>
      <c r="N12" s="288">
        <f>SUM(N9:N11)</f>
        <v/>
      </c>
      <c r="O12" s="288">
        <f>SUM(O9:O11)</f>
        <v/>
      </c>
      <c r="P12" s="288">
        <f>SUM(P9:P11)</f>
        <v/>
      </c>
      <c r="Q12" s="288">
        <f>SUM(Q9:Q11)</f>
        <v/>
      </c>
      <c r="R12" s="288">
        <f>SUM(R9:R11)</f>
        <v/>
      </c>
      <c r="S12" s="288">
        <f>SUM(S9:S11)</f>
        <v/>
      </c>
      <c r="T12" s="288">
        <f>SUM(T9:T11)</f>
        <v/>
      </c>
      <c r="U12" s="288">
        <f>SUM(U9:U11)</f>
        <v/>
      </c>
      <c r="V12" s="288">
        <f>SUM(V9:V11)</f>
        <v/>
      </c>
      <c r="W12" s="288">
        <f>SUM(W9:W11)</f>
        <v/>
      </c>
      <c r="X12" s="288">
        <f>SUM(X9:X11)</f>
        <v/>
      </c>
      <c r="Y12" s="288">
        <f>SUM(Y9:Y11)</f>
        <v/>
      </c>
      <c r="Z12" s="288">
        <f>SUM(Z9:Z11)</f>
        <v/>
      </c>
      <c r="AA12" s="288">
        <f>SUM(AA9:AA11)</f>
        <v/>
      </c>
      <c r="AB12" s="288">
        <f>SUM(AB9:AB11)</f>
        <v/>
      </c>
      <c r="AC12" s="288">
        <f>SUM(AC9:AC11)</f>
        <v/>
      </c>
      <c r="AD12" s="288">
        <f>SUM(AD9:AD11)</f>
        <v/>
      </c>
      <c r="AE12" s="288">
        <f>SUM(AE9:AE11)</f>
        <v/>
      </c>
      <c r="AF12" s="288">
        <f>SUM(AF9:AF11)</f>
        <v/>
      </c>
      <c r="AG12" s="288">
        <f>SUM(AG9:AG11)</f>
        <v/>
      </c>
      <c r="AH12" s="288">
        <f>SUM(AH9:AH11)</f>
        <v/>
      </c>
      <c r="AI12" s="288">
        <f>SUM(AI9:AI11)</f>
        <v/>
      </c>
      <c r="AJ12" s="288">
        <f>SUM(AJ9:AJ11)</f>
        <v/>
      </c>
      <c r="AK12" s="288">
        <f>SUM(AK9:AK11)</f>
        <v/>
      </c>
      <c r="AL12" s="288">
        <f>SUM(AL9:AL11)</f>
        <v/>
      </c>
      <c r="AM12" s="288">
        <f>SUM(AM9:AM11)</f>
        <v/>
      </c>
      <c r="AN12" s="288">
        <f>SUM(AN7:AN11)</f>
        <v/>
      </c>
      <c r="AO12" s="288">
        <f>SUM(AO7:AO11)</f>
        <v/>
      </c>
      <c r="AP12" s="288" t="n">
        <v>106</v>
      </c>
      <c r="AQ12" s="338">
        <f>SUM(AQ7:AQ11)</f>
        <v/>
      </c>
      <c r="AR12" s="288">
        <f>SUM(AR7:AR11)</f>
        <v/>
      </c>
      <c r="AS12" s="288" t="n">
        <v>74</v>
      </c>
      <c r="AT12" s="290" t="n"/>
      <c r="AU12" t="n">
        <v>300.1702702702702</v>
      </c>
    </row>
    <row r="13" s="327">
      <c r="A13" s="182" t="n"/>
      <c r="B13" s="3" t="inlineStr">
        <is>
          <t>合计</t>
        </is>
      </c>
      <c r="C13" s="3" t="n"/>
      <c r="D13" s="2" t="n"/>
      <c r="E13" s="2" t="n"/>
      <c r="F13" s="2" t="n"/>
      <c r="G13" s="2" t="n"/>
      <c r="H13" s="2" t="n"/>
      <c r="I13" s="182">
        <f>I12+I6+I7+I8</f>
        <v/>
      </c>
      <c r="J13" s="182">
        <f>J12+J6</f>
        <v/>
      </c>
      <c r="K13" s="182">
        <f>K12+K6</f>
        <v/>
      </c>
      <c r="L13" s="182">
        <f>L12+L6</f>
        <v/>
      </c>
      <c r="M13" s="182">
        <f>M12+M6</f>
        <v/>
      </c>
      <c r="N13" s="182">
        <f>N12+N6</f>
        <v/>
      </c>
      <c r="O13" s="182">
        <f>O12+O6</f>
        <v/>
      </c>
      <c r="P13" s="182">
        <f>P12+P6</f>
        <v/>
      </c>
      <c r="Q13" s="182">
        <f>Q12+Q6</f>
        <v/>
      </c>
      <c r="R13" s="182">
        <f>R12+R6</f>
        <v/>
      </c>
      <c r="S13" s="182">
        <f>S12+S6</f>
        <v/>
      </c>
      <c r="T13" s="182">
        <f>T12+T6</f>
        <v/>
      </c>
      <c r="U13" s="182">
        <f>U12+U6</f>
        <v/>
      </c>
      <c r="V13" s="182">
        <f>V12+V6</f>
        <v/>
      </c>
      <c r="W13" s="182">
        <f>W12+W6</f>
        <v/>
      </c>
      <c r="X13" s="182">
        <f>X12+X6</f>
        <v/>
      </c>
      <c r="Y13" s="182">
        <f>Y12+Y6</f>
        <v/>
      </c>
      <c r="Z13" s="182">
        <f>Z12+Z6</f>
        <v/>
      </c>
      <c r="AA13" s="182">
        <f>AA12+AA6</f>
        <v/>
      </c>
      <c r="AB13" s="182">
        <f>AB12+AB6</f>
        <v/>
      </c>
      <c r="AC13" s="182">
        <f>AC12+AC6</f>
        <v/>
      </c>
      <c r="AD13" s="182">
        <f>AD12+AD6</f>
        <v/>
      </c>
      <c r="AE13" s="182">
        <f>AE12+AE6</f>
        <v/>
      </c>
      <c r="AF13" s="182">
        <f>AF12+AF6</f>
        <v/>
      </c>
      <c r="AG13" s="182">
        <f>AG12+AG6</f>
        <v/>
      </c>
      <c r="AH13" s="182">
        <f>AH12+AH6</f>
        <v/>
      </c>
      <c r="AI13" s="182">
        <f>AI12+AI6</f>
        <v/>
      </c>
      <c r="AJ13" s="182">
        <f>AJ12+AJ6</f>
        <v/>
      </c>
      <c r="AK13" s="182">
        <f>AK12+AK6</f>
        <v/>
      </c>
      <c r="AL13" s="182">
        <f>AL12+AL6</f>
        <v/>
      </c>
      <c r="AM13" s="182">
        <f>AM12+AM6</f>
        <v/>
      </c>
      <c r="AN13" s="182">
        <f>AN12+AN6</f>
        <v/>
      </c>
      <c r="AO13" s="182">
        <f>AO12+AO6</f>
        <v/>
      </c>
      <c r="AP13" s="182" t="n">
        <v>310</v>
      </c>
      <c r="AQ13" s="329">
        <f>AQ12+AQ6</f>
        <v/>
      </c>
      <c r="AR13" s="182">
        <f>AR12+AR6</f>
        <v/>
      </c>
      <c r="AS13" s="329" t="n">
        <v>164</v>
      </c>
      <c r="AT13" s="329" t="n"/>
      <c r="AU13" t="n">
        <v>786.1925764831599</v>
      </c>
    </row>
    <row r="14" s="327">
      <c r="A14" s="300" t="n"/>
      <c r="M14" s="5" t="n"/>
      <c r="Q14" s="170" t="n"/>
      <c r="R14" s="170" t="n"/>
      <c r="S14" s="170" t="n"/>
      <c r="T14" s="170" t="n"/>
      <c r="U14" s="170" t="n"/>
      <c r="V14" s="170" t="n"/>
      <c r="W14" s="170" t="n"/>
      <c r="X14" s="170" t="n"/>
      <c r="Y14" s="301" t="n"/>
      <c r="Z14" s="301" t="n"/>
      <c r="AA14" s="301" t="n"/>
      <c r="AB14" s="301" t="n"/>
      <c r="AC14" s="301" t="n"/>
      <c r="AD14" s="301" t="n"/>
      <c r="AE14" s="301" t="n"/>
      <c r="AF14" s="301" t="n"/>
      <c r="AG14" s="301" t="n"/>
      <c r="AH14" s="301" t="n"/>
      <c r="AI14" s="170" t="n"/>
      <c r="AJ14" s="170" t="n"/>
      <c r="AK14" s="170" t="n"/>
    </row>
    <row r="15" s="327">
      <c r="Q15" s="301" t="n"/>
      <c r="R15" s="301" t="n"/>
      <c r="S15" s="301" t="n"/>
      <c r="T15" s="301" t="n"/>
      <c r="U15" s="301" t="n"/>
      <c r="V15" s="301" t="n"/>
      <c r="W15" s="301" t="n"/>
      <c r="X15" s="301" t="n"/>
      <c r="Y15" s="301" t="n"/>
      <c r="Z15" s="301" t="n"/>
      <c r="AA15" s="301" t="n"/>
      <c r="AB15" s="301" t="n"/>
      <c r="AC15" s="301" t="n"/>
      <c r="AD15" s="301" t="n"/>
      <c r="AE15" s="301" t="n"/>
      <c r="AF15" s="301" t="n"/>
      <c r="AG15" s="301" t="n"/>
      <c r="AH15" s="301" t="n"/>
      <c r="AI15" s="301" t="n"/>
      <c r="AJ15" s="301" t="n"/>
      <c r="AK15" s="301" t="n"/>
      <c r="AL15" s="301" t="n"/>
      <c r="AM15" s="301" t="n"/>
      <c r="AN15" s="301" t="n"/>
      <c r="AO15" s="301" t="n"/>
      <c r="AP15" s="301" t="n"/>
      <c r="AQ15" s="301">
        <f>AO13/AN13</f>
        <v/>
      </c>
      <c r="AR15" s="301" t="n"/>
      <c r="AS15" s="301" t="n"/>
      <c r="AT15" s="301" t="n"/>
    </row>
    <row r="16" s="327">
      <c r="B16" s="302" t="inlineStr">
        <is>
          <t>KOL历史</t>
        </is>
      </c>
      <c r="C16" s="302" t="inlineStr">
        <is>
          <t>3月</t>
        </is>
      </c>
      <c r="D16" s="302" t="inlineStr">
        <is>
          <t>4月</t>
        </is>
      </c>
      <c r="E16" s="303" t="inlineStr">
        <is>
          <t>5月</t>
        </is>
      </c>
      <c r="F16" s="3" t="inlineStr">
        <is>
          <t>6月</t>
        </is>
      </c>
      <c r="G16" s="3" t="inlineStr">
        <is>
          <t>7月</t>
        </is>
      </c>
      <c r="H16" s="3" t="inlineStr">
        <is>
          <t>8月</t>
        </is>
      </c>
      <c r="I16" s="3" t="inlineStr">
        <is>
          <t>9月</t>
        </is>
      </c>
      <c r="J16" s="3" t="inlineStr">
        <is>
          <t>10月</t>
        </is>
      </c>
      <c r="K16" s="5" t="inlineStr">
        <is>
          <t>11月</t>
        </is>
      </c>
      <c r="L16" s="5" t="inlineStr">
        <is>
          <t>12月</t>
        </is>
      </c>
      <c r="M16" s="5" t="inlineStr">
        <is>
          <t>1月</t>
        </is>
      </c>
      <c r="N16" s="5" t="inlineStr">
        <is>
          <t>2月</t>
        </is>
      </c>
      <c r="O16" s="5" t="inlineStr">
        <is>
          <t>3月</t>
        </is>
      </c>
      <c r="P16" s="304" t="inlineStr">
        <is>
          <t>4月</t>
        </is>
      </c>
      <c r="Q16" s="304" t="n">
        <v>46162</v>
      </c>
    </row>
    <row r="17" s="327">
      <c r="B17" s="302" t="inlineStr">
        <is>
          <t>累计例子</t>
        </is>
      </c>
      <c r="C17" s="302" t="n">
        <v>727</v>
      </c>
      <c r="D17" s="302" t="n">
        <v>565</v>
      </c>
      <c r="E17" s="303" t="n">
        <v>1080</v>
      </c>
      <c r="F17" s="3" t="n">
        <v>1123</v>
      </c>
      <c r="G17" s="182" t="n">
        <v>665</v>
      </c>
      <c r="H17" s="182" t="n">
        <v>973</v>
      </c>
      <c r="I17" s="182" t="n">
        <v>1530</v>
      </c>
      <c r="J17" s="3" t="n">
        <v>1847</v>
      </c>
      <c r="K17" s="5" t="n">
        <v>1112</v>
      </c>
      <c r="L17" s="5" t="n">
        <v>796</v>
      </c>
      <c r="M17" s="5" t="n">
        <v>787</v>
      </c>
      <c r="N17" s="5" t="n">
        <v>360</v>
      </c>
      <c r="O17" s="5" t="n">
        <v>677</v>
      </c>
      <c r="P17" s="5" t="n">
        <v>468</v>
      </c>
      <c r="Q17" s="5" t="n">
        <v>325</v>
      </c>
      <c r="AV17" s="5">
        <f>AO6/AN6</f>
        <v/>
      </c>
      <c r="AW17" s="5">
        <f>AR6/AQ6</f>
        <v/>
      </c>
    </row>
    <row r="18" s="327">
      <c r="B18" s="302" t="inlineStr">
        <is>
          <t>平均成本</t>
        </is>
      </c>
      <c r="C18" s="302" t="n">
        <v>431</v>
      </c>
      <c r="D18" s="302" t="n">
        <v>571</v>
      </c>
      <c r="E18" s="303" t="n">
        <v>673</v>
      </c>
      <c r="F18" s="3" t="n">
        <v>763</v>
      </c>
      <c r="G18" s="182" t="n">
        <v>969</v>
      </c>
      <c r="H18" s="182" t="n">
        <v>644</v>
      </c>
      <c r="I18" s="329">
        <f>I19/I17</f>
        <v/>
      </c>
      <c r="J18" s="329">
        <f>J19/J17</f>
        <v/>
      </c>
      <c r="K18" s="329">
        <f>K19/K17</f>
        <v/>
      </c>
      <c r="L18" s="329">
        <f>L19/L17</f>
        <v/>
      </c>
      <c r="M18" s="329">
        <f>M19/M17</f>
        <v/>
      </c>
      <c r="N18" s="329">
        <f>N19/N17</f>
        <v/>
      </c>
      <c r="O18" s="329">
        <f>O19/O17</f>
        <v/>
      </c>
      <c r="P18" s="329">
        <f>P19/P17</f>
        <v/>
      </c>
      <c r="Q18" s="329">
        <f>Q19/Q17</f>
        <v/>
      </c>
      <c r="AQ18" s="5">
        <f>AO9/AN9</f>
        <v/>
      </c>
      <c r="AV18" s="5">
        <f>AO9/AN9</f>
        <v/>
      </c>
    </row>
    <row r="19" s="327">
      <c r="I19" s="305" t="n">
        <v>807722</v>
      </c>
      <c r="J19" s="306" t="n">
        <v>895008</v>
      </c>
      <c r="K19" s="306" t="n">
        <v>1134508</v>
      </c>
      <c r="L19" s="339" t="n">
        <v>935636</v>
      </c>
      <c r="M19" s="339" t="n">
        <v>615368.772900779</v>
      </c>
      <c r="N19" s="340" t="n">
        <v>306862</v>
      </c>
      <c r="O19" s="163" t="n">
        <v>465727</v>
      </c>
      <c r="P19" s="163" t="n">
        <v>342428</v>
      </c>
      <c r="Q19" s="163" t="n">
        <v>201491</v>
      </c>
      <c r="AV19" s="5">
        <f>AO13/AN13</f>
        <v/>
      </c>
    </row>
    <row r="20" s="327">
      <c r="B20" s="3" t="inlineStr">
        <is>
          <t>日均例子</t>
        </is>
      </c>
      <c r="C20" s="341">
        <f>C17/31</f>
        <v/>
      </c>
      <c r="D20" s="341">
        <f>D17/30</f>
        <v/>
      </c>
      <c r="E20" s="341">
        <f>E17/31</f>
        <v/>
      </c>
      <c r="F20" s="341">
        <f>F17/30</f>
        <v/>
      </c>
      <c r="G20" s="341">
        <f>G17/31</f>
        <v/>
      </c>
      <c r="H20" s="341">
        <f>H17/31</f>
        <v/>
      </c>
      <c r="I20" s="341">
        <f>I17/30</f>
        <v/>
      </c>
      <c r="J20" s="341">
        <f>J17/31</f>
        <v/>
      </c>
      <c r="K20" s="341">
        <f>K17/30</f>
        <v/>
      </c>
      <c r="L20" s="341">
        <f>L17/31</f>
        <v/>
      </c>
      <c r="M20" s="342">
        <f>M17/31</f>
        <v/>
      </c>
      <c r="N20" s="342">
        <f>N17/28</f>
        <v/>
      </c>
      <c r="O20" s="342">
        <f>O17/31</f>
        <v/>
      </c>
      <c r="P20" s="342">
        <f>P17/31</f>
        <v/>
      </c>
      <c r="Q20" s="342">
        <f>Q17/20</f>
        <v/>
      </c>
      <c r="AO20" s="5">
        <f>#REF!/#REF!</f>
        <v/>
      </c>
    </row>
    <row r="21" s="327">
      <c r="Q21" s="301" t="n"/>
      <c r="R21" s="163" t="n"/>
      <c r="AW21" s="5">
        <f>AR13/AQ13</f>
        <v/>
      </c>
    </row>
    <row r="22" s="327">
      <c r="Q22" s="301" t="n"/>
    </row>
    <row r="23" s="327">
      <c r="B23" s="310" t="inlineStr">
        <is>
          <t>6月目标预计</t>
        </is>
      </c>
      <c r="C23" s="310" t="inlineStr">
        <is>
          <t>例子数</t>
        </is>
      </c>
      <c r="D23" s="311" t="inlineStr">
        <is>
          <t>成本</t>
        </is>
      </c>
      <c r="E23" s="312" t="inlineStr">
        <is>
          <t>消耗</t>
        </is>
      </c>
      <c r="Q23" s="301" t="n"/>
      <c r="AT23" s="3" t="inlineStr">
        <is>
          <t>陈琪</t>
        </is>
      </c>
    </row>
    <row r="24" s="327">
      <c r="A24" s="5" t="inlineStr">
        <is>
          <t>KOLHK</t>
        </is>
      </c>
      <c r="B24" s="310" t="inlineStr">
        <is>
          <t>KOL</t>
        </is>
      </c>
      <c r="C24" s="310">
        <f>I6</f>
        <v/>
      </c>
      <c r="D24" s="343" t="n">
        <v>650</v>
      </c>
      <c r="E24" s="312">
        <f>C24*D24</f>
        <v/>
      </c>
      <c r="M24" s="170" t="inlineStr">
        <is>
          <t>.</t>
        </is>
      </c>
      <c r="Q24" s="301" t="n"/>
      <c r="AT24" s="1" t="inlineStr">
        <is>
          <t>Bob林盛斌</t>
        </is>
      </c>
    </row>
    <row r="25" s="327">
      <c r="A25" s="5" t="inlineStr">
        <is>
          <t>线下HK</t>
        </is>
      </c>
      <c r="B25" s="310" t="inlineStr">
        <is>
          <t>展会</t>
        </is>
      </c>
      <c r="C25" s="310">
        <f>I10</f>
        <v/>
      </c>
      <c r="D25" s="343">
        <f>P37</f>
        <v/>
      </c>
      <c r="E25" s="312">
        <f>D25*C25</f>
        <v/>
      </c>
      <c r="L25" s="170" t="n"/>
      <c r="N25" s="170" t="n"/>
      <c r="O25" s="170" t="n"/>
      <c r="P25" s="314" t="n">
        <v>420840</v>
      </c>
      <c r="Q25" s="170" t="n"/>
      <c r="R25" s="170" t="n"/>
      <c r="S25" s="170" t="n"/>
      <c r="T25" s="170" t="n"/>
      <c r="U25" s="170" t="n"/>
      <c r="V25" s="170" t="n"/>
      <c r="W25" s="170" t="n"/>
      <c r="X25" s="170" t="n"/>
      <c r="Y25" s="170" t="n"/>
      <c r="Z25" s="170" t="n"/>
      <c r="AA25" s="170" t="n"/>
      <c r="AB25" s="170" t="n"/>
      <c r="AC25" s="170" t="n"/>
      <c r="AD25" s="170" t="n"/>
      <c r="AE25" s="170" t="n"/>
      <c r="AF25" s="170" t="n"/>
      <c r="AG25" s="170" t="n"/>
      <c r="AH25" s="170" t="n"/>
      <c r="AI25" s="170" t="n"/>
      <c r="AJ25" s="170" t="n"/>
      <c r="AK25" s="170" t="n"/>
      <c r="AT25" s="282" t="inlineStr">
        <is>
          <t>钟嘉欣图片</t>
        </is>
      </c>
    </row>
    <row r="26" s="327">
      <c r="A26" s="5" t="inlineStr">
        <is>
          <t>社群HK</t>
        </is>
      </c>
      <c r="B26" s="310" t="inlineStr">
        <is>
          <t>代理人</t>
        </is>
      </c>
      <c r="C26" s="310">
        <f>I11</f>
        <v/>
      </c>
      <c r="D26" s="343" t="n">
        <v>300</v>
      </c>
      <c r="E26" s="312">
        <f>C26*D26</f>
        <v/>
      </c>
      <c r="P26" s="5" t="n">
        <v>420</v>
      </c>
      <c r="Q26" s="301" t="n"/>
      <c r="AQ26" s="5">
        <f>#REF!/#REF!</f>
        <v/>
      </c>
      <c r="AT26" s="3" t="n"/>
    </row>
    <row r="27" s="327">
      <c r="A27" s="5" t="inlineStr">
        <is>
          <t>线下HK</t>
        </is>
      </c>
      <c r="B27" s="310" t="inlineStr">
        <is>
          <t>商超</t>
        </is>
      </c>
      <c r="C27" s="310">
        <f>I9</f>
        <v/>
      </c>
      <c r="D27" s="343" t="n">
        <v>250</v>
      </c>
      <c r="E27" s="312">
        <f>C27*D27</f>
        <v/>
      </c>
      <c r="P27" s="5" t="n">
        <v>1030</v>
      </c>
      <c r="Q27" s="301" t="n"/>
      <c r="AT27" s="3" t="inlineStr">
        <is>
          <t>钟嘉欣视频1</t>
        </is>
      </c>
    </row>
    <row r="28" s="327">
      <c r="B28" s="310" t="inlineStr">
        <is>
          <t>其他汇总</t>
        </is>
      </c>
      <c r="C28" s="310">
        <f>I7+I8</f>
        <v/>
      </c>
      <c r="D28" s="315" t="n">
        <v>200</v>
      </c>
      <c r="E28" s="312">
        <f>C28*D28</f>
        <v/>
      </c>
      <c r="Q28" s="301" t="n"/>
      <c r="AT28" s="3" t="n"/>
    </row>
    <row r="29" s="327">
      <c r="B29" s="310" t="inlineStr">
        <is>
          <t>合计</t>
        </is>
      </c>
      <c r="C29" s="310">
        <f>C24+C25+C27+C26+C28</f>
        <v/>
      </c>
      <c r="D29" s="316">
        <f>E29/C29</f>
        <v/>
      </c>
      <c r="E29" s="310">
        <f>E24+E25+E27+E26+E28</f>
        <v/>
      </c>
      <c r="P29" s="5">
        <f>P25/P27*P26</f>
        <v/>
      </c>
      <c r="Q29" s="301" t="n"/>
      <c r="AT29" s="3" t="inlineStr">
        <is>
          <t>蔡雪莹</t>
        </is>
      </c>
    </row>
    <row r="30" s="327">
      <c r="Q30" s="301" t="n"/>
      <c r="AT30" s="3" t="inlineStr">
        <is>
          <t>陈琪直播</t>
        </is>
      </c>
    </row>
    <row r="31" s="327">
      <c r="Q31" s="301" t="n"/>
      <c r="AO31" s="5" t="inlineStr">
        <is>
          <t>15填</t>
        </is>
      </c>
      <c r="AT31" s="3" t="inlineStr">
        <is>
          <t>陳展鵬</t>
        </is>
      </c>
    </row>
    <row r="32" s="327">
      <c r="Q32" s="301" t="n"/>
      <c r="AT32" s="3" t="inlineStr">
        <is>
          <t>專家鄧明儀</t>
        </is>
      </c>
    </row>
    <row r="33" s="327">
      <c r="B33" s="3" t="inlineStr">
        <is>
          <t>展会</t>
        </is>
      </c>
      <c r="C33" s="3" t="inlineStr">
        <is>
          <t>2月BB展</t>
        </is>
      </c>
      <c r="D33" s="3" t="inlineStr">
        <is>
          <t>5月课外活动展</t>
        </is>
      </c>
      <c r="E33" s="3" t="inlineStr">
        <is>
          <t>5月儿童展</t>
        </is>
      </c>
      <c r="F33" s="3" t="inlineStr">
        <is>
          <t>7月书展</t>
        </is>
      </c>
      <c r="G33" s="3" t="inlineStr">
        <is>
          <t>8月展会</t>
        </is>
      </c>
      <c r="H33" s="3" t="inlineStr">
        <is>
          <t>9月展会</t>
        </is>
      </c>
      <c r="I33" s="182" t="inlineStr">
        <is>
          <t>10月创意文化展</t>
        </is>
      </c>
      <c r="J33" s="182" t="inlineStr">
        <is>
          <t>10月兒童書展</t>
        </is>
      </c>
      <c r="K33" s="5" t="inlineStr">
        <is>
          <t>12月儿童书展</t>
        </is>
      </c>
      <c r="L33" s="5" t="inlineStr">
        <is>
          <t>12月澳门展</t>
        </is>
      </c>
      <c r="M33" s="5" t="inlineStr">
        <is>
          <t>2月BB展</t>
        </is>
      </c>
      <c r="N33" s="5" t="inlineStr">
        <is>
          <t>5月课外活动展</t>
        </is>
      </c>
      <c r="O33" s="5" t="inlineStr">
        <is>
          <t>5月儿童书展</t>
        </is>
      </c>
      <c r="P33" s="5" t="inlineStr">
        <is>
          <t>6月澳门展</t>
        </is>
      </c>
      <c r="Q33" s="301" t="n"/>
      <c r="AT33" s="3" t="inlineStr">
        <is>
          <t>陳凱琳</t>
        </is>
      </c>
    </row>
    <row r="34" s="327">
      <c r="B34" s="182" t="inlineStr">
        <is>
          <t>累计例子</t>
        </is>
      </c>
      <c r="C34" s="182" t="n">
        <v>235</v>
      </c>
      <c r="D34" s="182" t="n">
        <v>303</v>
      </c>
      <c r="E34" s="182" t="n">
        <v>301</v>
      </c>
      <c r="F34" s="329" t="n">
        <v>587</v>
      </c>
      <c r="G34" s="329" t="n">
        <v>270</v>
      </c>
      <c r="H34" s="329" t="n">
        <v>150</v>
      </c>
      <c r="I34" s="182" t="n">
        <v>200</v>
      </c>
      <c r="J34" s="182" t="n">
        <v>400</v>
      </c>
      <c r="K34" s="182">
        <f>展会数据测算!U24</f>
        <v/>
      </c>
      <c r="L34" s="182">
        <f>展会数据测算!W24</f>
        <v/>
      </c>
      <c r="M34" s="182">
        <f>展会数据测算!Y24</f>
        <v/>
      </c>
      <c r="N34" s="5">
        <f>展会数据测算!AC24</f>
        <v/>
      </c>
      <c r="O34" s="5">
        <f>展会数据测算!AE24</f>
        <v/>
      </c>
      <c r="P34" s="5" t="n">
        <v>100</v>
      </c>
      <c r="Q34" s="301" t="n"/>
      <c r="AT34" s="3" t="inlineStr">
        <is>
          <t>麥雅緻直播</t>
        </is>
      </c>
    </row>
    <row r="35" hidden="1" s="327">
      <c r="B35" s="182" t="inlineStr">
        <is>
          <t>平均成本</t>
        </is>
      </c>
      <c r="C35" s="317">
        <f>C36/C34</f>
        <v/>
      </c>
      <c r="D35" s="344" t="n">
        <v>177</v>
      </c>
      <c r="E35" s="344" t="n">
        <v>228</v>
      </c>
      <c r="F35" s="317" t="n">
        <v>236</v>
      </c>
      <c r="G35" s="344" t="n">
        <v>140</v>
      </c>
      <c r="H35" s="344" t="n">
        <v>145</v>
      </c>
      <c r="I35" s="182" t="n">
        <v>146</v>
      </c>
      <c r="J35" s="182" t="n">
        <v>121</v>
      </c>
      <c r="K35" s="317">
        <f>展会数据测算!U26</f>
        <v/>
      </c>
      <c r="L35" s="317">
        <f>展会数据测算!W26</f>
        <v/>
      </c>
      <c r="M35" s="317">
        <f>展会数据测算!Y26</f>
        <v/>
      </c>
      <c r="Q35" s="301" t="n"/>
      <c r="AT35" s="3" t="inlineStr">
        <is>
          <t>呂慧儀直播</t>
        </is>
      </c>
    </row>
    <row r="36" s="327">
      <c r="B36" s="182" t="inlineStr">
        <is>
          <t>总消耗</t>
        </is>
      </c>
      <c r="C36" s="319" t="n">
        <v>41427</v>
      </c>
      <c r="D36" s="319" t="n">
        <v>53609</v>
      </c>
      <c r="E36" s="319" t="n">
        <v>68721</v>
      </c>
      <c r="F36" s="319" t="n">
        <v>138753</v>
      </c>
      <c r="G36" s="319" t="n">
        <v>52080</v>
      </c>
      <c r="H36" s="182" t="n"/>
      <c r="I36" s="182" t="n">
        <v>34009.26</v>
      </c>
      <c r="J36" s="329" t="n">
        <v>57839.7296</v>
      </c>
      <c r="K36" s="329">
        <f>K34*K35</f>
        <v/>
      </c>
      <c r="L36" s="329">
        <f>L34*L35</f>
        <v/>
      </c>
      <c r="M36" s="329">
        <f>展会数据测算!Y22</f>
        <v/>
      </c>
      <c r="N36" s="340">
        <f>展会数据测算!AC22</f>
        <v/>
      </c>
      <c r="O36" s="340">
        <f>展会数据测算!AE22</f>
        <v/>
      </c>
      <c r="P36" s="5">
        <f>展会数据测算!AG30</f>
        <v/>
      </c>
      <c r="Q36" s="301" t="n"/>
      <c r="AT36" s="3" t="inlineStr">
        <is>
          <t>嘉欣购物团</t>
        </is>
      </c>
    </row>
    <row r="37" s="327">
      <c r="B37" s="182" t="inlineStr">
        <is>
          <t>平均成本（含差旅CPS）</t>
        </is>
      </c>
      <c r="C37" s="182" t="n">
        <v>232</v>
      </c>
      <c r="D37" s="320" t="n">
        <v>236</v>
      </c>
      <c r="E37" s="319" t="n">
        <v>288</v>
      </c>
      <c r="F37" s="182" t="n">
        <v>301</v>
      </c>
      <c r="G37" s="182" t="n">
        <v>234</v>
      </c>
      <c r="H37" s="182" t="n">
        <v>171</v>
      </c>
      <c r="I37" s="182" t="n">
        <v>205</v>
      </c>
      <c r="J37" s="182" t="n">
        <v>176</v>
      </c>
      <c r="K37" s="329">
        <f>K36/K34</f>
        <v/>
      </c>
      <c r="L37" s="329">
        <f>L36/L34</f>
        <v/>
      </c>
      <c r="M37" s="329">
        <f>M36/M34</f>
        <v/>
      </c>
      <c r="N37" s="340">
        <f>展会数据测算!AC27</f>
        <v/>
      </c>
      <c r="O37" s="340">
        <f>展会数据测算!AE27</f>
        <v/>
      </c>
      <c r="P37" s="5">
        <f>展会数据测算!AG31</f>
        <v/>
      </c>
      <c r="Q37" s="301" t="n"/>
      <c r="AT37" s="3" t="inlineStr">
        <is>
          <t>其他汇总</t>
        </is>
      </c>
    </row>
    <row r="38" s="327">
      <c r="N38" s="5" t="inlineStr">
        <is>
          <t>2TMK+4CC</t>
        </is>
      </c>
      <c r="O38" s="5" t="inlineStr">
        <is>
          <t>2TMK+2CC</t>
        </is>
      </c>
      <c r="P38" s="5" t="inlineStr">
        <is>
          <t>2CC+2TMK</t>
        </is>
      </c>
      <c r="Q38" s="301" t="n"/>
      <c r="AT38" s="3" t="n"/>
    </row>
    <row r="39" s="327">
      <c r="Q39" s="301" t="n"/>
      <c r="AT39" s="3" t="n"/>
    </row>
    <row r="40" s="327">
      <c r="B40" s="321" t="inlineStr">
        <is>
          <t>线下HK历史达成数据</t>
        </is>
      </c>
      <c r="C40" s="321" t="inlineStr">
        <is>
          <t>总目标</t>
        </is>
      </c>
      <c r="D40" s="321" t="inlineStr">
        <is>
          <t>实际总达成</t>
        </is>
      </c>
      <c r="E40" s="321" t="inlineStr">
        <is>
          <t>书展目标</t>
        </is>
      </c>
      <c r="F40" s="321" t="inlineStr">
        <is>
          <t>书展达成</t>
        </is>
      </c>
      <c r="G40" s="321" t="inlineStr">
        <is>
          <t>商超目标</t>
        </is>
      </c>
      <c r="H40" s="321" t="inlineStr">
        <is>
          <t>商超达成</t>
        </is>
      </c>
      <c r="I40" s="322" t="inlineStr">
        <is>
          <t>总目标达成率</t>
        </is>
      </c>
      <c r="J40" s="322" t="inlineStr">
        <is>
          <t>书展达成率</t>
        </is>
      </c>
      <c r="K40" s="322" t="inlineStr">
        <is>
          <t>商超达成率</t>
        </is>
      </c>
      <c r="Q40" s="301" t="n"/>
    </row>
    <row r="41" s="327">
      <c r="B41" s="323" t="n">
        <v>45931</v>
      </c>
      <c r="C41" s="324">
        <f>E41+G41</f>
        <v/>
      </c>
      <c r="D41" s="324">
        <f>F41+H41</f>
        <v/>
      </c>
      <c r="E41" s="324" t="n">
        <v>650</v>
      </c>
      <c r="F41" s="324" t="n">
        <v>375</v>
      </c>
      <c r="G41" s="324" t="n">
        <v>210</v>
      </c>
      <c r="H41" s="324" t="n">
        <v>222</v>
      </c>
      <c r="I41" s="325">
        <f>D41/C41</f>
        <v/>
      </c>
      <c r="J41" s="325">
        <f>F41/E41</f>
        <v/>
      </c>
      <c r="K41" s="325">
        <f>H41/G41</f>
        <v/>
      </c>
      <c r="Q41" s="301" t="n"/>
    </row>
    <row r="42" s="327">
      <c r="B42" s="323" t="n">
        <v>45962</v>
      </c>
      <c r="C42" s="324">
        <f>E42+G42</f>
        <v/>
      </c>
      <c r="D42" s="324">
        <f>F42+H42</f>
        <v/>
      </c>
      <c r="E42" s="324" t="n"/>
      <c r="G42" s="324" t="n">
        <v>400</v>
      </c>
      <c r="H42" s="324" t="n">
        <v>319</v>
      </c>
      <c r="I42" s="325">
        <f>D42/C42</f>
        <v/>
      </c>
      <c r="J42" s="325" t="n"/>
      <c r="K42" s="325">
        <f>H42/G42</f>
        <v/>
      </c>
      <c r="Q42" s="301" t="n"/>
    </row>
    <row r="43" s="327">
      <c r="B43" s="323" t="n">
        <v>45992</v>
      </c>
      <c r="C43" s="324">
        <f>E43+G43</f>
        <v/>
      </c>
      <c r="D43" s="324">
        <f>F43+H43</f>
        <v/>
      </c>
      <c r="E43" s="324" t="n">
        <v>600</v>
      </c>
      <c r="F43" s="324" t="n">
        <v>634</v>
      </c>
      <c r="G43" s="324" t="n">
        <v>500</v>
      </c>
      <c r="H43" s="324" t="n">
        <v>422</v>
      </c>
      <c r="I43" s="325">
        <f>D43/C43</f>
        <v/>
      </c>
      <c r="J43" s="325">
        <f>F43/E43</f>
        <v/>
      </c>
      <c r="K43" s="325">
        <f>H43/G43</f>
        <v/>
      </c>
      <c r="Q43" s="301" t="n"/>
    </row>
    <row r="44" s="327">
      <c r="B44" s="323" t="n">
        <v>46023</v>
      </c>
      <c r="C44" s="324">
        <f>E44+G44</f>
        <v/>
      </c>
      <c r="D44" s="324">
        <f>F44+H44</f>
        <v/>
      </c>
      <c r="E44" s="324" t="n"/>
      <c r="G44" s="324" t="n">
        <v>520</v>
      </c>
      <c r="H44" s="324" t="n">
        <v>339</v>
      </c>
      <c r="I44" s="325">
        <f>D44/C44</f>
        <v/>
      </c>
      <c r="J44" s="325" t="n"/>
      <c r="K44" s="325">
        <f>H44/G44</f>
        <v/>
      </c>
      <c r="Q44" s="301" t="n"/>
    </row>
    <row r="45" s="327">
      <c r="B45" s="323" t="n">
        <v>46054</v>
      </c>
      <c r="C45" s="324">
        <f>E45+G45</f>
        <v/>
      </c>
      <c r="D45" s="324">
        <f>F45+H45</f>
        <v/>
      </c>
      <c r="E45" s="324" t="n">
        <v>282</v>
      </c>
      <c r="F45" s="324" t="n">
        <v>270</v>
      </c>
      <c r="G45" s="324" t="n">
        <v>300</v>
      </c>
      <c r="H45" s="324" t="n">
        <v>99</v>
      </c>
      <c r="I45" s="325">
        <f>D45/C45</f>
        <v/>
      </c>
      <c r="J45" s="325">
        <f>F45/E45</f>
        <v/>
      </c>
      <c r="K45" s="325">
        <f>H45/G45</f>
        <v/>
      </c>
      <c r="Q45" s="301" t="n"/>
    </row>
    <row r="46" s="327">
      <c r="B46" s="323" t="n">
        <v>46082</v>
      </c>
      <c r="C46" s="324">
        <f>E46+G46</f>
        <v/>
      </c>
      <c r="D46" s="324">
        <f>F46+H46</f>
        <v/>
      </c>
      <c r="E46" s="324" t="n">
        <v>410</v>
      </c>
      <c r="F46" s="324" t="n">
        <v>368</v>
      </c>
      <c r="G46" s="324" t="n">
        <v>560</v>
      </c>
      <c r="H46" s="324" t="n">
        <v>359</v>
      </c>
      <c r="I46" s="325">
        <f>D46/C46</f>
        <v/>
      </c>
      <c r="J46" s="325">
        <f>F46/E46</f>
        <v/>
      </c>
      <c r="K46" s="325">
        <f>H46/G46</f>
        <v/>
      </c>
      <c r="Q46" s="301" t="n"/>
    </row>
    <row r="47" s="327">
      <c r="B47" s="323" t="n">
        <v>46113</v>
      </c>
      <c r="C47" s="324">
        <f>E47+G47</f>
        <v/>
      </c>
      <c r="D47" s="324">
        <f>F47+H47</f>
        <v/>
      </c>
      <c r="E47" s="324" t="n">
        <v>110</v>
      </c>
      <c r="F47" s="324" t="n">
        <v>77</v>
      </c>
      <c r="G47" s="324" t="n">
        <v>480</v>
      </c>
      <c r="H47" s="324" t="n">
        <v>277</v>
      </c>
      <c r="I47" s="325">
        <f>D47/C47</f>
        <v/>
      </c>
      <c r="J47" s="325">
        <f>F47/E47</f>
        <v/>
      </c>
      <c r="K47" s="325">
        <f>H47/G47</f>
        <v/>
      </c>
      <c r="Q47" s="301" t="n"/>
    </row>
    <row r="48" s="327">
      <c r="B48" s="326" t="n"/>
    </row>
    <row r="49" s="327">
      <c r="B49" s="326" t="n"/>
      <c r="S49" s="301" t="n"/>
      <c r="T49" s="301" t="n"/>
      <c r="U49" s="301" t="n"/>
      <c r="AF49" s="301" t="n"/>
      <c r="AG49" s="301" t="n"/>
      <c r="AH49" s="301" t="n"/>
      <c r="AI49" s="301" t="n"/>
      <c r="AJ49" s="301" t="n"/>
      <c r="AK49" s="301" t="n"/>
      <c r="AT49" s="301" t="n"/>
    </row>
    <row r="52" s="327">
      <c r="Q52" s="301" t="n"/>
    </row>
    <row r="53" s="327">
      <c r="Q53" s="301" t="n"/>
    </row>
    <row r="54" s="327">
      <c r="Q54" s="301" t="n"/>
    </row>
    <row r="65" s="327">
      <c r="Q65" s="301" t="n"/>
    </row>
    <row r="66" s="327">
      <c r="Q66" s="301" t="n"/>
    </row>
    <row r="67" s="327">
      <c r="Q67" s="301" t="n"/>
    </row>
    <row r="68" s="327">
      <c r="Q68" s="301" t="n"/>
    </row>
    <row r="69" s="327">
      <c r="Q69" s="301" t="n"/>
    </row>
    <row r="70" s="327">
      <c r="Q70" s="301" t="n"/>
    </row>
    <row r="80" s="327">
      <c r="Q80" s="301" t="n"/>
    </row>
  </sheetData>
  <mergeCells count="5">
    <mergeCell ref="A9:A12"/>
    <mergeCell ref="A2:A6"/>
    <mergeCell ref="E42:F42"/>
    <mergeCell ref="A7:A8"/>
    <mergeCell ref="E44:F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U3" sqref="AU3:AU7"/>
    </sheetView>
  </sheetViews>
  <sheetFormatPr baseColWidth="8" defaultColWidth="11" defaultRowHeight="16.5"/>
  <cols>
    <col width="17.1666666666667" customWidth="1" style="327" min="6" max="6"/>
    <col width="12.6666666666667" customWidth="1" style="327" min="7" max="8"/>
    <col width="18.8333333333333" customWidth="1" style="345" min="9" max="9"/>
    <col width="23.1666666666667" customWidth="1" style="345" min="10" max="10"/>
    <col width="9.83333333333333" customWidth="1" style="345" min="11" max="11"/>
    <col width="11.3333333333333" customWidth="1" style="345" min="12" max="12"/>
    <col width="8.16666666666667" customWidth="1" style="345" min="13" max="13"/>
    <col width="26.6666666666667" customWidth="1" style="345" min="14" max="14"/>
    <col width="10.3333333333333" customWidth="1" style="345" min="15" max="16"/>
  </cols>
  <sheetData>
    <row r="1">
      <c r="A1" s="5" t="inlineStr">
        <is>
          <t>麦雅致</t>
        </is>
      </c>
      <c r="B1" s="5" t="inlineStr">
        <is>
          <t>例子占比</t>
        </is>
      </c>
      <c r="C1" s="5" t="inlineStr">
        <is>
          <t>总例子数</t>
        </is>
      </c>
      <c r="D1" s="5" t="inlineStr">
        <is>
          <t>成本</t>
        </is>
      </c>
      <c r="E1" s="5" t="inlineStr">
        <is>
          <t>加权</t>
        </is>
      </c>
      <c r="F1" s="5" t="inlineStr">
        <is>
          <t>实际投放时间</t>
        </is>
      </c>
      <c r="G1" s="5" t="inlineStr">
        <is>
          <t>投放时间1个半月</t>
        </is>
      </c>
    </row>
    <row r="2" ht="17.25" customHeight="1" s="327">
      <c r="A2" s="5" t="inlineStr">
        <is>
          <t>汇总</t>
        </is>
      </c>
      <c r="B2" s="165" t="n">
        <v>1</v>
      </c>
      <c r="C2" s="5" t="n">
        <v>100</v>
      </c>
      <c r="D2" s="5" t="n">
        <v>700</v>
      </c>
      <c r="E2" s="166">
        <f>SUMPRODUCT(C3:C4,D3:D4)/C2</f>
        <v/>
      </c>
      <c r="F2" s="5" t="n">
        <v>30</v>
      </c>
      <c r="I2" s="345" t="inlineStr">
        <is>
          <t>以项目或周期为单位</t>
        </is>
      </c>
      <c r="J2" s="346" t="inlineStr">
        <is>
          <t>前端投放参数-预估</t>
        </is>
      </c>
      <c r="K2" s="347" t="inlineStr">
        <is>
          <t>益智</t>
        </is>
      </c>
      <c r="L2" s="347" t="inlineStr">
        <is>
          <t>美术</t>
        </is>
      </c>
    </row>
    <row r="3">
      <c r="A3" s="5" t="inlineStr">
        <is>
          <t>11月</t>
        </is>
      </c>
      <c r="B3" s="279">
        <f>C3/$C$2</f>
        <v/>
      </c>
      <c r="C3" s="5" t="n">
        <v>30</v>
      </c>
      <c r="D3" s="5" t="n">
        <v>700</v>
      </c>
      <c r="F3" s="5" t="n">
        <v>10</v>
      </c>
      <c r="I3" s="348" t="inlineStr">
        <is>
          <t>主投</t>
        </is>
      </c>
      <c r="J3" s="345" t="inlineStr">
        <is>
          <t>注册例子数</t>
        </is>
      </c>
      <c r="K3" s="349" t="n">
        <v>100</v>
      </c>
      <c r="L3" s="350" t="n"/>
      <c r="N3" s="351" t="inlineStr">
        <is>
          <t>其他参数（海外调整）</t>
        </is>
      </c>
      <c r="O3" s="352" t="inlineStr">
        <is>
          <t>益智</t>
        </is>
      </c>
      <c r="P3" s="353" t="inlineStr">
        <is>
          <t>美术</t>
        </is>
      </c>
    </row>
    <row r="4">
      <c r="A4" s="5" t="inlineStr">
        <is>
          <t>12月</t>
        </is>
      </c>
      <c r="B4" s="279">
        <f>C4/$C$2</f>
        <v/>
      </c>
      <c r="C4" s="5" t="n">
        <v>70</v>
      </c>
      <c r="D4" s="5" t="n">
        <v>700</v>
      </c>
      <c r="F4" s="5" t="n">
        <v>20</v>
      </c>
      <c r="I4" s="348" t="inlineStr">
        <is>
          <t>主投</t>
        </is>
      </c>
      <c r="J4" s="345" t="inlineStr">
        <is>
          <t>分发例子数</t>
        </is>
      </c>
      <c r="K4" s="354" t="n"/>
      <c r="L4" s="354" t="n"/>
      <c r="N4" s="355" t="inlineStr">
        <is>
          <t>销售人均承接例子数</t>
        </is>
      </c>
      <c r="O4" s="356" t="n">
        <v>93.8</v>
      </c>
      <c r="P4" s="356" t="n">
        <v>103</v>
      </c>
    </row>
    <row r="5">
      <c r="I5" s="348" t="inlineStr">
        <is>
          <t>主投</t>
        </is>
      </c>
      <c r="J5" s="345" t="inlineStr">
        <is>
          <t>单例子成本（CPA）</t>
        </is>
      </c>
      <c r="K5" s="349" t="n">
        <v>700</v>
      </c>
      <c r="L5" s="349" t="n"/>
      <c r="N5" s="355" t="inlineStr">
        <is>
          <t>销售人均固定人工成本</t>
        </is>
      </c>
      <c r="O5" s="357" t="n">
        <v>10622</v>
      </c>
      <c r="P5" s="358" t="n">
        <v>11145.0173429227</v>
      </c>
    </row>
    <row r="6">
      <c r="I6" s="348" t="inlineStr">
        <is>
          <t>主投</t>
        </is>
      </c>
      <c r="J6" s="345" t="inlineStr">
        <is>
          <t>单到课例子成本（CPA）</t>
        </is>
      </c>
      <c r="K6" s="349" t="n"/>
      <c r="L6" s="349" t="n"/>
      <c r="N6" s="355" t="inlineStr">
        <is>
          <t>销售提成比例</t>
        </is>
      </c>
      <c r="O6" s="241" t="n">
        <v>0.079</v>
      </c>
      <c r="P6" s="242" t="n">
        <v>0.077</v>
      </c>
    </row>
    <row r="7">
      <c r="I7" s="348" t="inlineStr">
        <is>
          <t>主投</t>
        </is>
      </c>
      <c r="J7" s="345" t="inlineStr">
        <is>
          <t>渠道佣金（CPS）</t>
        </is>
      </c>
      <c r="K7" s="243" t="n">
        <v>0.25</v>
      </c>
      <c r="L7" s="349" t="n"/>
      <c r="N7" s="355" t="inlineStr">
        <is>
          <t>礼品及其他费用比例</t>
        </is>
      </c>
      <c r="O7" s="241" t="n">
        <v>0.017</v>
      </c>
      <c r="P7" s="242" t="n">
        <v>0.022</v>
      </c>
    </row>
    <row r="8">
      <c r="I8" s="348" t="inlineStr">
        <is>
          <t>主投</t>
        </is>
      </c>
      <c r="J8" s="345" t="inlineStr">
        <is>
          <t>投放费用（CPT)</t>
        </is>
      </c>
      <c r="K8" s="349" t="n">
        <v>4000</v>
      </c>
      <c r="L8" s="349" t="n"/>
      <c r="N8" s="355" t="inlineStr">
        <is>
          <t>出席试听课费用</t>
        </is>
      </c>
      <c r="O8" s="359" t="n">
        <v>86.40000000000001</v>
      </c>
      <c r="P8" s="360" t="n">
        <v>82</v>
      </c>
    </row>
    <row r="9">
      <c r="I9" s="348" t="inlineStr">
        <is>
          <t>辅投</t>
        </is>
      </c>
      <c r="J9" s="361" t="inlineStr">
        <is>
          <t>注册例子数</t>
        </is>
      </c>
      <c r="K9" s="362" t="n"/>
      <c r="L9" s="350" t="n"/>
      <c r="N9" s="355" t="inlineStr">
        <is>
          <t>单例子渠道运营人工成本及其他</t>
        </is>
      </c>
      <c r="O9" s="359" t="n">
        <v>33.49</v>
      </c>
      <c r="P9" s="359" t="n">
        <v>75</v>
      </c>
    </row>
    <row r="10">
      <c r="I10" s="348" t="inlineStr">
        <is>
          <t>辅投</t>
        </is>
      </c>
      <c r="J10" s="361" t="inlineStr">
        <is>
          <t>分发例子数</t>
        </is>
      </c>
      <c r="K10" s="354" t="n"/>
      <c r="L10" s="350" t="n"/>
      <c r="N10" s="355" t="inlineStr">
        <is>
          <t>是否过TMK</t>
        </is>
      </c>
      <c r="O10" s="363" t="inlineStr">
        <is>
          <t>是</t>
        </is>
      </c>
      <c r="P10" s="364" t="inlineStr">
        <is>
          <t>是</t>
        </is>
      </c>
    </row>
    <row r="11">
      <c r="I11" s="348" t="inlineStr">
        <is>
          <t>辅投</t>
        </is>
      </c>
      <c r="J11" s="361" t="inlineStr">
        <is>
          <t>单例子成本（CPA）</t>
        </is>
      </c>
      <c r="K11" s="362" t="n"/>
      <c r="L11" s="362" t="n"/>
      <c r="N11" s="355" t="inlineStr">
        <is>
          <t>TMK人均承担例子量</t>
        </is>
      </c>
      <c r="O11" s="365" t="n">
        <v>1055</v>
      </c>
      <c r="P11" s="358" t="n">
        <v>1233</v>
      </c>
    </row>
    <row r="12" ht="17.25" customHeight="1" s="327">
      <c r="I12" s="348" t="inlineStr">
        <is>
          <t>辅投</t>
        </is>
      </c>
      <c r="J12" s="361" t="inlineStr">
        <is>
          <t>单到课例子成本（CPA）</t>
        </is>
      </c>
      <c r="K12" s="362" t="n"/>
      <c r="L12" s="362" t="n"/>
      <c r="N12" s="366" t="inlineStr">
        <is>
          <t>TMK人均成本</t>
        </is>
      </c>
      <c r="O12" s="367" t="n">
        <v>11181</v>
      </c>
      <c r="P12" s="367" t="n">
        <v>11486.4236150315</v>
      </c>
    </row>
    <row r="13">
      <c r="I13" s="348" t="inlineStr">
        <is>
          <t>辅投</t>
        </is>
      </c>
      <c r="J13" s="361" t="inlineStr">
        <is>
          <t>渠道佣金（CPS）</t>
        </is>
      </c>
      <c r="K13" s="253" t="n"/>
      <c r="L13" s="362" t="n"/>
      <c r="N13" s="368" t="inlineStr">
        <is>
          <t>备注：绿色填充部分可调整，没有对应的参数可留空</t>
        </is>
      </c>
    </row>
    <row r="14">
      <c r="I14" s="348" t="inlineStr">
        <is>
          <t>辅投</t>
        </is>
      </c>
      <c r="J14" s="361" t="inlineStr">
        <is>
          <t>投放费用（CPT)</t>
        </is>
      </c>
      <c r="K14" s="362" t="n"/>
      <c r="L14" s="362" t="n"/>
      <c r="O14" s="345">
        <f>O5/O4</f>
        <v/>
      </c>
      <c r="P14" s="345">
        <f>P5/P4</f>
        <v/>
      </c>
    </row>
    <row r="15">
      <c r="N15" s="369" t="n"/>
      <c r="O15" s="370">
        <f>O12/O11</f>
        <v/>
      </c>
      <c r="P15" s="370" t="n"/>
    </row>
    <row r="16">
      <c r="J16" s="346" t="inlineStr">
        <is>
          <t>过程指标-预估</t>
        </is>
      </c>
      <c r="K16" s="371" t="n"/>
      <c r="L16" s="371" t="n"/>
    </row>
    <row r="17">
      <c r="J17" s="345" t="inlineStr">
        <is>
          <t>注册分发率</t>
        </is>
      </c>
      <c r="K17" s="258" t="n">
        <v>0.5</v>
      </c>
      <c r="L17" s="357" t="n"/>
    </row>
    <row r="18">
      <c r="I18" s="348" t="inlineStr">
        <is>
          <t>主投</t>
        </is>
      </c>
      <c r="J18" s="345" t="inlineStr">
        <is>
          <t>滚动注册出席率</t>
        </is>
      </c>
      <c r="K18" s="372" t="n">
        <v>0.38</v>
      </c>
      <c r="L18" s="260" t="n"/>
    </row>
    <row r="19">
      <c r="I19" s="348" t="inlineStr">
        <is>
          <t>主投</t>
        </is>
      </c>
      <c r="J19" s="345" t="inlineStr">
        <is>
          <t>滚动出席转化率</t>
        </is>
      </c>
      <c r="K19" s="372" t="n">
        <v>0.35</v>
      </c>
      <c r="L19" s="373" t="n"/>
    </row>
    <row r="20">
      <c r="I20" s="348" t="inlineStr">
        <is>
          <t>主投</t>
        </is>
      </c>
      <c r="J20" s="345" t="inlineStr">
        <is>
          <t>滚动注册转化率</t>
        </is>
      </c>
      <c r="K20" s="374" t="n">
        <v>0.18</v>
      </c>
      <c r="L20" s="375" t="n"/>
      <c r="N20" s="369" t="n"/>
    </row>
    <row r="21">
      <c r="I21" s="348" t="inlineStr">
        <is>
          <t>主投</t>
        </is>
      </c>
      <c r="J21" s="345" t="inlineStr">
        <is>
          <t>正价课ASP</t>
        </is>
      </c>
      <c r="K21" s="376" t="n">
        <v>5000</v>
      </c>
      <c r="L21" s="376" t="n"/>
    </row>
    <row r="22">
      <c r="I22" s="348" t="inlineStr">
        <is>
          <t>辅投</t>
        </is>
      </c>
      <c r="J22" s="361" t="inlineStr">
        <is>
          <t>注册分发率</t>
        </is>
      </c>
      <c r="K22" s="357" t="n"/>
      <c r="L22" s="357" t="n"/>
      <c r="N22" s="265" t="n"/>
    </row>
    <row r="23">
      <c r="I23" s="348" t="inlineStr">
        <is>
          <t>辅投</t>
        </is>
      </c>
      <c r="J23" s="361" t="inlineStr">
        <is>
          <t>滚动注册出席率</t>
        </is>
      </c>
      <c r="K23" s="373" t="n"/>
      <c r="L23" s="373" t="n"/>
      <c r="N23" s="265" t="n"/>
    </row>
    <row r="24">
      <c r="I24" s="348" t="inlineStr">
        <is>
          <t>辅投</t>
        </is>
      </c>
      <c r="J24" s="361" t="inlineStr">
        <is>
          <t>滚动出席转化率</t>
        </is>
      </c>
      <c r="K24" s="373" t="n"/>
      <c r="L24" s="373" t="n"/>
      <c r="N24" s="265" t="n"/>
    </row>
    <row r="25">
      <c r="I25" s="348" t="inlineStr">
        <is>
          <t>辅投</t>
        </is>
      </c>
      <c r="J25" s="361" t="inlineStr">
        <is>
          <t>滚动注册转化率</t>
        </is>
      </c>
      <c r="K25" s="375" t="n"/>
      <c r="L25" s="375" t="n"/>
      <c r="N25" s="377" t="n"/>
    </row>
    <row r="26">
      <c r="I26" s="348" t="inlineStr">
        <is>
          <t>辅投</t>
        </is>
      </c>
      <c r="J26" s="361" t="inlineStr">
        <is>
          <t>正价课ASP</t>
        </is>
      </c>
      <c r="K26" s="350" t="n"/>
      <c r="L26" s="350" t="n"/>
    </row>
    <row r="28">
      <c r="J28" s="346" t="inlineStr">
        <is>
          <t>ROI 1相关指标-自动计算</t>
        </is>
      </c>
      <c r="K28" s="371" t="n"/>
      <c r="L28" s="371" t="n"/>
    </row>
    <row r="29">
      <c r="I29" s="348" t="inlineStr">
        <is>
          <t>主投</t>
        </is>
      </c>
      <c r="J29" s="345" t="inlineStr">
        <is>
          <t>到课学员数量</t>
        </is>
      </c>
      <c r="K29" s="378">
        <f>K18*K3</f>
        <v/>
      </c>
      <c r="L29" s="378">
        <f>L18*L3</f>
        <v/>
      </c>
      <c r="N29" s="379" t="inlineStr">
        <is>
          <t>例子数*注册出席率</t>
        </is>
      </c>
    </row>
    <row r="30">
      <c r="I30" s="348" t="inlineStr">
        <is>
          <t>主投</t>
        </is>
      </c>
      <c r="J30" s="345" t="inlineStr">
        <is>
          <t>正价课学员数量</t>
        </is>
      </c>
      <c r="K30" s="378">
        <f>K3*K20</f>
        <v/>
      </c>
      <c r="L30" s="378">
        <f>L3*L20</f>
        <v/>
      </c>
      <c r="N30" s="379" t="inlineStr">
        <is>
          <t>例子数*注册转化率</t>
        </is>
      </c>
    </row>
    <row r="31">
      <c r="I31" s="348" t="inlineStr">
        <is>
          <t>主投</t>
        </is>
      </c>
      <c r="J31" s="345" t="inlineStr">
        <is>
          <t>正价课GMV</t>
        </is>
      </c>
      <c r="K31" s="378">
        <f>K30*K21</f>
        <v/>
      </c>
      <c r="L31" s="378">
        <f>L30*L21</f>
        <v/>
      </c>
      <c r="N31" s="379" t="inlineStr">
        <is>
          <t>ASP*学员人数</t>
        </is>
      </c>
    </row>
    <row r="32">
      <c r="I32" s="348" t="inlineStr">
        <is>
          <t>主投</t>
        </is>
      </c>
      <c r="J32" s="345" t="inlineStr">
        <is>
          <t>前端投放总成本</t>
        </is>
      </c>
      <c r="K32" s="378">
        <f>K5*K3+K7*K31+K8+K29*K6+K3*O9</f>
        <v/>
      </c>
      <c r="L32" s="378">
        <f>L5*L3+L7*L31+L8+L29*L6+L3*P9</f>
        <v/>
      </c>
      <c r="N32" s="379" t="inlineStr">
        <is>
          <t>例子数*单例子成本+GMV*CPS佣金比例+投放费用+单到课例子成本*出席人数+例子数*单例子运营人工成本</t>
        </is>
      </c>
    </row>
    <row r="33">
      <c r="I33" s="348" t="inlineStr">
        <is>
          <t>辅投</t>
        </is>
      </c>
      <c r="J33" s="361" t="inlineStr">
        <is>
          <t>到课学员数量</t>
        </is>
      </c>
      <c r="K33" s="378">
        <f>K23*K9</f>
        <v/>
      </c>
      <c r="L33" s="378">
        <f>L23*L9</f>
        <v/>
      </c>
      <c r="N33" s="379" t="n"/>
    </row>
    <row r="34">
      <c r="I34" s="348" t="inlineStr">
        <is>
          <t>辅投</t>
        </is>
      </c>
      <c r="J34" s="361" t="inlineStr">
        <is>
          <t>正价课学员数量</t>
        </is>
      </c>
      <c r="K34" s="378">
        <f>K9*K25</f>
        <v/>
      </c>
      <c r="L34" s="378">
        <f>L9*L25</f>
        <v/>
      </c>
    </row>
    <row r="35">
      <c r="I35" s="348" t="inlineStr">
        <is>
          <t>辅投</t>
        </is>
      </c>
      <c r="J35" s="361" t="inlineStr">
        <is>
          <t>正价课GMV</t>
        </is>
      </c>
      <c r="K35" s="378">
        <f>K26*K34</f>
        <v/>
      </c>
      <c r="L35" s="378">
        <f>L26*L34</f>
        <v/>
      </c>
    </row>
    <row r="36">
      <c r="I36" s="348" t="inlineStr">
        <is>
          <t>辅投</t>
        </is>
      </c>
      <c r="J36" s="361" t="inlineStr">
        <is>
          <t>前端投放总成本</t>
        </is>
      </c>
      <c r="K36" s="378">
        <f>K9*K11+K13*K35+K14+K12*K33+K9*P9</f>
        <v/>
      </c>
      <c r="L36" s="378">
        <f>L9*L11+L13*L35+L14+L12*L33+L9*O9</f>
        <v/>
      </c>
      <c r="N36" s="379" t="inlineStr">
        <is>
          <t>例子数*单例子成本+GMV*CPS佣金比例+投放费用+单到课例子成本*出席人数+例子数*单例子运营人工成本</t>
        </is>
      </c>
    </row>
    <row r="37">
      <c r="I37" s="348" t="inlineStr">
        <is>
          <t>主投+辅投</t>
        </is>
      </c>
      <c r="J37" s="345" t="inlineStr">
        <is>
          <t>每单获客成本1</t>
        </is>
      </c>
      <c r="K37" s="378">
        <f>(K32+K36)/(K30+K34)</f>
        <v/>
      </c>
      <c r="L37" s="378">
        <f>(L32+L36)/(L30+L34)</f>
        <v/>
      </c>
      <c r="N37" s="379" t="inlineStr">
        <is>
          <t>前端投放总成本/学员人数</t>
        </is>
      </c>
    </row>
    <row r="38">
      <c r="J38" s="380" t="inlineStr">
        <is>
          <t>ROI 1</t>
        </is>
      </c>
      <c r="K38" s="381">
        <f>(K31+K35)/(K32+K36)</f>
        <v/>
      </c>
      <c r="L38" s="381">
        <f>(L31+L35)/(L32+L36)</f>
        <v/>
      </c>
      <c r="N38" s="379" t="inlineStr">
        <is>
          <t>GMV/前端投放总成本</t>
        </is>
      </c>
    </row>
    <row r="39">
      <c r="K39" s="378" t="n"/>
      <c r="L39" s="378" t="n"/>
    </row>
    <row r="40">
      <c r="J40" s="346" t="inlineStr">
        <is>
          <t>ROI 2相关指标-自动计算</t>
        </is>
      </c>
      <c r="K40" s="382" t="n"/>
      <c r="L40" s="382" t="n"/>
      <c r="M40" s="370" t="n"/>
      <c r="N40" s="383" t="n"/>
    </row>
    <row r="41">
      <c r="I41" s="348" t="inlineStr">
        <is>
          <t>主投</t>
        </is>
      </c>
      <c r="J41" s="345" t="inlineStr">
        <is>
          <t>试听课费用</t>
        </is>
      </c>
      <c r="K41" s="378">
        <f>K29*O8</f>
        <v/>
      </c>
      <c r="L41" s="378">
        <f>L29*P8</f>
        <v/>
      </c>
      <c r="N41" s="379" t="inlineStr">
        <is>
          <t>单课时试听课费用*出席人数</t>
        </is>
      </c>
    </row>
    <row r="42">
      <c r="I42" s="348" t="inlineStr">
        <is>
          <t>主投</t>
        </is>
      </c>
      <c r="J42" s="345" t="inlineStr">
        <is>
          <t>TMK费用</t>
        </is>
      </c>
      <c r="K42" s="378">
        <f>IF(O10="是",K3/O11*O12,0)</f>
        <v/>
      </c>
      <c r="L42" s="378">
        <f>IF(P10="是",L3/P11*P12,0)</f>
        <v/>
      </c>
      <c r="N42" s="379" t="inlineStr">
        <is>
          <t>例子数/TMK人均承担例子量*TMK人均成本=TMK人数*TMK人均成本</t>
        </is>
      </c>
    </row>
    <row r="43">
      <c r="I43" s="348" t="inlineStr">
        <is>
          <t>主投</t>
        </is>
      </c>
      <c r="J43" s="345" t="inlineStr">
        <is>
          <t>销售成本</t>
        </is>
      </c>
      <c r="K43" s="378">
        <f>K4/O4*O5+K31*(O6+O7)</f>
        <v/>
      </c>
      <c r="L43" s="378">
        <f>L4/P4*P5+L31*(P6+P7)</f>
        <v/>
      </c>
      <c r="N43" s="379" t="inlineStr">
        <is>
          <t>分发例子数/销售人均承接例子数*销售人均固定人工成本+GMV*（销售提成比例+礼品及其他费用比例）</t>
        </is>
      </c>
    </row>
    <row r="44">
      <c r="I44" s="348" t="inlineStr">
        <is>
          <t>辅投</t>
        </is>
      </c>
      <c r="J44" s="361" t="inlineStr">
        <is>
          <t>试听课费用</t>
        </is>
      </c>
      <c r="K44" s="378">
        <f>K33*P8</f>
        <v/>
      </c>
      <c r="L44" s="378">
        <f>L33*O8</f>
        <v/>
      </c>
      <c r="N44" s="379" t="n"/>
    </row>
    <row r="45">
      <c r="I45" s="348" t="inlineStr">
        <is>
          <t>辅投</t>
        </is>
      </c>
      <c r="J45" s="361" t="inlineStr">
        <is>
          <t>TMK费用</t>
        </is>
      </c>
      <c r="K45" s="378">
        <f>IF(P10="是",K9/P11*P12,0)</f>
        <v/>
      </c>
      <c r="L45" s="378">
        <f>IF(O10="是",L9/O11*O12,0)</f>
        <v/>
      </c>
      <c r="N45" s="379" t="n"/>
    </row>
    <row r="46">
      <c r="I46" s="348" t="inlineStr">
        <is>
          <t>辅投</t>
        </is>
      </c>
      <c r="J46" s="361" t="inlineStr">
        <is>
          <t>销售成本</t>
        </is>
      </c>
      <c r="K46" s="378">
        <f>K10/P4*P5+K35*(P6+P7)</f>
        <v/>
      </c>
      <c r="L46" s="378">
        <f>L10/O4*O5+L35*(O6+O7)</f>
        <v/>
      </c>
      <c r="N46" s="379" t="inlineStr">
        <is>
          <t>分发例子数/销售人均承接例子数*销售人均固定人工成本+GMV*（销售提成比例+礼品及其他费用比例）</t>
        </is>
      </c>
    </row>
    <row r="47">
      <c r="I47" s="348" t="inlineStr">
        <is>
          <t>主投+辅投</t>
        </is>
      </c>
      <c r="J47" s="345" t="inlineStr">
        <is>
          <t>每单获客成本2</t>
        </is>
      </c>
      <c r="K47" s="378">
        <f>K37+SUM(K41:K46)/(K30+K34)</f>
        <v/>
      </c>
      <c r="L47" s="378">
        <f>L37+SUM(L41:L46)/(L30+L34)</f>
        <v/>
      </c>
      <c r="N47" s="379" t="inlineStr">
        <is>
          <t>市场费用+试听课费用+TMK费用+销售费用</t>
        </is>
      </c>
    </row>
    <row r="48" ht="17.25" customHeight="1" s="327">
      <c r="J48" s="384" t="inlineStr">
        <is>
          <t>ROI 2</t>
        </is>
      </c>
      <c r="K48" s="385">
        <f>(K31+K35)/(K32+K36+SUM(K41:K46))</f>
        <v/>
      </c>
      <c r="L48" s="386">
        <f>(L31+L35)/(L32+L36+SUM(L41:L46))</f>
        <v/>
      </c>
      <c r="N48" s="387" t="n"/>
    </row>
    <row r="49" ht="17.25" customHeight="1" s="327">
      <c r="N49" s="379" t="n"/>
    </row>
    <row r="50">
      <c r="K50" s="388" t="n"/>
      <c r="N50" s="379" t="n"/>
    </row>
    <row r="51">
      <c r="N51" s="379" t="n"/>
    </row>
    <row r="66">
      <c r="N66" s="369" t="n"/>
    </row>
  </sheetData>
  <dataValidations count="1">
    <dataValidation sqref="O10:P10" showDropDown="0" showInputMessage="1" showErrorMessage="1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D18" sqref="D18"/>
    </sheetView>
  </sheetViews>
  <sheetFormatPr baseColWidth="8" defaultColWidth="11" defaultRowHeight="16.5"/>
  <cols>
    <col width="27.6666666666667" customWidth="1" style="327" min="1" max="1"/>
    <col width="17.1666666666667" customWidth="1" style="327" min="6" max="6"/>
    <col width="12.6666666666667" customWidth="1" style="327" min="7" max="8"/>
    <col width="18.8333333333333" customWidth="1" style="345" min="9" max="9"/>
    <col width="23.1666666666667" customWidth="1" style="345" min="10" max="10"/>
    <col width="9.83333333333333" customWidth="1" style="345" min="11" max="11"/>
    <col width="11.3333333333333" customWidth="1" style="345" min="12" max="12"/>
    <col width="8.16666666666667" customWidth="1" style="345" min="13" max="13"/>
    <col width="26.6666666666667" customWidth="1" style="345" min="14" max="14"/>
    <col width="10.3333333333333" customWidth="1" style="345" min="15" max="16"/>
  </cols>
  <sheetData>
    <row r="1">
      <c r="A1" s="5" t="inlineStr">
        <is>
          <t>钟嘉欣新视频</t>
        </is>
      </c>
      <c r="B1" s="5" t="inlineStr">
        <is>
          <t>例子占比</t>
        </is>
      </c>
      <c r="C1" s="5" t="inlineStr">
        <is>
          <t>总例子数</t>
        </is>
      </c>
      <c r="D1" s="5" t="inlineStr">
        <is>
          <t>成本</t>
        </is>
      </c>
      <c r="E1" s="5" t="inlineStr">
        <is>
          <t>加权</t>
        </is>
      </c>
      <c r="F1" s="5" t="inlineStr">
        <is>
          <t>实际投放时间</t>
        </is>
      </c>
      <c r="G1" s="5" t="inlineStr">
        <is>
          <t>投放时间4个半月</t>
        </is>
      </c>
    </row>
    <row r="2" ht="17.25" customHeight="1" s="327">
      <c r="A2" s="5" t="inlineStr">
        <is>
          <t>汇总</t>
        </is>
      </c>
      <c r="B2" s="165" t="n">
        <v>1</v>
      </c>
      <c r="C2" s="5" t="n">
        <v>900</v>
      </c>
      <c r="D2" s="5" t="n">
        <v>650</v>
      </c>
      <c r="E2" s="166">
        <f t="array" ref="E2">SUMPRODUCT(C3:C7,D3:D7)/C2</f>
        <v/>
      </c>
      <c r="F2" s="5">
        <f>SUM(F3:F7)</f>
        <v/>
      </c>
      <c r="I2" s="345" t="inlineStr">
        <is>
          <t>以项目或周期为单位</t>
        </is>
      </c>
      <c r="J2" s="346" t="inlineStr">
        <is>
          <t>前端投放参数-预估</t>
        </is>
      </c>
      <c r="K2" s="347" t="inlineStr">
        <is>
          <t>益智</t>
        </is>
      </c>
      <c r="L2" s="347" t="inlineStr">
        <is>
          <t>美术</t>
        </is>
      </c>
    </row>
    <row r="3">
      <c r="A3" s="5" t="inlineStr">
        <is>
          <t>3月（13天，预计3.19投放）</t>
        </is>
      </c>
      <c r="B3" s="279" t="n">
        <v>0.15</v>
      </c>
      <c r="C3" s="5">
        <f>B3*C2</f>
        <v/>
      </c>
      <c r="D3" s="5" t="n">
        <v>550</v>
      </c>
      <c r="F3" s="5" t="n">
        <v>13</v>
      </c>
      <c r="I3" s="348" t="inlineStr">
        <is>
          <t>主投</t>
        </is>
      </c>
      <c r="J3" s="345" t="inlineStr">
        <is>
          <t>注册例子数</t>
        </is>
      </c>
      <c r="K3" s="349" t="n">
        <v>900</v>
      </c>
      <c r="L3" s="350" t="n"/>
      <c r="N3" s="351" t="inlineStr">
        <is>
          <t>其他参数（海外调整）</t>
        </is>
      </c>
      <c r="O3" s="352" t="inlineStr">
        <is>
          <t>益智</t>
        </is>
      </c>
      <c r="P3" s="353" t="inlineStr">
        <is>
          <t>美术</t>
        </is>
      </c>
    </row>
    <row r="4">
      <c r="A4" s="5" t="inlineStr">
        <is>
          <t>4月</t>
        </is>
      </c>
      <c r="B4" s="279" t="n">
        <v>0.3</v>
      </c>
      <c r="C4" s="5">
        <f>B4*C2</f>
        <v/>
      </c>
      <c r="D4" s="5" t="n">
        <v>600</v>
      </c>
      <c r="F4" s="5" t="n">
        <v>30</v>
      </c>
      <c r="I4" s="348" t="inlineStr">
        <is>
          <t>主投</t>
        </is>
      </c>
      <c r="J4" s="345" t="inlineStr">
        <is>
          <t>分发例子数</t>
        </is>
      </c>
      <c r="K4" s="354" t="n"/>
      <c r="L4" s="354" t="n"/>
      <c r="N4" s="355" t="inlineStr">
        <is>
          <t>销售人均承接例子数</t>
        </is>
      </c>
      <c r="O4" s="356" t="n">
        <v>93.8</v>
      </c>
      <c r="P4" s="356" t="n">
        <v>103</v>
      </c>
    </row>
    <row r="5">
      <c r="A5" s="5" t="inlineStr">
        <is>
          <t>5月</t>
        </is>
      </c>
      <c r="B5" s="165" t="n">
        <v>0.25</v>
      </c>
      <c r="C5" s="5">
        <f>B5*C2</f>
        <v/>
      </c>
      <c r="D5" s="5" t="n">
        <v>650</v>
      </c>
      <c r="F5" s="5" t="n">
        <v>31</v>
      </c>
      <c r="I5" s="348" t="inlineStr">
        <is>
          <t>主投</t>
        </is>
      </c>
      <c r="J5" s="345" t="inlineStr">
        <is>
          <t>单例子成本（CPA）</t>
        </is>
      </c>
      <c r="K5" s="349" t="n">
        <v>650</v>
      </c>
      <c r="L5" s="349" t="n"/>
      <c r="N5" s="355" t="inlineStr">
        <is>
          <t>销售人均固定人工成本</t>
        </is>
      </c>
      <c r="O5" s="357" t="n">
        <v>10622</v>
      </c>
      <c r="P5" s="358" t="n">
        <v>11145.0173429227</v>
      </c>
    </row>
    <row r="6">
      <c r="A6" s="5" t="inlineStr">
        <is>
          <t>6月</t>
        </is>
      </c>
      <c r="B6" s="165" t="n">
        <v>0.15</v>
      </c>
      <c r="C6" s="5">
        <f>B6*C2</f>
        <v/>
      </c>
      <c r="D6" s="5" t="n">
        <v>700</v>
      </c>
      <c r="F6" s="5" t="n">
        <v>30</v>
      </c>
      <c r="I6" s="348" t="inlineStr">
        <is>
          <t>主投</t>
        </is>
      </c>
      <c r="J6" s="345" t="inlineStr">
        <is>
          <t>单到课例子成本（CPA）</t>
        </is>
      </c>
      <c r="K6" s="349" t="n"/>
      <c r="L6" s="349" t="n"/>
      <c r="N6" s="355" t="inlineStr">
        <is>
          <t>销售提成比例</t>
        </is>
      </c>
      <c r="O6" s="241" t="n">
        <v>0.079</v>
      </c>
      <c r="P6" s="242" t="n">
        <v>0.077</v>
      </c>
    </row>
    <row r="7">
      <c r="A7" s="5" t="inlineStr">
        <is>
          <t>7月</t>
        </is>
      </c>
      <c r="B7" s="165" t="n">
        <v>0.15</v>
      </c>
      <c r="C7" s="5">
        <f>B7*C2</f>
        <v/>
      </c>
      <c r="D7" s="5" t="n">
        <v>700</v>
      </c>
      <c r="F7" s="5" t="n">
        <v>31</v>
      </c>
      <c r="I7" s="348" t="inlineStr">
        <is>
          <t>主投</t>
        </is>
      </c>
      <c r="J7" s="345" t="inlineStr">
        <is>
          <t>渠道佣金（CPS）</t>
        </is>
      </c>
      <c r="K7" s="243" t="n"/>
      <c r="L7" s="349" t="n"/>
      <c r="N7" s="355" t="inlineStr">
        <is>
          <t>礼品及其他费用比例</t>
        </is>
      </c>
      <c r="O7" s="241" t="n">
        <v>0.017</v>
      </c>
      <c r="P7" s="242" t="n">
        <v>0.022</v>
      </c>
    </row>
    <row r="8">
      <c r="I8" s="348" t="inlineStr">
        <is>
          <t>主投</t>
        </is>
      </c>
      <c r="J8" s="345" t="inlineStr">
        <is>
          <t>投放费用（CPT)</t>
        </is>
      </c>
      <c r="K8" s="349">
        <f>160000*0.91</f>
        <v/>
      </c>
      <c r="L8" s="349" t="n"/>
      <c r="N8" s="355" t="inlineStr">
        <is>
          <t>出席试听课费用</t>
        </is>
      </c>
      <c r="O8" s="359" t="n">
        <v>86.40000000000001</v>
      </c>
      <c r="P8" s="360" t="n">
        <v>82</v>
      </c>
    </row>
    <row r="9">
      <c r="I9" s="348" t="inlineStr">
        <is>
          <t>辅投</t>
        </is>
      </c>
      <c r="J9" s="361" t="inlineStr">
        <is>
          <t>注册例子数</t>
        </is>
      </c>
      <c r="K9" s="362" t="n"/>
      <c r="L9" s="350" t="n"/>
      <c r="N9" s="355" t="inlineStr">
        <is>
          <t>单例子渠道运营人工成本及其他</t>
        </is>
      </c>
      <c r="O9" s="359" t="n">
        <v>33.49</v>
      </c>
      <c r="P9" s="359" t="n">
        <v>75</v>
      </c>
    </row>
    <row r="10">
      <c r="I10" s="348" t="inlineStr">
        <is>
          <t>辅投</t>
        </is>
      </c>
      <c r="J10" s="361" t="inlineStr">
        <is>
          <t>分发例子数</t>
        </is>
      </c>
      <c r="K10" s="354" t="n"/>
      <c r="L10" s="350" t="n"/>
      <c r="N10" s="355" t="inlineStr">
        <is>
          <t>是否过TMK</t>
        </is>
      </c>
      <c r="O10" s="363" t="inlineStr">
        <is>
          <t>是</t>
        </is>
      </c>
      <c r="P10" s="364" t="inlineStr">
        <is>
          <t>是</t>
        </is>
      </c>
    </row>
    <row r="11">
      <c r="I11" s="348" t="inlineStr">
        <is>
          <t>辅投</t>
        </is>
      </c>
      <c r="J11" s="361" t="inlineStr">
        <is>
          <t>单例子成本（CPA）</t>
        </is>
      </c>
      <c r="K11" s="362" t="n"/>
      <c r="L11" s="362" t="n"/>
      <c r="N11" s="355" t="inlineStr">
        <is>
          <t>TMK人均承担例子量</t>
        </is>
      </c>
      <c r="O11" s="365" t="n">
        <v>1055</v>
      </c>
      <c r="P11" s="358" t="n">
        <v>1233</v>
      </c>
    </row>
    <row r="12" ht="17.25" customHeight="1" s="327">
      <c r="I12" s="348" t="inlineStr">
        <is>
          <t>辅投</t>
        </is>
      </c>
      <c r="J12" s="361" t="inlineStr">
        <is>
          <t>单到课例子成本（CPA）</t>
        </is>
      </c>
      <c r="K12" s="362" t="n"/>
      <c r="L12" s="362" t="n"/>
      <c r="N12" s="366" t="inlineStr">
        <is>
          <t>TMK人均成本</t>
        </is>
      </c>
      <c r="O12" s="367" t="n">
        <v>11181</v>
      </c>
      <c r="P12" s="367" t="n">
        <v>11486.4236150315</v>
      </c>
    </row>
    <row r="13">
      <c r="I13" s="348" t="inlineStr">
        <is>
          <t>辅投</t>
        </is>
      </c>
      <c r="J13" s="361" t="inlineStr">
        <is>
          <t>渠道佣金（CPS）</t>
        </is>
      </c>
      <c r="K13" s="253" t="n"/>
      <c r="L13" s="362" t="n"/>
      <c r="N13" s="368" t="inlineStr">
        <is>
          <t>备注：绿色填充部分可调整，没有对应的参数可留空</t>
        </is>
      </c>
    </row>
    <row r="14">
      <c r="I14" s="348" t="inlineStr">
        <is>
          <t>辅投</t>
        </is>
      </c>
      <c r="J14" s="361" t="inlineStr">
        <is>
          <t>投放费用（CPT)</t>
        </is>
      </c>
      <c r="K14" s="362" t="n"/>
      <c r="L14" s="362" t="n"/>
      <c r="O14" s="345">
        <f>O5/O4</f>
        <v/>
      </c>
      <c r="P14" s="345">
        <f>P5/P4</f>
        <v/>
      </c>
    </row>
    <row r="15">
      <c r="N15" s="369" t="n"/>
      <c r="O15" s="370">
        <f>O12/O11</f>
        <v/>
      </c>
      <c r="P15" s="370" t="n"/>
    </row>
    <row r="16">
      <c r="J16" s="346" t="inlineStr">
        <is>
          <t>过程指标-预估</t>
        </is>
      </c>
      <c r="K16" s="371" t="n"/>
      <c r="L16" s="371" t="n"/>
    </row>
    <row r="17">
      <c r="J17" s="345" t="inlineStr">
        <is>
          <t>注册分发率</t>
        </is>
      </c>
      <c r="K17" s="258" t="n">
        <v>0.5</v>
      </c>
      <c r="L17" s="357" t="n"/>
    </row>
    <row r="18">
      <c r="I18" s="348" t="inlineStr">
        <is>
          <t>主投</t>
        </is>
      </c>
      <c r="J18" s="345" t="inlineStr">
        <is>
          <t>滚动注册出席率</t>
        </is>
      </c>
      <c r="K18" s="372" t="n">
        <v>0.38</v>
      </c>
      <c r="L18" s="260" t="n"/>
    </row>
    <row r="19">
      <c r="I19" s="348" t="inlineStr">
        <is>
          <t>主投</t>
        </is>
      </c>
      <c r="J19" s="345" t="inlineStr">
        <is>
          <t>滚动出席转化率</t>
        </is>
      </c>
      <c r="K19" s="372" t="n">
        <v>0.35</v>
      </c>
      <c r="L19" s="373" t="n"/>
    </row>
    <row r="20">
      <c r="I20" s="348" t="inlineStr">
        <is>
          <t>主投</t>
        </is>
      </c>
      <c r="J20" s="345" t="inlineStr">
        <is>
          <t>滚动注册转化率</t>
        </is>
      </c>
      <c r="K20" s="374" t="n">
        <v>0.165</v>
      </c>
      <c r="L20" s="375" t="n"/>
      <c r="N20" s="369" t="n"/>
    </row>
    <row r="21">
      <c r="I21" s="348" t="inlineStr">
        <is>
          <t>主投</t>
        </is>
      </c>
      <c r="J21" s="345" t="inlineStr">
        <is>
          <t>正价课ASP</t>
        </is>
      </c>
      <c r="K21" s="376" t="n">
        <v>5000</v>
      </c>
      <c r="L21" s="376" t="n"/>
    </row>
    <row r="22">
      <c r="I22" s="348" t="inlineStr">
        <is>
          <t>辅投</t>
        </is>
      </c>
      <c r="J22" s="361" t="inlineStr">
        <is>
          <t>注册分发率</t>
        </is>
      </c>
      <c r="K22" s="357" t="n"/>
      <c r="L22" s="357" t="n"/>
      <c r="N22" s="265" t="n"/>
    </row>
    <row r="23">
      <c r="I23" s="348" t="inlineStr">
        <is>
          <t>辅投</t>
        </is>
      </c>
      <c r="J23" s="361" t="inlineStr">
        <is>
          <t>滚动注册出席率</t>
        </is>
      </c>
      <c r="K23" s="373" t="n"/>
      <c r="L23" s="373" t="n"/>
      <c r="N23" s="265" t="n"/>
    </row>
    <row r="24">
      <c r="I24" s="348" t="inlineStr">
        <is>
          <t>辅投</t>
        </is>
      </c>
      <c r="J24" s="361" t="inlineStr">
        <is>
          <t>滚动出席转化率</t>
        </is>
      </c>
      <c r="K24" s="373" t="n"/>
      <c r="L24" s="373" t="n"/>
      <c r="N24" s="265" t="n"/>
    </row>
    <row r="25">
      <c r="I25" s="348" t="inlineStr">
        <is>
          <t>辅投</t>
        </is>
      </c>
      <c r="J25" s="361" t="inlineStr">
        <is>
          <t>滚动注册转化率</t>
        </is>
      </c>
      <c r="K25" s="375" t="n"/>
      <c r="L25" s="375" t="n"/>
      <c r="N25" s="377" t="n"/>
    </row>
    <row r="26">
      <c r="I26" s="348" t="inlineStr">
        <is>
          <t>辅投</t>
        </is>
      </c>
      <c r="J26" s="361" t="inlineStr">
        <is>
          <t>正价课ASP</t>
        </is>
      </c>
      <c r="K26" s="350" t="n"/>
      <c r="L26" s="350" t="n"/>
    </row>
    <row r="28">
      <c r="J28" s="346" t="inlineStr">
        <is>
          <t>ROI 1相关指标-自动计算</t>
        </is>
      </c>
      <c r="K28" s="371" t="n"/>
      <c r="L28" s="371" t="n"/>
    </row>
    <row r="29">
      <c r="I29" s="348" t="inlineStr">
        <is>
          <t>主投</t>
        </is>
      </c>
      <c r="J29" s="345" t="inlineStr">
        <is>
          <t>到课学员数量</t>
        </is>
      </c>
      <c r="K29" s="378">
        <f>K18*K3</f>
        <v/>
      </c>
      <c r="L29" s="378">
        <f>L18*L3</f>
        <v/>
      </c>
      <c r="N29" s="379" t="inlineStr">
        <is>
          <t>例子数*注册出席率</t>
        </is>
      </c>
    </row>
    <row r="30">
      <c r="I30" s="348" t="inlineStr">
        <is>
          <t>主投</t>
        </is>
      </c>
      <c r="J30" s="345" t="inlineStr">
        <is>
          <t>正价课学员数量</t>
        </is>
      </c>
      <c r="K30" s="378">
        <f>K3*K20</f>
        <v/>
      </c>
      <c r="L30" s="378">
        <f>L3*L20</f>
        <v/>
      </c>
      <c r="N30" s="379" t="inlineStr">
        <is>
          <t>例子数*注册转化率</t>
        </is>
      </c>
    </row>
    <row r="31">
      <c r="I31" s="348" t="inlineStr">
        <is>
          <t>主投</t>
        </is>
      </c>
      <c r="J31" s="345" t="inlineStr">
        <is>
          <t>正价课GMV</t>
        </is>
      </c>
      <c r="K31" s="378">
        <f>K30*K21</f>
        <v/>
      </c>
      <c r="L31" s="378">
        <f>L30*L21</f>
        <v/>
      </c>
      <c r="N31" s="379" t="inlineStr">
        <is>
          <t>ASP*学员人数</t>
        </is>
      </c>
    </row>
    <row r="32">
      <c r="I32" s="348" t="inlineStr">
        <is>
          <t>主投</t>
        </is>
      </c>
      <c r="J32" s="345" t="inlineStr">
        <is>
          <t>前端投放总成本</t>
        </is>
      </c>
      <c r="K32" s="378">
        <f>K5*K3+K7*K31+K8+K29*K6+K3*O9</f>
        <v/>
      </c>
      <c r="L32" s="378">
        <f>L5*L3+L7*L31+L8+L29*L6+L3*P9</f>
        <v/>
      </c>
      <c r="N32" s="379" t="inlineStr">
        <is>
          <t>例子数*单例子成本+GMV*CPS佣金比例+投放费用+单到课例子成本*出席人数+例子数*单例子运营人工成本</t>
        </is>
      </c>
    </row>
    <row r="33">
      <c r="I33" s="348" t="inlineStr">
        <is>
          <t>辅投</t>
        </is>
      </c>
      <c r="J33" s="361" t="inlineStr">
        <is>
          <t>到课学员数量</t>
        </is>
      </c>
      <c r="K33" s="378">
        <f>K23*K9</f>
        <v/>
      </c>
      <c r="L33" s="378">
        <f>L23*L9</f>
        <v/>
      </c>
      <c r="N33" s="379" t="n"/>
    </row>
    <row r="34">
      <c r="I34" s="348" t="inlineStr">
        <is>
          <t>辅投</t>
        </is>
      </c>
      <c r="J34" s="361" t="inlineStr">
        <is>
          <t>正价课学员数量</t>
        </is>
      </c>
      <c r="K34" s="378">
        <f>K9*K25</f>
        <v/>
      </c>
      <c r="L34" s="378">
        <f>L9*L25</f>
        <v/>
      </c>
    </row>
    <row r="35">
      <c r="I35" s="348" t="inlineStr">
        <is>
          <t>辅投</t>
        </is>
      </c>
      <c r="J35" s="361" t="inlineStr">
        <is>
          <t>正价课GMV</t>
        </is>
      </c>
      <c r="K35" s="378">
        <f>K26*K34</f>
        <v/>
      </c>
      <c r="L35" s="378">
        <f>L26*L34</f>
        <v/>
      </c>
    </row>
    <row r="36">
      <c r="I36" s="348" t="inlineStr">
        <is>
          <t>辅投</t>
        </is>
      </c>
      <c r="J36" s="361" t="inlineStr">
        <is>
          <t>前端投放总成本</t>
        </is>
      </c>
      <c r="K36" s="378">
        <f>K9*K11+K13*K35+K14+K12*K33+K9*P9</f>
        <v/>
      </c>
      <c r="L36" s="378">
        <f>L9*L11+L13*L35+L14+L12*L33+L9*O9</f>
        <v/>
      </c>
      <c r="N36" s="379" t="inlineStr">
        <is>
          <t>例子数*单例子成本+GMV*CPS佣金比例+投放费用+单到课例子成本*出席人数+例子数*单例子运营人工成本</t>
        </is>
      </c>
    </row>
    <row r="37">
      <c r="I37" s="348" t="inlineStr">
        <is>
          <t>主投+辅投</t>
        </is>
      </c>
      <c r="J37" s="345" t="inlineStr">
        <is>
          <t>每单获客成本1</t>
        </is>
      </c>
      <c r="K37" s="378">
        <f>(K32+K36)/(K30+K34)</f>
        <v/>
      </c>
      <c r="L37" s="378">
        <f>(L32+L36)/(L30+L34)</f>
        <v/>
      </c>
      <c r="N37" s="379" t="inlineStr">
        <is>
          <t>前端投放总成本/学员人数</t>
        </is>
      </c>
    </row>
    <row r="38">
      <c r="J38" s="380" t="inlineStr">
        <is>
          <t>ROI 1</t>
        </is>
      </c>
      <c r="K38" s="381">
        <f>(K31+K35)/(K32+K36)</f>
        <v/>
      </c>
      <c r="L38" s="381">
        <f>(L31+L35)/(L32+L36)</f>
        <v/>
      </c>
      <c r="N38" s="379" t="inlineStr">
        <is>
          <t>GMV/前端投放总成本</t>
        </is>
      </c>
    </row>
    <row r="39">
      <c r="K39" s="378" t="n"/>
      <c r="L39" s="378" t="n"/>
    </row>
    <row r="40">
      <c r="J40" s="346" t="inlineStr">
        <is>
          <t>ROI 2相关指标-自动计算</t>
        </is>
      </c>
      <c r="K40" s="382" t="n"/>
      <c r="L40" s="382" t="n"/>
      <c r="M40" s="370" t="n"/>
      <c r="N40" s="383" t="n"/>
    </row>
    <row r="41">
      <c r="I41" s="348" t="inlineStr">
        <is>
          <t>主投</t>
        </is>
      </c>
      <c r="J41" s="345" t="inlineStr">
        <is>
          <t>试听课费用</t>
        </is>
      </c>
      <c r="K41" s="378">
        <f>K29*O8</f>
        <v/>
      </c>
      <c r="L41" s="378">
        <f>L29*P8</f>
        <v/>
      </c>
      <c r="N41" s="379" t="inlineStr">
        <is>
          <t>单课时试听课费用*出席人数</t>
        </is>
      </c>
    </row>
    <row r="42">
      <c r="I42" s="348" t="inlineStr">
        <is>
          <t>主投</t>
        </is>
      </c>
      <c r="J42" s="345" t="inlineStr">
        <is>
          <t>TMK费用</t>
        </is>
      </c>
      <c r="K42" s="378">
        <f>IF(O10="是",K3/O11*O12,0)</f>
        <v/>
      </c>
      <c r="L42" s="378">
        <f>IF(P10="是",L3/P11*P12,0)</f>
        <v/>
      </c>
      <c r="N42" s="379" t="inlineStr">
        <is>
          <t>例子数/TMK人均承担例子量*TMK人均成本=TMK人数*TMK人均成本</t>
        </is>
      </c>
    </row>
    <row r="43">
      <c r="I43" s="348" t="inlineStr">
        <is>
          <t>主投</t>
        </is>
      </c>
      <c r="J43" s="345" t="inlineStr">
        <is>
          <t>销售成本</t>
        </is>
      </c>
      <c r="K43" s="378">
        <f>K4/O4*O5+K31*(O6+O7)</f>
        <v/>
      </c>
      <c r="L43" s="378">
        <f>L4/P4*P5+L31*(P6+P7)</f>
        <v/>
      </c>
      <c r="N43" s="379" t="inlineStr">
        <is>
          <t>分发例子数/销售人均承接例子数*销售人均固定人工成本+GMV*（销售提成比例+礼品及其他费用比例）</t>
        </is>
      </c>
    </row>
    <row r="44">
      <c r="I44" s="348" t="inlineStr">
        <is>
          <t>辅投</t>
        </is>
      </c>
      <c r="J44" s="361" t="inlineStr">
        <is>
          <t>试听课费用</t>
        </is>
      </c>
      <c r="K44" s="378">
        <f>K33*P8</f>
        <v/>
      </c>
      <c r="L44" s="378">
        <f>L33*O8</f>
        <v/>
      </c>
      <c r="N44" s="379" t="n"/>
    </row>
    <row r="45">
      <c r="I45" s="348" t="inlineStr">
        <is>
          <t>辅投</t>
        </is>
      </c>
      <c r="J45" s="361" t="inlineStr">
        <is>
          <t>TMK费用</t>
        </is>
      </c>
      <c r="K45" s="378">
        <f>IF(P10="是",K9/P11*P12,0)</f>
        <v/>
      </c>
      <c r="L45" s="378">
        <f>IF(O10="是",L9/O11*O12,0)</f>
        <v/>
      </c>
      <c r="N45" s="379" t="n"/>
    </row>
    <row r="46">
      <c r="I46" s="348" t="inlineStr">
        <is>
          <t>辅投</t>
        </is>
      </c>
      <c r="J46" s="361" t="inlineStr">
        <is>
          <t>销售成本</t>
        </is>
      </c>
      <c r="K46" s="378">
        <f>K10/P4*P5+K35*(P6+P7)</f>
        <v/>
      </c>
      <c r="L46" s="378">
        <f>L10/O4*O5+L35*(O6+O7)</f>
        <v/>
      </c>
      <c r="N46" s="379" t="inlineStr">
        <is>
          <t>分发例子数/销售人均承接例子数*销售人均固定人工成本+GMV*（销售提成比例+礼品及其他费用比例）</t>
        </is>
      </c>
    </row>
    <row r="47">
      <c r="I47" s="348" t="inlineStr">
        <is>
          <t>主投+辅投</t>
        </is>
      </c>
      <c r="J47" s="345" t="inlineStr">
        <is>
          <t>每单获客成本2</t>
        </is>
      </c>
      <c r="K47" s="378">
        <f>K37+SUM(K41:K46)/(K30+K34)</f>
        <v/>
      </c>
      <c r="L47" s="378">
        <f>L37+SUM(L41:L46)/(L30+L34)</f>
        <v/>
      </c>
      <c r="N47" s="379" t="inlineStr">
        <is>
          <t>市场费用+试听课费用+TMK费用+销售费用</t>
        </is>
      </c>
    </row>
    <row r="48" ht="17.25" customHeight="1" s="327">
      <c r="J48" s="384" t="inlineStr">
        <is>
          <t>ROI 2</t>
        </is>
      </c>
      <c r="K48" s="385">
        <f>(K31+K35)/(K32+K36+SUM(K41:K46))</f>
        <v/>
      </c>
      <c r="L48" s="386">
        <f>(L31+L35)/(L32+L36+SUM(L41:L46))</f>
        <v/>
      </c>
      <c r="N48" s="387" t="n"/>
    </row>
    <row r="49" ht="17.25" customHeight="1" s="327">
      <c r="N49" s="379" t="n"/>
    </row>
    <row r="50">
      <c r="K50" s="388" t="n"/>
      <c r="N50" s="379" t="n"/>
    </row>
    <row r="51">
      <c r="N51" s="379" t="n"/>
    </row>
    <row r="66">
      <c r="N66" s="369" t="n"/>
    </row>
  </sheetData>
  <dataValidations count="1">
    <dataValidation sqref="O10:P10" showDropDown="0" showInputMessage="1" showErrorMessage="1" allowBlank="1" type="list">
      <formula1>"是,否"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C5" sqref="C5"/>
    </sheetView>
  </sheetViews>
  <sheetFormatPr baseColWidth="8" defaultColWidth="11" defaultRowHeight="16.5"/>
  <cols>
    <col width="15.3333333333333" customWidth="1" style="327" min="6" max="6"/>
    <col width="12.6666666666667" customWidth="1" style="327" min="8" max="8"/>
    <col width="18.8333333333333" customWidth="1" style="345" min="9" max="9"/>
    <col width="23.1666666666667" customWidth="1" style="345" min="10" max="10"/>
    <col width="9.83333333333333" customWidth="1" style="345" min="11" max="11"/>
    <col width="11.3333333333333" customWidth="1" style="345" min="12" max="12"/>
    <col width="8.16666666666667" customWidth="1" style="345" min="13" max="13"/>
    <col width="26.6666666666667" customWidth="1" style="345" min="14" max="14"/>
    <col width="10.3333333333333" customWidth="1" style="345" min="15" max="16"/>
  </cols>
  <sheetData>
    <row r="1">
      <c r="A1" s="5" t="inlineStr">
        <is>
          <t>吕慧仪</t>
        </is>
      </c>
      <c r="B1" s="5" t="inlineStr">
        <is>
          <t>例子占比</t>
        </is>
      </c>
      <c r="C1" s="5" t="inlineStr">
        <is>
          <t>总例子数</t>
        </is>
      </c>
      <c r="D1" s="5" t="inlineStr">
        <is>
          <t>成本</t>
        </is>
      </c>
      <c r="E1" s="5" t="inlineStr">
        <is>
          <t>加权</t>
        </is>
      </c>
      <c r="F1" s="5" t="inlineStr">
        <is>
          <t>实际投放天数</t>
        </is>
      </c>
      <c r="G1" s="5" t="inlineStr">
        <is>
          <t>预计上线时间11.15</t>
        </is>
      </c>
    </row>
    <row r="2" ht="17.25" customHeight="1" s="327">
      <c r="A2" s="5" t="inlineStr">
        <is>
          <t>汇总</t>
        </is>
      </c>
      <c r="B2" s="165" t="n">
        <v>1</v>
      </c>
      <c r="C2" s="5" t="n">
        <v>420</v>
      </c>
      <c r="D2" s="5" t="n">
        <v>700</v>
      </c>
      <c r="E2" s="166">
        <f t="array" ref="E2">SUMPRODUCT(C3:C6,D3:D6)/C2</f>
        <v/>
      </c>
      <c r="I2" s="345" t="inlineStr">
        <is>
          <t>以项目或周期为单位</t>
        </is>
      </c>
      <c r="J2" s="346" t="inlineStr">
        <is>
          <t>前端投放参数-预估</t>
        </is>
      </c>
      <c r="K2" s="347" t="inlineStr">
        <is>
          <t>益智</t>
        </is>
      </c>
      <c r="L2" s="347" t="inlineStr">
        <is>
          <t>美术</t>
        </is>
      </c>
    </row>
    <row r="3">
      <c r="A3" s="5" t="inlineStr">
        <is>
          <t>2月</t>
        </is>
      </c>
      <c r="B3" s="279" t="n">
        <v>0.1</v>
      </c>
      <c r="C3" s="5">
        <f>C$2*B3</f>
        <v/>
      </c>
      <c r="D3" s="5" t="n">
        <v>600</v>
      </c>
      <c r="F3" s="5" t="n">
        <v>15</v>
      </c>
      <c r="I3" s="348" t="inlineStr">
        <is>
          <t>主投</t>
        </is>
      </c>
      <c r="J3" s="345" t="inlineStr">
        <is>
          <t>注册例子数</t>
        </is>
      </c>
      <c r="K3" s="349" t="n">
        <v>420</v>
      </c>
      <c r="L3" s="350" t="n"/>
      <c r="N3" s="351" t="inlineStr">
        <is>
          <t>其他参数（海外调整）</t>
        </is>
      </c>
      <c r="O3" s="352" t="inlineStr">
        <is>
          <t>益智</t>
        </is>
      </c>
      <c r="P3" s="353" t="inlineStr">
        <is>
          <t>美术</t>
        </is>
      </c>
    </row>
    <row r="4">
      <c r="A4" s="5" t="inlineStr">
        <is>
          <t>3月</t>
        </is>
      </c>
      <c r="B4" s="279" t="n">
        <v>0.4</v>
      </c>
      <c r="C4" s="5">
        <f>C$2*B4</f>
        <v/>
      </c>
      <c r="D4" s="5" t="n">
        <v>650</v>
      </c>
      <c r="F4" s="5" t="n">
        <v>31</v>
      </c>
      <c r="I4" s="348" t="inlineStr">
        <is>
          <t>主投</t>
        </is>
      </c>
      <c r="J4" s="345" t="inlineStr">
        <is>
          <t>分发例子数</t>
        </is>
      </c>
      <c r="K4" s="354" t="n"/>
      <c r="L4" s="354" t="n"/>
      <c r="N4" s="355" t="inlineStr">
        <is>
          <t>销售人均承接例子数</t>
        </is>
      </c>
      <c r="O4" s="356" t="n">
        <v>93.8</v>
      </c>
      <c r="P4" s="356" t="n">
        <v>103</v>
      </c>
    </row>
    <row r="5">
      <c r="A5" s="5" t="inlineStr">
        <is>
          <t>4月</t>
        </is>
      </c>
      <c r="B5" s="279" t="n">
        <v>0.3</v>
      </c>
      <c r="C5" s="5">
        <f>C$2*B5</f>
        <v/>
      </c>
      <c r="D5" s="5" t="n">
        <v>735</v>
      </c>
      <c r="F5" s="5" t="n">
        <v>31</v>
      </c>
      <c r="I5" s="348" t="inlineStr">
        <is>
          <t>主投</t>
        </is>
      </c>
      <c r="J5" s="345" t="inlineStr">
        <is>
          <t>单例子成本（CPA）</t>
        </is>
      </c>
      <c r="K5" s="349" t="n">
        <v>700</v>
      </c>
      <c r="L5" s="349" t="n"/>
      <c r="N5" s="355" t="inlineStr">
        <is>
          <t>销售人均固定人工成本</t>
        </is>
      </c>
      <c r="O5" s="357" t="n">
        <v>10622</v>
      </c>
      <c r="P5" s="358" t="n">
        <v>11145.0173429227</v>
      </c>
    </row>
    <row r="6">
      <c r="A6" s="5" t="inlineStr">
        <is>
          <t>5月</t>
        </is>
      </c>
      <c r="B6" s="279" t="n">
        <v>0.2</v>
      </c>
      <c r="C6" s="5">
        <f>C$2*B6</f>
        <v/>
      </c>
      <c r="D6" s="5" t="n">
        <v>795</v>
      </c>
      <c r="F6" s="5" t="n">
        <v>13</v>
      </c>
      <c r="I6" s="348" t="inlineStr">
        <is>
          <t>主投</t>
        </is>
      </c>
      <c r="J6" s="345" t="inlineStr">
        <is>
          <t>单到课例子成本（CPA）</t>
        </is>
      </c>
      <c r="K6" s="349" t="n"/>
      <c r="L6" s="349" t="n"/>
      <c r="N6" s="355" t="inlineStr">
        <is>
          <t>销售提成比例</t>
        </is>
      </c>
      <c r="O6" s="241" t="n">
        <v>0.079</v>
      </c>
      <c r="P6" s="242" t="n">
        <v>0.077</v>
      </c>
    </row>
    <row r="7">
      <c r="I7" s="348" t="inlineStr">
        <is>
          <t>主投</t>
        </is>
      </c>
      <c r="J7" s="345" t="inlineStr">
        <is>
          <t>渠道佣金（CPS）</t>
        </is>
      </c>
      <c r="K7" s="243" t="n"/>
      <c r="L7" s="349" t="n"/>
      <c r="N7" s="355" t="inlineStr">
        <is>
          <t>礼品及其他费用比例</t>
        </is>
      </c>
      <c r="O7" s="241" t="n">
        <v>0.017</v>
      </c>
      <c r="P7" s="242" t="n">
        <v>0.022</v>
      </c>
    </row>
    <row r="8">
      <c r="I8" s="348" t="inlineStr">
        <is>
          <t>主投</t>
        </is>
      </c>
      <c r="J8" s="345" t="inlineStr">
        <is>
          <t>投放费用（CPT)</t>
        </is>
      </c>
      <c r="K8" s="349" t="n">
        <v>84500</v>
      </c>
      <c r="L8" s="349" t="n"/>
      <c r="N8" s="355" t="inlineStr">
        <is>
          <t>出席试听课费用</t>
        </is>
      </c>
      <c r="O8" s="359" t="n">
        <v>86.40000000000001</v>
      </c>
      <c r="P8" s="360" t="n">
        <v>82</v>
      </c>
    </row>
    <row r="9">
      <c r="I9" s="348" t="inlineStr">
        <is>
          <t>辅投</t>
        </is>
      </c>
      <c r="J9" s="361" t="inlineStr">
        <is>
          <t>注册例子数</t>
        </is>
      </c>
      <c r="K9" s="362" t="n"/>
      <c r="L9" s="350" t="n"/>
      <c r="N9" s="355" t="inlineStr">
        <is>
          <t>单例子渠道运营人工成本及其他</t>
        </is>
      </c>
      <c r="O9" s="359" t="n">
        <v>33.49</v>
      </c>
      <c r="P9" s="359" t="n">
        <v>75</v>
      </c>
    </row>
    <row r="10">
      <c r="I10" s="348" t="inlineStr">
        <is>
          <t>辅投</t>
        </is>
      </c>
      <c r="J10" s="361" t="inlineStr">
        <is>
          <t>分发例子数</t>
        </is>
      </c>
      <c r="K10" s="354" t="n"/>
      <c r="L10" s="350" t="n"/>
      <c r="N10" s="355" t="inlineStr">
        <is>
          <t>是否过TMK</t>
        </is>
      </c>
      <c r="O10" s="363" t="inlineStr">
        <is>
          <t>是</t>
        </is>
      </c>
      <c r="P10" s="364" t="inlineStr">
        <is>
          <t>是</t>
        </is>
      </c>
    </row>
    <row r="11">
      <c r="I11" s="348" t="inlineStr">
        <is>
          <t>辅投</t>
        </is>
      </c>
      <c r="J11" s="361" t="inlineStr">
        <is>
          <t>单例子成本（CPA）</t>
        </is>
      </c>
      <c r="K11" s="362" t="n"/>
      <c r="L11" s="362" t="n"/>
      <c r="N11" s="355" t="inlineStr">
        <is>
          <t>TMK人均承担例子量</t>
        </is>
      </c>
      <c r="O11" s="365" t="n">
        <v>1055</v>
      </c>
      <c r="P11" s="358" t="n">
        <v>1233</v>
      </c>
    </row>
    <row r="12" ht="17.25" customHeight="1" s="327">
      <c r="I12" s="348" t="inlineStr">
        <is>
          <t>辅投</t>
        </is>
      </c>
      <c r="J12" s="361" t="inlineStr">
        <is>
          <t>单到课例子成本（CPA）</t>
        </is>
      </c>
      <c r="K12" s="362" t="n"/>
      <c r="L12" s="362" t="n"/>
      <c r="N12" s="366" t="inlineStr">
        <is>
          <t>TMK人均成本</t>
        </is>
      </c>
      <c r="O12" s="367" t="n">
        <v>11181</v>
      </c>
      <c r="P12" s="367" t="n">
        <v>11486.4236150315</v>
      </c>
    </row>
    <row r="13">
      <c r="I13" s="348" t="inlineStr">
        <is>
          <t>辅投</t>
        </is>
      </c>
      <c r="J13" s="361" t="inlineStr">
        <is>
          <t>渠道佣金（CPS）</t>
        </is>
      </c>
      <c r="K13" s="253" t="n"/>
      <c r="L13" s="362" t="n"/>
      <c r="N13" s="368" t="inlineStr">
        <is>
          <t>备注：绿色填充部分可调整，没有对应的参数可留空</t>
        </is>
      </c>
    </row>
    <row r="14">
      <c r="I14" s="348" t="inlineStr">
        <is>
          <t>辅投</t>
        </is>
      </c>
      <c r="J14" s="361" t="inlineStr">
        <is>
          <t>投放费用（CPT)</t>
        </is>
      </c>
      <c r="K14" s="362" t="n"/>
      <c r="L14" s="362" t="n"/>
      <c r="O14" s="345">
        <f>O5/O4</f>
        <v/>
      </c>
      <c r="P14" s="345">
        <f>P5/P4</f>
        <v/>
      </c>
    </row>
    <row r="15">
      <c r="N15" s="369" t="n"/>
      <c r="O15" s="370">
        <f>O12/O11</f>
        <v/>
      </c>
      <c r="P15" s="370" t="n"/>
    </row>
    <row r="16">
      <c r="J16" s="346" t="inlineStr">
        <is>
          <t>过程指标-预估</t>
        </is>
      </c>
      <c r="K16" s="371" t="n"/>
      <c r="L16" s="371" t="n"/>
    </row>
    <row r="17">
      <c r="J17" s="345" t="inlineStr">
        <is>
          <t>注册分发率</t>
        </is>
      </c>
      <c r="K17" s="258" t="n">
        <v>0.5</v>
      </c>
      <c r="L17" s="357" t="n"/>
    </row>
    <row r="18">
      <c r="I18" s="348" t="inlineStr">
        <is>
          <t>主投</t>
        </is>
      </c>
      <c r="J18" s="345" t="inlineStr">
        <is>
          <t>滚动注册出席率</t>
        </is>
      </c>
      <c r="K18" s="372" t="n">
        <v>0.38</v>
      </c>
      <c r="L18" s="260" t="n"/>
    </row>
    <row r="19">
      <c r="I19" s="348" t="inlineStr">
        <is>
          <t>主投</t>
        </is>
      </c>
      <c r="J19" s="345" t="inlineStr">
        <is>
          <t>滚动出席转化率</t>
        </is>
      </c>
      <c r="K19" s="372" t="n">
        <v>0.35</v>
      </c>
      <c r="L19" s="373" t="n"/>
    </row>
    <row r="20">
      <c r="I20" s="348" t="inlineStr">
        <is>
          <t>主投</t>
        </is>
      </c>
      <c r="J20" s="345" t="inlineStr">
        <is>
          <t>滚动注册转化率</t>
        </is>
      </c>
      <c r="K20" s="374" t="n">
        <v>0.18</v>
      </c>
      <c r="L20" s="375" t="n"/>
      <c r="N20" s="369" t="n"/>
    </row>
    <row r="21">
      <c r="I21" s="348" t="inlineStr">
        <is>
          <t>主投</t>
        </is>
      </c>
      <c r="J21" s="345" t="inlineStr">
        <is>
          <t>正价课ASP</t>
        </is>
      </c>
      <c r="K21" s="376" t="n">
        <v>5000</v>
      </c>
      <c r="L21" s="376" t="n"/>
    </row>
    <row r="22">
      <c r="I22" s="348" t="inlineStr">
        <is>
          <t>辅投</t>
        </is>
      </c>
      <c r="J22" s="361" t="inlineStr">
        <is>
          <t>注册分发率</t>
        </is>
      </c>
      <c r="K22" s="357" t="n"/>
      <c r="L22" s="357" t="n"/>
      <c r="N22" s="265" t="n"/>
    </row>
    <row r="23">
      <c r="I23" s="348" t="inlineStr">
        <is>
          <t>辅投</t>
        </is>
      </c>
      <c r="J23" s="361" t="inlineStr">
        <is>
          <t>滚动注册出席率</t>
        </is>
      </c>
      <c r="K23" s="373" t="n"/>
      <c r="L23" s="373" t="n"/>
      <c r="N23" s="265" t="n"/>
    </row>
    <row r="24">
      <c r="I24" s="348" t="inlineStr">
        <is>
          <t>辅投</t>
        </is>
      </c>
      <c r="J24" s="361" t="inlineStr">
        <is>
          <t>滚动出席转化率</t>
        </is>
      </c>
      <c r="K24" s="373" t="n"/>
      <c r="L24" s="373" t="n"/>
      <c r="N24" s="265" t="n"/>
    </row>
    <row r="25">
      <c r="I25" s="348" t="inlineStr">
        <is>
          <t>辅投</t>
        </is>
      </c>
      <c r="J25" s="361" t="inlineStr">
        <is>
          <t>滚动注册转化率</t>
        </is>
      </c>
      <c r="K25" s="375" t="n"/>
      <c r="L25" s="375" t="n"/>
      <c r="N25" s="377" t="n"/>
    </row>
    <row r="26">
      <c r="I26" s="348" t="inlineStr">
        <is>
          <t>辅投</t>
        </is>
      </c>
      <c r="J26" s="361" t="inlineStr">
        <is>
          <t>正价课ASP</t>
        </is>
      </c>
      <c r="K26" s="350" t="n"/>
      <c r="L26" s="350" t="n"/>
    </row>
    <row r="28">
      <c r="J28" s="346" t="inlineStr">
        <is>
          <t>ROI 1相关指标-自动计算</t>
        </is>
      </c>
      <c r="K28" s="371" t="n"/>
      <c r="L28" s="371" t="n"/>
    </row>
    <row r="29">
      <c r="I29" s="348" t="inlineStr">
        <is>
          <t>主投</t>
        </is>
      </c>
      <c r="J29" s="345" t="inlineStr">
        <is>
          <t>到课学员数量</t>
        </is>
      </c>
      <c r="K29" s="378">
        <f>K18*K3</f>
        <v/>
      </c>
      <c r="L29" s="378">
        <f>L18*L3</f>
        <v/>
      </c>
      <c r="N29" s="379" t="inlineStr">
        <is>
          <t>例子数*注册出席率</t>
        </is>
      </c>
    </row>
    <row r="30">
      <c r="I30" s="348" t="inlineStr">
        <is>
          <t>主投</t>
        </is>
      </c>
      <c r="J30" s="345" t="inlineStr">
        <is>
          <t>正价课学员数量</t>
        </is>
      </c>
      <c r="K30" s="378">
        <f>K3*K20</f>
        <v/>
      </c>
      <c r="L30" s="378">
        <f>L3*L20</f>
        <v/>
      </c>
      <c r="N30" s="379" t="inlineStr">
        <is>
          <t>例子数*注册转化率</t>
        </is>
      </c>
    </row>
    <row r="31">
      <c r="I31" s="348" t="inlineStr">
        <is>
          <t>主投</t>
        </is>
      </c>
      <c r="J31" s="345" t="inlineStr">
        <is>
          <t>正价课GMV</t>
        </is>
      </c>
      <c r="K31" s="378">
        <f>K30*K21</f>
        <v/>
      </c>
      <c r="L31" s="378">
        <f>L30*L21</f>
        <v/>
      </c>
      <c r="N31" s="379" t="inlineStr">
        <is>
          <t>ASP*学员人数</t>
        </is>
      </c>
    </row>
    <row r="32">
      <c r="I32" s="348" t="inlineStr">
        <is>
          <t>主投</t>
        </is>
      </c>
      <c r="J32" s="345" t="inlineStr">
        <is>
          <t>前端投放总成本</t>
        </is>
      </c>
      <c r="K32" s="378">
        <f>K5*K3+K7*K31+K8+K29*K6+K3*O9</f>
        <v/>
      </c>
      <c r="L32" s="378">
        <f>L5*L3+L7*L31+L8+L29*L6+L3*P9</f>
        <v/>
      </c>
      <c r="N32" s="379" t="inlineStr">
        <is>
          <t>例子数*单例子成本+GMV*CPS佣金比例+投放费用+单到课例子成本*出席人数+例子数*单例子运营人工成本</t>
        </is>
      </c>
    </row>
    <row r="33">
      <c r="I33" s="348" t="inlineStr">
        <is>
          <t>辅投</t>
        </is>
      </c>
      <c r="J33" s="361" t="inlineStr">
        <is>
          <t>到课学员数量</t>
        </is>
      </c>
      <c r="K33" s="378">
        <f>K23*K9</f>
        <v/>
      </c>
      <c r="L33" s="378">
        <f>L23*L9</f>
        <v/>
      </c>
      <c r="N33" s="379" t="n"/>
    </row>
    <row r="34">
      <c r="I34" s="348" t="inlineStr">
        <is>
          <t>辅投</t>
        </is>
      </c>
      <c r="J34" s="361" t="inlineStr">
        <is>
          <t>正价课学员数量</t>
        </is>
      </c>
      <c r="K34" s="378">
        <f>K9*K25</f>
        <v/>
      </c>
      <c r="L34" s="378">
        <f>L9*L25</f>
        <v/>
      </c>
    </row>
    <row r="35">
      <c r="I35" s="348" t="inlineStr">
        <is>
          <t>辅投</t>
        </is>
      </c>
      <c r="J35" s="361" t="inlineStr">
        <is>
          <t>正价课GMV</t>
        </is>
      </c>
      <c r="K35" s="378">
        <f>K26*K34</f>
        <v/>
      </c>
      <c r="L35" s="378">
        <f>L26*L34</f>
        <v/>
      </c>
    </row>
    <row r="36">
      <c r="I36" s="348" t="inlineStr">
        <is>
          <t>辅投</t>
        </is>
      </c>
      <c r="J36" s="361" t="inlineStr">
        <is>
          <t>前端投放总成本</t>
        </is>
      </c>
      <c r="K36" s="378">
        <f>K9*K11+K13*K35+K14+K12*K33+K9*P9</f>
        <v/>
      </c>
      <c r="L36" s="378">
        <f>L9*L11+L13*L35+L14+L12*L33+L9*O9</f>
        <v/>
      </c>
      <c r="N36" s="379" t="inlineStr">
        <is>
          <t>例子数*单例子成本+GMV*CPS佣金比例+投放费用+单到课例子成本*出席人数+例子数*单例子运营人工成本</t>
        </is>
      </c>
    </row>
    <row r="37">
      <c r="I37" s="348" t="inlineStr">
        <is>
          <t>主投+辅投</t>
        </is>
      </c>
      <c r="J37" s="345" t="inlineStr">
        <is>
          <t>每单获客成本1</t>
        </is>
      </c>
      <c r="K37" s="378">
        <f>(K32+K36)/(K30+K34)</f>
        <v/>
      </c>
      <c r="L37" s="378">
        <f>(L32+L36)/(L30+L34)</f>
        <v/>
      </c>
      <c r="N37" s="379" t="inlineStr">
        <is>
          <t>前端投放总成本/学员人数</t>
        </is>
      </c>
    </row>
    <row r="38">
      <c r="J38" s="380" t="inlineStr">
        <is>
          <t>ROI 1</t>
        </is>
      </c>
      <c r="K38" s="381">
        <f>(K31+K35)/(K32+K36)</f>
        <v/>
      </c>
      <c r="L38" s="381">
        <f>(L31+L35)/(L32+L36)</f>
        <v/>
      </c>
      <c r="N38" s="379" t="inlineStr">
        <is>
          <t>GMV/前端投放总成本</t>
        </is>
      </c>
    </row>
    <row r="39">
      <c r="K39" s="378" t="n"/>
      <c r="L39" s="378" t="n"/>
    </row>
    <row r="40">
      <c r="J40" s="346" t="inlineStr">
        <is>
          <t>ROI 2相关指标-自动计算</t>
        </is>
      </c>
      <c r="K40" s="382" t="n"/>
      <c r="L40" s="382" t="n"/>
      <c r="M40" s="370" t="n"/>
      <c r="N40" s="383" t="n"/>
    </row>
    <row r="41">
      <c r="I41" s="348" t="inlineStr">
        <is>
          <t>主投</t>
        </is>
      </c>
      <c r="J41" s="345" t="inlineStr">
        <is>
          <t>试听课费用</t>
        </is>
      </c>
      <c r="K41" s="378">
        <f>K29*O8</f>
        <v/>
      </c>
      <c r="L41" s="378">
        <f>L29*P8</f>
        <v/>
      </c>
      <c r="N41" s="379" t="inlineStr">
        <is>
          <t>单课时试听课费用*出席人数</t>
        </is>
      </c>
    </row>
    <row r="42">
      <c r="I42" s="348" t="inlineStr">
        <is>
          <t>主投</t>
        </is>
      </c>
      <c r="J42" s="345" t="inlineStr">
        <is>
          <t>TMK费用</t>
        </is>
      </c>
      <c r="K42" s="378">
        <f>IF(O10="是",K3/O11*O12,0)</f>
        <v/>
      </c>
      <c r="L42" s="378">
        <f>IF(P10="是",L3/P11*P12,0)</f>
        <v/>
      </c>
      <c r="N42" s="379" t="inlineStr">
        <is>
          <t>例子数/TMK人均承担例子量*TMK人均成本=TMK人数*TMK人均成本</t>
        </is>
      </c>
    </row>
    <row r="43">
      <c r="I43" s="348" t="inlineStr">
        <is>
          <t>主投</t>
        </is>
      </c>
      <c r="J43" s="345" t="inlineStr">
        <is>
          <t>销售成本</t>
        </is>
      </c>
      <c r="K43" s="378">
        <f>K4/O4*O5+K31*(O6+O7)</f>
        <v/>
      </c>
      <c r="L43" s="378">
        <f>L4/P4*P5+L31*(P6+P7)</f>
        <v/>
      </c>
      <c r="N43" s="379" t="inlineStr">
        <is>
          <t>分发例子数/销售人均承接例子数*销售人均固定人工成本+GMV*（销售提成比例+礼品及其他费用比例）</t>
        </is>
      </c>
    </row>
    <row r="44">
      <c r="I44" s="348" t="inlineStr">
        <is>
          <t>辅投</t>
        </is>
      </c>
      <c r="J44" s="361" t="inlineStr">
        <is>
          <t>试听课费用</t>
        </is>
      </c>
      <c r="K44" s="378">
        <f>K33*P8</f>
        <v/>
      </c>
      <c r="L44" s="378">
        <f>L33*O8</f>
        <v/>
      </c>
      <c r="N44" s="379" t="n"/>
    </row>
    <row r="45">
      <c r="I45" s="348" t="inlineStr">
        <is>
          <t>辅投</t>
        </is>
      </c>
      <c r="J45" s="361" t="inlineStr">
        <is>
          <t>TMK费用</t>
        </is>
      </c>
      <c r="K45" s="378">
        <f>IF(P10="是",K9/P11*P12,0)</f>
        <v/>
      </c>
      <c r="L45" s="378">
        <f>IF(O10="是",L9/O11*O12,0)</f>
        <v/>
      </c>
      <c r="N45" s="379" t="n"/>
    </row>
    <row r="46">
      <c r="I46" s="348" t="inlineStr">
        <is>
          <t>辅投</t>
        </is>
      </c>
      <c r="J46" s="361" t="inlineStr">
        <is>
          <t>销售成本</t>
        </is>
      </c>
      <c r="K46" s="378">
        <f>K10/P4*P5+K35*(P6+P7)</f>
        <v/>
      </c>
      <c r="L46" s="378">
        <f>L10/O4*O5+L35*(O6+O7)</f>
        <v/>
      </c>
      <c r="N46" s="379" t="inlineStr">
        <is>
          <t>分发例子数/销售人均承接例子数*销售人均固定人工成本+GMV*（销售提成比例+礼品及其他费用比例）</t>
        </is>
      </c>
    </row>
    <row r="47">
      <c r="I47" s="348" t="inlineStr">
        <is>
          <t>主投+辅投</t>
        </is>
      </c>
      <c r="J47" s="345" t="inlineStr">
        <is>
          <t>每单获客成本2</t>
        </is>
      </c>
      <c r="K47" s="378">
        <f>K37+SUM(K41:K46)/(K30+K34)</f>
        <v/>
      </c>
      <c r="L47" s="378">
        <f>L37+SUM(L41:L46)/(L30+L34)</f>
        <v/>
      </c>
      <c r="N47" s="379" t="inlineStr">
        <is>
          <t>市场费用+试听课费用+TMK费用+销售费用</t>
        </is>
      </c>
    </row>
    <row r="48" ht="17.25" customHeight="1" s="327">
      <c r="J48" s="384" t="inlineStr">
        <is>
          <t>ROI 2</t>
        </is>
      </c>
      <c r="K48" s="385">
        <f>(K31+K35)/(K32+K36+SUM(K41:K46))</f>
        <v/>
      </c>
      <c r="L48" s="386">
        <f>(L31+L35)/(L32+L36+SUM(L41:L46))</f>
        <v/>
      </c>
      <c r="N48" s="387" t="n"/>
    </row>
    <row r="49" ht="17.25" customHeight="1" s="327">
      <c r="N49" s="379" t="n"/>
    </row>
    <row r="50">
      <c r="K50" s="388" t="n"/>
      <c r="N50" s="379" t="n"/>
    </row>
    <row r="51">
      <c r="N51" s="379" t="n"/>
    </row>
    <row r="66">
      <c r="N66" s="369" t="n"/>
    </row>
  </sheetData>
  <dataValidations count="1">
    <dataValidation sqref="O10:P10" showDropDown="0" showInputMessage="1" showErrorMessage="1" allowBlank="1" type="list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U3" sqref="AU3:AU7"/>
    </sheetView>
  </sheetViews>
  <sheetFormatPr baseColWidth="8" defaultColWidth="11" defaultRowHeight="16.5"/>
  <cols>
    <col width="17.1666666666667" customWidth="1" style="327" min="6" max="6"/>
    <col width="12.6666666666667" customWidth="1" style="327" min="7" max="8"/>
    <col width="18.8333333333333" customWidth="1" style="345" min="9" max="9"/>
    <col width="23.1666666666667" customWidth="1" style="345" min="10" max="10"/>
    <col width="9.83333333333333" customWidth="1" style="345" min="11" max="11"/>
    <col width="11.3333333333333" customWidth="1" style="345" min="12" max="12"/>
    <col width="8.16666666666667" customWidth="1" style="345" min="13" max="13"/>
    <col width="26.6666666666667" customWidth="1" style="345" min="14" max="14"/>
    <col width="10.3333333333333" customWidth="1" style="345" min="15" max="16"/>
  </cols>
  <sheetData>
    <row r="1">
      <c r="A1" s="5" t="inlineStr">
        <is>
          <t>邓明仪直播</t>
        </is>
      </c>
      <c r="B1" s="5" t="inlineStr">
        <is>
          <t>例子占比</t>
        </is>
      </c>
      <c r="C1" s="5" t="inlineStr">
        <is>
          <t>总例子数</t>
        </is>
      </c>
      <c r="D1" s="5" t="inlineStr">
        <is>
          <t>成本</t>
        </is>
      </c>
      <c r="E1" s="5" t="inlineStr">
        <is>
          <t>加权</t>
        </is>
      </c>
      <c r="F1" s="5" t="inlineStr">
        <is>
          <t>实际投放时间</t>
        </is>
      </c>
      <c r="G1" s="5" t="inlineStr">
        <is>
          <t>投放时间1个半月</t>
        </is>
      </c>
    </row>
    <row r="2" ht="17.25" customHeight="1" s="327">
      <c r="A2" s="5" t="inlineStr">
        <is>
          <t>汇总</t>
        </is>
      </c>
      <c r="B2" s="165" t="n">
        <v>1</v>
      </c>
      <c r="C2" s="5" t="n">
        <v>180</v>
      </c>
      <c r="D2" s="5" t="n">
        <v>680</v>
      </c>
      <c r="E2" s="166">
        <f t="array" ref="E2">SUMPRODUCT(C3:C6,D3:D6)/C2</f>
        <v/>
      </c>
      <c r="F2" s="5" t="n">
        <v>90</v>
      </c>
      <c r="I2" s="345" t="inlineStr">
        <is>
          <t>以项目或周期为单位</t>
        </is>
      </c>
      <c r="J2" s="346" t="inlineStr">
        <is>
          <t>前端投放参数-预估</t>
        </is>
      </c>
      <c r="K2" s="347" t="inlineStr">
        <is>
          <t>益智</t>
        </is>
      </c>
      <c r="L2" s="347" t="inlineStr">
        <is>
          <t>美术</t>
        </is>
      </c>
    </row>
    <row r="3">
      <c r="A3" s="5" t="inlineStr">
        <is>
          <t>12月</t>
        </is>
      </c>
      <c r="B3" s="279" t="n">
        <v>0.5</v>
      </c>
      <c r="C3" s="5">
        <f>B3*C2</f>
        <v/>
      </c>
      <c r="D3" s="5" t="n">
        <v>600</v>
      </c>
      <c r="F3" s="5" t="n">
        <v>23</v>
      </c>
      <c r="I3" s="348" t="inlineStr">
        <is>
          <t>主投</t>
        </is>
      </c>
      <c r="J3" s="345" t="inlineStr">
        <is>
          <t>注册例子数</t>
        </is>
      </c>
      <c r="K3" s="349" t="n">
        <v>180</v>
      </c>
      <c r="L3" s="350" t="n"/>
      <c r="N3" s="351" t="inlineStr">
        <is>
          <t>其他参数（海外调整）</t>
        </is>
      </c>
      <c r="O3" s="352" t="inlineStr">
        <is>
          <t>益智</t>
        </is>
      </c>
      <c r="P3" s="353" t="inlineStr">
        <is>
          <t>美术</t>
        </is>
      </c>
    </row>
    <row r="4">
      <c r="A4" s="5" t="inlineStr">
        <is>
          <t>1月</t>
        </is>
      </c>
      <c r="B4" s="279" t="n">
        <v>0.25</v>
      </c>
      <c r="C4" s="5">
        <f>B4*C2</f>
        <v/>
      </c>
      <c r="D4" s="5" t="n">
        <v>700</v>
      </c>
      <c r="F4" s="5" t="n">
        <v>31</v>
      </c>
      <c r="I4" s="348" t="inlineStr">
        <is>
          <t>主投</t>
        </is>
      </c>
      <c r="J4" s="345" t="inlineStr">
        <is>
          <t>分发例子数</t>
        </is>
      </c>
      <c r="K4" s="354" t="n"/>
      <c r="L4" s="354" t="n"/>
      <c r="N4" s="355" t="inlineStr">
        <is>
          <t>销售人均承接例子数</t>
        </is>
      </c>
      <c r="O4" s="356" t="n">
        <v>93.8</v>
      </c>
      <c r="P4" s="356" t="n">
        <v>103</v>
      </c>
    </row>
    <row r="5">
      <c r="A5" s="5" t="inlineStr">
        <is>
          <t>2月</t>
        </is>
      </c>
      <c r="B5" s="165" t="n">
        <v>0.2</v>
      </c>
      <c r="C5" s="5">
        <f>B5*C2</f>
        <v/>
      </c>
      <c r="D5" s="5" t="n">
        <v>750</v>
      </c>
      <c r="F5" s="5" t="n">
        <v>28</v>
      </c>
      <c r="I5" s="348" t="inlineStr">
        <is>
          <t>主投</t>
        </is>
      </c>
      <c r="J5" s="345" t="inlineStr">
        <is>
          <t>单例子成本（CPA）</t>
        </is>
      </c>
      <c r="K5" s="349" t="n">
        <v>700</v>
      </c>
      <c r="L5" s="349" t="n"/>
      <c r="N5" s="355" t="inlineStr">
        <is>
          <t>销售人均固定人工成本</t>
        </is>
      </c>
      <c r="O5" s="357" t="n">
        <v>10622</v>
      </c>
      <c r="P5" s="358" t="n">
        <v>11145.0173429227</v>
      </c>
    </row>
    <row r="6">
      <c r="A6" s="5" t="inlineStr">
        <is>
          <t>3月</t>
        </is>
      </c>
      <c r="B6" s="165" t="n">
        <v>0.05</v>
      </c>
      <c r="C6" s="5">
        <f>B6*C2</f>
        <v/>
      </c>
      <c r="D6" s="5" t="n">
        <v>800</v>
      </c>
      <c r="F6" s="5" t="n">
        <v>8</v>
      </c>
      <c r="I6" s="348" t="inlineStr">
        <is>
          <t>主投</t>
        </is>
      </c>
      <c r="J6" s="345" t="inlineStr">
        <is>
          <t>单到课例子成本（CPA）</t>
        </is>
      </c>
      <c r="K6" s="349" t="n"/>
      <c r="L6" s="349" t="n"/>
      <c r="N6" s="355" t="inlineStr">
        <is>
          <t>销售提成比例</t>
        </is>
      </c>
      <c r="O6" s="241" t="n">
        <v>0.079</v>
      </c>
      <c r="P6" s="242" t="n">
        <v>0.077</v>
      </c>
    </row>
    <row r="7">
      <c r="I7" s="348" t="inlineStr">
        <is>
          <t>主投</t>
        </is>
      </c>
      <c r="J7" s="345" t="inlineStr">
        <is>
          <t>渠道佣金（CPS）</t>
        </is>
      </c>
      <c r="K7" s="243" t="n"/>
      <c r="L7" s="349" t="n"/>
      <c r="N7" s="355" t="inlineStr">
        <is>
          <t>礼品及其他费用比例</t>
        </is>
      </c>
      <c r="O7" s="241" t="n">
        <v>0.017</v>
      </c>
      <c r="P7" s="242" t="n">
        <v>0.022</v>
      </c>
    </row>
    <row r="8">
      <c r="I8" s="348" t="inlineStr">
        <is>
          <t>主投</t>
        </is>
      </c>
      <c r="J8" s="345" t="inlineStr">
        <is>
          <t>投放费用（CPT)</t>
        </is>
      </c>
      <c r="K8" s="349" t="n">
        <v>30000</v>
      </c>
      <c r="L8" s="349" t="n"/>
      <c r="N8" s="355" t="inlineStr">
        <is>
          <t>出席试听课费用</t>
        </is>
      </c>
      <c r="O8" s="359" t="n">
        <v>86.40000000000001</v>
      </c>
      <c r="P8" s="360" t="n">
        <v>82</v>
      </c>
    </row>
    <row r="9">
      <c r="I9" s="348" t="inlineStr">
        <is>
          <t>辅投</t>
        </is>
      </c>
      <c r="J9" s="361" t="inlineStr">
        <is>
          <t>注册例子数</t>
        </is>
      </c>
      <c r="K9" s="362" t="n"/>
      <c r="L9" s="350" t="n"/>
      <c r="N9" s="355" t="inlineStr">
        <is>
          <t>单例子渠道运营人工成本及其他</t>
        </is>
      </c>
      <c r="O9" s="359" t="n">
        <v>33.49</v>
      </c>
      <c r="P9" s="359" t="n">
        <v>75</v>
      </c>
    </row>
    <row r="10">
      <c r="I10" s="348" t="inlineStr">
        <is>
          <t>辅投</t>
        </is>
      </c>
      <c r="J10" s="361" t="inlineStr">
        <is>
          <t>分发例子数</t>
        </is>
      </c>
      <c r="K10" s="354" t="n"/>
      <c r="L10" s="350" t="n"/>
      <c r="N10" s="355" t="inlineStr">
        <is>
          <t>是否过TMK</t>
        </is>
      </c>
      <c r="O10" s="363" t="inlineStr">
        <is>
          <t>是</t>
        </is>
      </c>
      <c r="P10" s="364" t="inlineStr">
        <is>
          <t>是</t>
        </is>
      </c>
    </row>
    <row r="11">
      <c r="I11" s="348" t="inlineStr">
        <is>
          <t>辅投</t>
        </is>
      </c>
      <c r="J11" s="361" t="inlineStr">
        <is>
          <t>单例子成本（CPA）</t>
        </is>
      </c>
      <c r="K11" s="362" t="n"/>
      <c r="L11" s="362" t="n"/>
      <c r="N11" s="355" t="inlineStr">
        <is>
          <t>TMK人均承担例子量</t>
        </is>
      </c>
      <c r="O11" s="365" t="n">
        <v>1055</v>
      </c>
      <c r="P11" s="358" t="n">
        <v>1233</v>
      </c>
    </row>
    <row r="12" ht="17.25" customHeight="1" s="327">
      <c r="I12" s="348" t="inlineStr">
        <is>
          <t>辅投</t>
        </is>
      </c>
      <c r="J12" s="361" t="inlineStr">
        <is>
          <t>单到课例子成本（CPA）</t>
        </is>
      </c>
      <c r="K12" s="362" t="n"/>
      <c r="L12" s="362" t="n"/>
      <c r="N12" s="366" t="inlineStr">
        <is>
          <t>TMK人均成本</t>
        </is>
      </c>
      <c r="O12" s="367" t="n">
        <v>11181</v>
      </c>
      <c r="P12" s="367" t="n">
        <v>11486.4236150315</v>
      </c>
    </row>
    <row r="13">
      <c r="I13" s="348" t="inlineStr">
        <is>
          <t>辅投</t>
        </is>
      </c>
      <c r="J13" s="361" t="inlineStr">
        <is>
          <t>渠道佣金（CPS）</t>
        </is>
      </c>
      <c r="K13" s="253" t="n"/>
      <c r="L13" s="362" t="n"/>
      <c r="N13" s="368" t="inlineStr">
        <is>
          <t>备注：绿色填充部分可调整，没有对应的参数可留空</t>
        </is>
      </c>
    </row>
    <row r="14">
      <c r="I14" s="348" t="inlineStr">
        <is>
          <t>辅投</t>
        </is>
      </c>
      <c r="J14" s="361" t="inlineStr">
        <is>
          <t>投放费用（CPT)</t>
        </is>
      </c>
      <c r="K14" s="362" t="n"/>
      <c r="L14" s="362" t="n"/>
      <c r="O14" s="345">
        <f>O5/O4</f>
        <v/>
      </c>
      <c r="P14" s="345">
        <f>P5/P4</f>
        <v/>
      </c>
    </row>
    <row r="15">
      <c r="N15" s="369" t="n"/>
      <c r="O15" s="370">
        <f>O12/O11</f>
        <v/>
      </c>
      <c r="P15" s="370" t="n"/>
    </row>
    <row r="16">
      <c r="J16" s="346" t="inlineStr">
        <is>
          <t>过程指标-预估</t>
        </is>
      </c>
      <c r="K16" s="371" t="n"/>
      <c r="L16" s="371" t="n"/>
    </row>
    <row r="17">
      <c r="J17" s="345" t="inlineStr">
        <is>
          <t>注册分发率</t>
        </is>
      </c>
      <c r="K17" s="258" t="n">
        <v>0.5</v>
      </c>
      <c r="L17" s="357" t="n"/>
    </row>
    <row r="18">
      <c r="I18" s="348" t="inlineStr">
        <is>
          <t>主投</t>
        </is>
      </c>
      <c r="J18" s="345" t="inlineStr">
        <is>
          <t>滚动注册出席率</t>
        </is>
      </c>
      <c r="K18" s="372" t="n">
        <v>0.38</v>
      </c>
      <c r="L18" s="260" t="n"/>
    </row>
    <row r="19">
      <c r="I19" s="348" t="inlineStr">
        <is>
          <t>主投</t>
        </is>
      </c>
      <c r="J19" s="345" t="inlineStr">
        <is>
          <t>滚动出席转化率</t>
        </is>
      </c>
      <c r="K19" s="372" t="n">
        <v>0.35</v>
      </c>
      <c r="L19" s="373" t="n"/>
    </row>
    <row r="20">
      <c r="I20" s="348" t="inlineStr">
        <is>
          <t>主投</t>
        </is>
      </c>
      <c r="J20" s="345" t="inlineStr">
        <is>
          <t>滚动注册转化率</t>
        </is>
      </c>
      <c r="K20" s="374" t="n">
        <v>0.165</v>
      </c>
      <c r="L20" s="375" t="n"/>
      <c r="N20" s="369" t="n"/>
    </row>
    <row r="21">
      <c r="I21" s="348" t="inlineStr">
        <is>
          <t>主投</t>
        </is>
      </c>
      <c r="J21" s="345" t="inlineStr">
        <is>
          <t>正价课ASP</t>
        </is>
      </c>
      <c r="K21" s="376" t="n">
        <v>5000</v>
      </c>
      <c r="L21" s="376" t="n"/>
    </row>
    <row r="22">
      <c r="I22" s="348" t="inlineStr">
        <is>
          <t>辅投</t>
        </is>
      </c>
      <c r="J22" s="361" t="inlineStr">
        <is>
          <t>注册分发率</t>
        </is>
      </c>
      <c r="K22" s="357" t="n"/>
      <c r="L22" s="357" t="n"/>
      <c r="N22" s="265" t="n"/>
    </row>
    <row r="23">
      <c r="I23" s="348" t="inlineStr">
        <is>
          <t>辅投</t>
        </is>
      </c>
      <c r="J23" s="361" t="inlineStr">
        <is>
          <t>滚动注册出席率</t>
        </is>
      </c>
      <c r="K23" s="373" t="n"/>
      <c r="L23" s="373" t="n"/>
      <c r="N23" s="265" t="n"/>
    </row>
    <row r="24">
      <c r="I24" s="348" t="inlineStr">
        <is>
          <t>辅投</t>
        </is>
      </c>
      <c r="J24" s="361" t="inlineStr">
        <is>
          <t>滚动出席转化率</t>
        </is>
      </c>
      <c r="K24" s="373" t="n"/>
      <c r="L24" s="373" t="n"/>
      <c r="N24" s="265" t="n"/>
    </row>
    <row r="25">
      <c r="I25" s="348" t="inlineStr">
        <is>
          <t>辅投</t>
        </is>
      </c>
      <c r="J25" s="361" t="inlineStr">
        <is>
          <t>滚动注册转化率</t>
        </is>
      </c>
      <c r="K25" s="375" t="n"/>
      <c r="L25" s="375" t="n"/>
      <c r="N25" s="377" t="n"/>
    </row>
    <row r="26">
      <c r="I26" s="348" t="inlineStr">
        <is>
          <t>辅投</t>
        </is>
      </c>
      <c r="J26" s="361" t="inlineStr">
        <is>
          <t>正价课ASP</t>
        </is>
      </c>
      <c r="K26" s="350" t="n"/>
      <c r="L26" s="350" t="n"/>
    </row>
    <row r="28">
      <c r="J28" s="346" t="inlineStr">
        <is>
          <t>ROI 1相关指标-自动计算</t>
        </is>
      </c>
      <c r="K28" s="371" t="n"/>
      <c r="L28" s="371" t="n"/>
    </row>
    <row r="29">
      <c r="I29" s="348" t="inlineStr">
        <is>
          <t>主投</t>
        </is>
      </c>
      <c r="J29" s="345" t="inlineStr">
        <is>
          <t>到课学员数量</t>
        </is>
      </c>
      <c r="K29" s="378">
        <f>K18*K3</f>
        <v/>
      </c>
      <c r="L29" s="378">
        <f>L18*L3</f>
        <v/>
      </c>
      <c r="N29" s="379" t="inlineStr">
        <is>
          <t>例子数*注册出席率</t>
        </is>
      </c>
    </row>
    <row r="30">
      <c r="I30" s="348" t="inlineStr">
        <is>
          <t>主投</t>
        </is>
      </c>
      <c r="J30" s="345" t="inlineStr">
        <is>
          <t>正价课学员数量</t>
        </is>
      </c>
      <c r="K30" s="378">
        <f>K3*K20</f>
        <v/>
      </c>
      <c r="L30" s="378">
        <f>L3*L20</f>
        <v/>
      </c>
      <c r="N30" s="379" t="inlineStr">
        <is>
          <t>例子数*注册转化率</t>
        </is>
      </c>
    </row>
    <row r="31">
      <c r="I31" s="348" t="inlineStr">
        <is>
          <t>主投</t>
        </is>
      </c>
      <c r="J31" s="345" t="inlineStr">
        <is>
          <t>正价课GMV</t>
        </is>
      </c>
      <c r="K31" s="378">
        <f>K30*K21</f>
        <v/>
      </c>
      <c r="L31" s="378">
        <f>L30*L21</f>
        <v/>
      </c>
      <c r="N31" s="379" t="inlineStr">
        <is>
          <t>ASP*学员人数</t>
        </is>
      </c>
    </row>
    <row r="32">
      <c r="I32" s="348" t="inlineStr">
        <is>
          <t>主投</t>
        </is>
      </c>
      <c r="J32" s="345" t="inlineStr">
        <is>
          <t>前端投放总成本</t>
        </is>
      </c>
      <c r="K32" s="378">
        <f>K5*K3+K7*K31+K8+K29*K6+K3*O9</f>
        <v/>
      </c>
      <c r="L32" s="378">
        <f>L5*L3+L7*L31+L8+L29*L6+L3*P9</f>
        <v/>
      </c>
      <c r="N32" s="379" t="inlineStr">
        <is>
          <t>例子数*单例子成本+GMV*CPS佣金比例+投放费用+单到课例子成本*出席人数+例子数*单例子运营人工成本</t>
        </is>
      </c>
    </row>
    <row r="33">
      <c r="I33" s="348" t="inlineStr">
        <is>
          <t>辅投</t>
        </is>
      </c>
      <c r="J33" s="361" t="inlineStr">
        <is>
          <t>到课学员数量</t>
        </is>
      </c>
      <c r="K33" s="378">
        <f>K23*K9</f>
        <v/>
      </c>
      <c r="L33" s="378">
        <f>L23*L9</f>
        <v/>
      </c>
      <c r="N33" s="379" t="n"/>
    </row>
    <row r="34">
      <c r="I34" s="348" t="inlineStr">
        <is>
          <t>辅投</t>
        </is>
      </c>
      <c r="J34" s="361" t="inlineStr">
        <is>
          <t>正价课学员数量</t>
        </is>
      </c>
      <c r="K34" s="378">
        <f>K9*K25</f>
        <v/>
      </c>
      <c r="L34" s="378">
        <f>L9*L25</f>
        <v/>
      </c>
    </row>
    <row r="35">
      <c r="I35" s="348" t="inlineStr">
        <is>
          <t>辅投</t>
        </is>
      </c>
      <c r="J35" s="361" t="inlineStr">
        <is>
          <t>正价课GMV</t>
        </is>
      </c>
      <c r="K35" s="378">
        <f>K26*K34</f>
        <v/>
      </c>
      <c r="L35" s="378">
        <f>L26*L34</f>
        <v/>
      </c>
    </row>
    <row r="36">
      <c r="I36" s="348" t="inlineStr">
        <is>
          <t>辅投</t>
        </is>
      </c>
      <c r="J36" s="361" t="inlineStr">
        <is>
          <t>前端投放总成本</t>
        </is>
      </c>
      <c r="K36" s="378">
        <f>K9*K11+K13*K35+K14+K12*K33+K9*P9</f>
        <v/>
      </c>
      <c r="L36" s="378">
        <f>L9*L11+L13*L35+L14+L12*L33+L9*O9</f>
        <v/>
      </c>
      <c r="N36" s="379" t="inlineStr">
        <is>
          <t>例子数*单例子成本+GMV*CPS佣金比例+投放费用+单到课例子成本*出席人数+例子数*单例子运营人工成本</t>
        </is>
      </c>
    </row>
    <row r="37">
      <c r="I37" s="348" t="inlineStr">
        <is>
          <t>主投+辅投</t>
        </is>
      </c>
      <c r="J37" s="345" t="inlineStr">
        <is>
          <t>每单获客成本1</t>
        </is>
      </c>
      <c r="K37" s="378">
        <f>(K32+K36)/(K30+K34)</f>
        <v/>
      </c>
      <c r="L37" s="378">
        <f>(L32+L36)/(L30+L34)</f>
        <v/>
      </c>
      <c r="N37" s="379" t="inlineStr">
        <is>
          <t>前端投放总成本/学员人数</t>
        </is>
      </c>
    </row>
    <row r="38">
      <c r="J38" s="380" t="inlineStr">
        <is>
          <t>ROI 1</t>
        </is>
      </c>
      <c r="K38" s="381">
        <f>(K31+K35)/(K32+K36)</f>
        <v/>
      </c>
      <c r="L38" s="381">
        <f>(L31+L35)/(L32+L36)</f>
        <v/>
      </c>
      <c r="N38" s="379" t="inlineStr">
        <is>
          <t>GMV/前端投放总成本</t>
        </is>
      </c>
    </row>
    <row r="39">
      <c r="K39" s="378" t="n"/>
      <c r="L39" s="378" t="n"/>
    </row>
    <row r="40">
      <c r="J40" s="346" t="inlineStr">
        <is>
          <t>ROI 2相关指标-自动计算</t>
        </is>
      </c>
      <c r="K40" s="382" t="n"/>
      <c r="L40" s="382" t="n"/>
      <c r="M40" s="370" t="n"/>
      <c r="N40" s="383" t="n"/>
    </row>
    <row r="41">
      <c r="I41" s="348" t="inlineStr">
        <is>
          <t>主投</t>
        </is>
      </c>
      <c r="J41" s="345" t="inlineStr">
        <is>
          <t>试听课费用</t>
        </is>
      </c>
      <c r="K41" s="378">
        <f>K29*O8</f>
        <v/>
      </c>
      <c r="L41" s="378">
        <f>L29*P8</f>
        <v/>
      </c>
      <c r="N41" s="379" t="inlineStr">
        <is>
          <t>单课时试听课费用*出席人数</t>
        </is>
      </c>
    </row>
    <row r="42">
      <c r="I42" s="348" t="inlineStr">
        <is>
          <t>主投</t>
        </is>
      </c>
      <c r="J42" s="345" t="inlineStr">
        <is>
          <t>TMK费用</t>
        </is>
      </c>
      <c r="K42" s="378">
        <f>IF(O10="是",K3/O11*O12,0)</f>
        <v/>
      </c>
      <c r="L42" s="378">
        <f>IF(P10="是",L3/P11*P12,0)</f>
        <v/>
      </c>
      <c r="N42" s="379" t="inlineStr">
        <is>
          <t>例子数/TMK人均承担例子量*TMK人均成本=TMK人数*TMK人均成本</t>
        </is>
      </c>
    </row>
    <row r="43">
      <c r="I43" s="348" t="inlineStr">
        <is>
          <t>主投</t>
        </is>
      </c>
      <c r="J43" s="345" t="inlineStr">
        <is>
          <t>销售成本</t>
        </is>
      </c>
      <c r="K43" s="378">
        <f>K4/O4*O5+K31*(O6+O7)</f>
        <v/>
      </c>
      <c r="L43" s="378">
        <f>L4/P4*P5+L31*(P6+P7)</f>
        <v/>
      </c>
      <c r="N43" s="379" t="inlineStr">
        <is>
          <t>分发例子数/销售人均承接例子数*销售人均固定人工成本+GMV*（销售提成比例+礼品及其他费用比例）</t>
        </is>
      </c>
    </row>
    <row r="44">
      <c r="I44" s="348" t="inlineStr">
        <is>
          <t>辅投</t>
        </is>
      </c>
      <c r="J44" s="361" t="inlineStr">
        <is>
          <t>试听课费用</t>
        </is>
      </c>
      <c r="K44" s="378">
        <f>K33*P8</f>
        <v/>
      </c>
      <c r="L44" s="378">
        <f>L33*O8</f>
        <v/>
      </c>
      <c r="N44" s="379" t="n"/>
    </row>
    <row r="45">
      <c r="I45" s="348" t="inlineStr">
        <is>
          <t>辅投</t>
        </is>
      </c>
      <c r="J45" s="361" t="inlineStr">
        <is>
          <t>TMK费用</t>
        </is>
      </c>
      <c r="K45" s="378">
        <f>IF(P10="是",K9/P11*P12,0)</f>
        <v/>
      </c>
      <c r="L45" s="378">
        <f>IF(O10="是",L9/O11*O12,0)</f>
        <v/>
      </c>
      <c r="N45" s="379" t="n"/>
    </row>
    <row r="46">
      <c r="I46" s="348" t="inlineStr">
        <is>
          <t>辅投</t>
        </is>
      </c>
      <c r="J46" s="361" t="inlineStr">
        <is>
          <t>销售成本</t>
        </is>
      </c>
      <c r="K46" s="378">
        <f>K10/P4*P5+K35*(P6+P7)</f>
        <v/>
      </c>
      <c r="L46" s="378">
        <f>L10/O4*O5+L35*(O6+O7)</f>
        <v/>
      </c>
      <c r="N46" s="379" t="inlineStr">
        <is>
          <t>分发例子数/销售人均承接例子数*销售人均固定人工成本+GMV*（销售提成比例+礼品及其他费用比例）</t>
        </is>
      </c>
    </row>
    <row r="47">
      <c r="I47" s="348" t="inlineStr">
        <is>
          <t>主投+辅投</t>
        </is>
      </c>
      <c r="J47" s="345" t="inlineStr">
        <is>
          <t>每单获客成本2</t>
        </is>
      </c>
      <c r="K47" s="378">
        <f>K37+SUM(K41:K46)/(K30+K34)</f>
        <v/>
      </c>
      <c r="L47" s="378">
        <f>L37+SUM(L41:L46)/(L30+L34)</f>
        <v/>
      </c>
      <c r="N47" s="379" t="inlineStr">
        <is>
          <t>市场费用+试听课费用+TMK费用+销售费用</t>
        </is>
      </c>
    </row>
    <row r="48" ht="17.25" customHeight="1" s="327">
      <c r="J48" s="384" t="inlineStr">
        <is>
          <t>ROI 2</t>
        </is>
      </c>
      <c r="K48" s="385">
        <f>(K31+K35)/(K32+K36+SUM(K41:K46))</f>
        <v/>
      </c>
      <c r="L48" s="386">
        <f>(L31+L35)/(L32+L36+SUM(L41:L46))</f>
        <v/>
      </c>
      <c r="N48" s="387" t="n"/>
    </row>
    <row r="49" ht="17.25" customHeight="1" s="327">
      <c r="N49" s="379" t="n"/>
    </row>
    <row r="50">
      <c r="K50" s="388" t="n"/>
      <c r="N50" s="379" t="n"/>
    </row>
    <row r="51">
      <c r="N51" s="379" t="n"/>
    </row>
    <row r="66">
      <c r="N66" s="369" t="n"/>
    </row>
  </sheetData>
  <dataValidations count="1">
    <dataValidation sqref="O10:P10" showDropDown="0" showInputMessage="1" showErrorMessage="1" allowBlank="1" type="list">
      <formula1>"是,否"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U3" sqref="AU3:AU7"/>
    </sheetView>
  </sheetViews>
  <sheetFormatPr baseColWidth="8" defaultColWidth="11" defaultRowHeight="16.5"/>
  <cols>
    <col width="17.1666666666667" customWidth="1" style="327" min="6" max="6"/>
    <col width="12.6666666666667" customWidth="1" style="327" min="7" max="8"/>
    <col width="18.8333333333333" customWidth="1" style="345" min="10" max="10"/>
    <col width="23.1666666666667" customWidth="1" style="345" min="11" max="11"/>
    <col width="9.83333333333333" customWidth="1" style="345" min="12" max="12"/>
    <col width="11.3333333333333" customWidth="1" style="345" min="13" max="13"/>
    <col width="8.16666666666667" customWidth="1" style="345" min="14" max="14"/>
    <col width="26.6666666666667" customWidth="1" style="345" min="15" max="15"/>
    <col width="10.3333333333333" customWidth="1" style="345" min="16" max="17"/>
  </cols>
  <sheetData>
    <row r="1">
      <c r="A1" s="5" t="inlineStr">
        <is>
          <t>麦雅致</t>
        </is>
      </c>
      <c r="B1" s="5" t="inlineStr">
        <is>
          <t>例子占比</t>
        </is>
      </c>
      <c r="C1" s="5" t="inlineStr">
        <is>
          <t>总例子数</t>
        </is>
      </c>
      <c r="D1" s="5" t="inlineStr">
        <is>
          <t>成本</t>
        </is>
      </c>
      <c r="E1" s="5" t="inlineStr">
        <is>
          <t>加权</t>
        </is>
      </c>
      <c r="F1" s="5" t="inlineStr">
        <is>
          <t>实际投放时间</t>
        </is>
      </c>
      <c r="G1" s="5" t="inlineStr">
        <is>
          <t>投放时间1个半月</t>
        </is>
      </c>
    </row>
    <row r="2" ht="17.25" customHeight="1" s="327">
      <c r="A2" s="5" t="inlineStr">
        <is>
          <t>汇总</t>
        </is>
      </c>
      <c r="B2" s="165" t="n">
        <v>1</v>
      </c>
      <c r="C2" s="5" t="n">
        <v>280</v>
      </c>
      <c r="D2" s="5" t="n">
        <v>700</v>
      </c>
      <c r="E2" s="166">
        <f>SUMPRODUCT(C3:C4,D3:D4)/C2</f>
        <v/>
      </c>
      <c r="F2" s="5" t="n">
        <v>45</v>
      </c>
      <c r="J2" s="345" t="inlineStr">
        <is>
          <t>以项目或周期为单位</t>
        </is>
      </c>
      <c r="K2" s="346" t="inlineStr">
        <is>
          <t>前端投放参数-预估</t>
        </is>
      </c>
      <c r="L2" s="347" t="inlineStr">
        <is>
          <t>益智</t>
        </is>
      </c>
      <c r="M2" s="347" t="inlineStr">
        <is>
          <t>美术</t>
        </is>
      </c>
    </row>
    <row r="3">
      <c r="A3" s="5" t="inlineStr">
        <is>
          <t>11月</t>
        </is>
      </c>
      <c r="B3" s="279">
        <f>C3/$C$2</f>
        <v/>
      </c>
      <c r="C3" s="5" t="n">
        <v>180</v>
      </c>
      <c r="D3" s="5" t="n">
        <v>700</v>
      </c>
      <c r="F3" s="5" t="n">
        <v>25</v>
      </c>
      <c r="J3" s="348" t="inlineStr">
        <is>
          <t>主投</t>
        </is>
      </c>
      <c r="K3" s="345" t="inlineStr">
        <is>
          <t>注册例子数</t>
        </is>
      </c>
      <c r="L3" s="349" t="n">
        <v>280</v>
      </c>
      <c r="M3" s="350" t="n"/>
      <c r="O3" s="351" t="inlineStr">
        <is>
          <t>其他参数（海外调整）</t>
        </is>
      </c>
      <c r="P3" s="352" t="inlineStr">
        <is>
          <t>益智</t>
        </is>
      </c>
      <c r="Q3" s="353" t="inlineStr">
        <is>
          <t>美术</t>
        </is>
      </c>
    </row>
    <row r="4">
      <c r="A4" s="5" t="inlineStr">
        <is>
          <t>12月</t>
        </is>
      </c>
      <c r="B4" s="279">
        <f>C4/$C$2</f>
        <v/>
      </c>
      <c r="C4" s="5" t="n">
        <v>100</v>
      </c>
      <c r="D4" s="5" t="n">
        <v>800</v>
      </c>
      <c r="F4" s="5" t="n">
        <v>20</v>
      </c>
      <c r="J4" s="348" t="inlineStr">
        <is>
          <t>主投</t>
        </is>
      </c>
      <c r="K4" s="345" t="inlineStr">
        <is>
          <t>分发例子数</t>
        </is>
      </c>
      <c r="L4" s="354" t="n"/>
      <c r="M4" s="354" t="n"/>
      <c r="O4" s="355" t="inlineStr">
        <is>
          <t>销售人均承接例子数</t>
        </is>
      </c>
      <c r="P4" s="356" t="n">
        <v>93.8</v>
      </c>
      <c r="Q4" s="356" t="n">
        <v>103</v>
      </c>
    </row>
    <row r="5">
      <c r="J5" s="348" t="inlineStr">
        <is>
          <t>主投</t>
        </is>
      </c>
      <c r="K5" s="345" t="inlineStr">
        <is>
          <t>单例子成本（CPA）</t>
        </is>
      </c>
      <c r="L5" s="349" t="n">
        <v>700</v>
      </c>
      <c r="M5" s="349" t="n"/>
      <c r="O5" s="355" t="inlineStr">
        <is>
          <t>销售人均固定人工成本</t>
        </is>
      </c>
      <c r="P5" s="357" t="n">
        <v>10622</v>
      </c>
      <c r="Q5" s="358" t="n">
        <v>11145.0173429227</v>
      </c>
    </row>
    <row r="6">
      <c r="J6" s="348" t="inlineStr">
        <is>
          <t>主投</t>
        </is>
      </c>
      <c r="K6" s="345" t="inlineStr">
        <is>
          <t>单到课例子成本（CPA）</t>
        </is>
      </c>
      <c r="L6" s="349" t="n"/>
      <c r="M6" s="349" t="n"/>
      <c r="O6" s="355" t="inlineStr">
        <is>
          <t>销售提成比例</t>
        </is>
      </c>
      <c r="P6" s="241" t="n">
        <v>0.079</v>
      </c>
      <c r="Q6" s="242" t="n">
        <v>0.077</v>
      </c>
    </row>
    <row r="7">
      <c r="J7" s="348" t="inlineStr">
        <is>
          <t>主投</t>
        </is>
      </c>
      <c r="K7" s="345" t="inlineStr">
        <is>
          <t>渠道佣金（CPS）</t>
        </is>
      </c>
      <c r="L7" s="243" t="n"/>
      <c r="M7" s="349" t="n"/>
      <c r="O7" s="355" t="inlineStr">
        <is>
          <t>礼品及其他费用比例</t>
        </is>
      </c>
      <c r="P7" s="241" t="n">
        <v>0.017</v>
      </c>
      <c r="Q7" s="242" t="n">
        <v>0.022</v>
      </c>
    </row>
    <row r="8">
      <c r="J8" s="348" t="inlineStr">
        <is>
          <t>主投</t>
        </is>
      </c>
      <c r="K8" s="345" t="inlineStr">
        <is>
          <t>投放费用（CPT)</t>
        </is>
      </c>
      <c r="L8" s="349" t="n">
        <v>75000</v>
      </c>
      <c r="M8" s="349" t="n"/>
      <c r="O8" s="355" t="inlineStr">
        <is>
          <t>出席试听课费用</t>
        </is>
      </c>
      <c r="P8" s="359" t="n">
        <v>86.40000000000001</v>
      </c>
      <c r="Q8" s="360" t="n">
        <v>82</v>
      </c>
    </row>
    <row r="9">
      <c r="J9" s="348" t="inlineStr">
        <is>
          <t>辅投</t>
        </is>
      </c>
      <c r="K9" s="361" t="inlineStr">
        <is>
          <t>注册例子数</t>
        </is>
      </c>
      <c r="L9" s="362" t="n"/>
      <c r="M9" s="350" t="n"/>
      <c r="O9" s="355" t="inlineStr">
        <is>
          <t>单例子渠道运营人工成本及其他</t>
        </is>
      </c>
      <c r="P9" s="359" t="n">
        <v>33.49</v>
      </c>
      <c r="Q9" s="359" t="n">
        <v>75</v>
      </c>
    </row>
    <row r="10">
      <c r="J10" s="348" t="inlineStr">
        <is>
          <t>辅投</t>
        </is>
      </c>
      <c r="K10" s="361" t="inlineStr">
        <is>
          <t>分发例子数</t>
        </is>
      </c>
      <c r="L10" s="354" t="n"/>
      <c r="M10" s="350" t="n"/>
      <c r="O10" s="355" t="inlineStr">
        <is>
          <t>是否过TMK</t>
        </is>
      </c>
      <c r="P10" s="363" t="inlineStr">
        <is>
          <t>是</t>
        </is>
      </c>
      <c r="Q10" s="364" t="inlineStr">
        <is>
          <t>是</t>
        </is>
      </c>
    </row>
    <row r="11">
      <c r="J11" s="348" t="inlineStr">
        <is>
          <t>辅投</t>
        </is>
      </c>
      <c r="K11" s="361" t="inlineStr">
        <is>
          <t>单例子成本（CPA）</t>
        </is>
      </c>
      <c r="L11" s="362" t="n"/>
      <c r="M11" s="362" t="n"/>
      <c r="O11" s="355" t="inlineStr">
        <is>
          <t>TMK人均承担例子量</t>
        </is>
      </c>
      <c r="P11" s="365" t="n">
        <v>1055</v>
      </c>
      <c r="Q11" s="358" t="n">
        <v>1233</v>
      </c>
    </row>
    <row r="12" ht="17.25" customHeight="1" s="327">
      <c r="J12" s="348" t="inlineStr">
        <is>
          <t>辅投</t>
        </is>
      </c>
      <c r="K12" s="361" t="inlineStr">
        <is>
          <t>单到课例子成本（CPA）</t>
        </is>
      </c>
      <c r="L12" s="362" t="n"/>
      <c r="M12" s="362" t="n"/>
      <c r="O12" s="366" t="inlineStr">
        <is>
          <t>TMK人均成本</t>
        </is>
      </c>
      <c r="P12" s="367" t="n">
        <v>11181</v>
      </c>
      <c r="Q12" s="367" t="n">
        <v>11486.4236150315</v>
      </c>
    </row>
    <row r="13">
      <c r="J13" s="348" t="inlineStr">
        <is>
          <t>辅投</t>
        </is>
      </c>
      <c r="K13" s="361" t="inlineStr">
        <is>
          <t>渠道佣金（CPS）</t>
        </is>
      </c>
      <c r="L13" s="253" t="n"/>
      <c r="M13" s="362" t="n"/>
      <c r="O13" s="368" t="inlineStr">
        <is>
          <t>备注：绿色填充部分可调整，没有对应的参数可留空</t>
        </is>
      </c>
    </row>
    <row r="14">
      <c r="J14" s="348" t="inlineStr">
        <is>
          <t>辅投</t>
        </is>
      </c>
      <c r="K14" s="361" t="inlineStr">
        <is>
          <t>投放费用（CPT)</t>
        </is>
      </c>
      <c r="L14" s="362" t="n"/>
      <c r="M14" s="362" t="n"/>
      <c r="P14" s="345">
        <f>P5/P4</f>
        <v/>
      </c>
      <c r="Q14" s="345">
        <f>Q5/Q4</f>
        <v/>
      </c>
    </row>
    <row r="15">
      <c r="O15" s="369" t="n"/>
      <c r="P15" s="370">
        <f>P12/P11</f>
        <v/>
      </c>
      <c r="Q15" s="370" t="n"/>
    </row>
    <row r="16">
      <c r="K16" s="346" t="inlineStr">
        <is>
          <t>过程指标-预估</t>
        </is>
      </c>
      <c r="L16" s="371" t="n"/>
      <c r="M16" s="371" t="n"/>
    </row>
    <row r="17">
      <c r="K17" s="345" t="inlineStr">
        <is>
          <t>注册分发率</t>
        </is>
      </c>
      <c r="L17" s="258" t="n">
        <v>0.5</v>
      </c>
      <c r="M17" s="357" t="n"/>
    </row>
    <row r="18">
      <c r="J18" s="348" t="inlineStr">
        <is>
          <t>主投</t>
        </is>
      </c>
      <c r="K18" s="345" t="inlineStr">
        <is>
          <t>滚动注册出席率</t>
        </is>
      </c>
      <c r="L18" s="372" t="n">
        <v>0.38</v>
      </c>
      <c r="M18" s="260" t="n"/>
    </row>
    <row r="19">
      <c r="J19" s="348" t="inlineStr">
        <is>
          <t>主投</t>
        </is>
      </c>
      <c r="K19" s="345" t="inlineStr">
        <is>
          <t>滚动出席转化率</t>
        </is>
      </c>
      <c r="L19" s="372" t="n">
        <v>0.35</v>
      </c>
      <c r="M19" s="373" t="n"/>
    </row>
    <row r="20">
      <c r="J20" s="348" t="inlineStr">
        <is>
          <t>主投</t>
        </is>
      </c>
      <c r="K20" s="345" t="inlineStr">
        <is>
          <t>滚动注册转化率</t>
        </is>
      </c>
      <c r="L20" s="374" t="n">
        <v>0.18</v>
      </c>
      <c r="M20" s="375" t="n"/>
      <c r="O20" s="369" t="n"/>
    </row>
    <row r="21">
      <c r="J21" s="348" t="inlineStr">
        <is>
          <t>主投</t>
        </is>
      </c>
      <c r="K21" s="345" t="inlineStr">
        <is>
          <t>正价课ASP</t>
        </is>
      </c>
      <c r="L21" s="376" t="n">
        <v>5000</v>
      </c>
      <c r="M21" s="376" t="n"/>
    </row>
    <row r="22">
      <c r="J22" s="348" t="inlineStr">
        <is>
          <t>辅投</t>
        </is>
      </c>
      <c r="K22" s="361" t="inlineStr">
        <is>
          <t>注册分发率</t>
        </is>
      </c>
      <c r="L22" s="357" t="n"/>
      <c r="M22" s="357" t="n"/>
      <c r="O22" s="265" t="n"/>
    </row>
    <row r="23">
      <c r="J23" s="348" t="inlineStr">
        <is>
          <t>辅投</t>
        </is>
      </c>
      <c r="K23" s="361" t="inlineStr">
        <is>
          <t>滚动注册出席率</t>
        </is>
      </c>
      <c r="L23" s="373" t="n"/>
      <c r="M23" s="373" t="n"/>
      <c r="O23" s="265" t="n"/>
    </row>
    <row r="24">
      <c r="J24" s="348" t="inlineStr">
        <is>
          <t>辅投</t>
        </is>
      </c>
      <c r="K24" s="361" t="inlineStr">
        <is>
          <t>滚动出席转化率</t>
        </is>
      </c>
      <c r="L24" s="373" t="n"/>
      <c r="M24" s="373" t="n"/>
      <c r="O24" s="265" t="n"/>
    </row>
    <row r="25">
      <c r="J25" s="348" t="inlineStr">
        <is>
          <t>辅投</t>
        </is>
      </c>
      <c r="K25" s="361" t="inlineStr">
        <is>
          <t>滚动注册转化率</t>
        </is>
      </c>
      <c r="L25" s="375" t="n"/>
      <c r="M25" s="375" t="n"/>
      <c r="O25" s="377" t="n"/>
    </row>
    <row r="26">
      <c r="J26" s="348" t="inlineStr">
        <is>
          <t>辅投</t>
        </is>
      </c>
      <c r="K26" s="361" t="inlineStr">
        <is>
          <t>正价课ASP</t>
        </is>
      </c>
      <c r="L26" s="350" t="n"/>
      <c r="M26" s="350" t="n"/>
    </row>
    <row r="28">
      <c r="K28" s="346" t="inlineStr">
        <is>
          <t>ROI 1相关指标-自动计算</t>
        </is>
      </c>
      <c r="L28" s="371" t="n"/>
      <c r="M28" s="371" t="n"/>
    </row>
    <row r="29">
      <c r="J29" s="348" t="inlineStr">
        <is>
          <t>主投</t>
        </is>
      </c>
      <c r="K29" s="345" t="inlineStr">
        <is>
          <t>到课学员数量</t>
        </is>
      </c>
      <c r="L29" s="378">
        <f>L18*L3</f>
        <v/>
      </c>
      <c r="M29" s="378">
        <f>M18*M3</f>
        <v/>
      </c>
      <c r="O29" s="379" t="inlineStr">
        <is>
          <t>例子数*注册出席率</t>
        </is>
      </c>
    </row>
    <row r="30">
      <c r="J30" s="348" t="inlineStr">
        <is>
          <t>主投</t>
        </is>
      </c>
      <c r="K30" s="345" t="inlineStr">
        <is>
          <t>正价课学员数量</t>
        </is>
      </c>
      <c r="L30" s="378">
        <f>L3*L20</f>
        <v/>
      </c>
      <c r="M30" s="378">
        <f>M3*M20</f>
        <v/>
      </c>
      <c r="O30" s="379" t="inlineStr">
        <is>
          <t>例子数*注册转化率</t>
        </is>
      </c>
    </row>
    <row r="31">
      <c r="J31" s="348" t="inlineStr">
        <is>
          <t>主投</t>
        </is>
      </c>
      <c r="K31" s="345" t="inlineStr">
        <is>
          <t>正价课GMV</t>
        </is>
      </c>
      <c r="L31" s="378">
        <f>L30*L21</f>
        <v/>
      </c>
      <c r="M31" s="378">
        <f>M30*M21</f>
        <v/>
      </c>
      <c r="O31" s="379" t="inlineStr">
        <is>
          <t>ASP*学员人数</t>
        </is>
      </c>
    </row>
    <row r="32">
      <c r="J32" s="348" t="inlineStr">
        <is>
          <t>主投</t>
        </is>
      </c>
      <c r="K32" s="345" t="inlineStr">
        <is>
          <t>前端投放总成本</t>
        </is>
      </c>
      <c r="L32" s="378">
        <f>L5*L3+L7*L31+L8+L29*L6+L3*P9</f>
        <v/>
      </c>
      <c r="M32" s="378">
        <f>M5*M3+M7*M31+M8+M29*M6+M3*Q9</f>
        <v/>
      </c>
      <c r="O32" s="379" t="inlineStr">
        <is>
          <t>例子数*单例子成本+GMV*CPS佣金比例+投放费用+单到课例子成本*出席人数+例子数*单例子运营人工成本</t>
        </is>
      </c>
    </row>
    <row r="33">
      <c r="J33" s="348" t="inlineStr">
        <is>
          <t>辅投</t>
        </is>
      </c>
      <c r="K33" s="361" t="inlineStr">
        <is>
          <t>到课学员数量</t>
        </is>
      </c>
      <c r="L33" s="378">
        <f>L23*L9</f>
        <v/>
      </c>
      <c r="M33" s="378">
        <f>M23*M9</f>
        <v/>
      </c>
      <c r="O33" s="379" t="n"/>
    </row>
    <row r="34">
      <c r="J34" s="348" t="inlineStr">
        <is>
          <t>辅投</t>
        </is>
      </c>
      <c r="K34" s="361" t="inlineStr">
        <is>
          <t>正价课学员数量</t>
        </is>
      </c>
      <c r="L34" s="378">
        <f>L9*L25</f>
        <v/>
      </c>
      <c r="M34" s="378">
        <f>M9*M25</f>
        <v/>
      </c>
    </row>
    <row r="35">
      <c r="J35" s="348" t="inlineStr">
        <is>
          <t>辅投</t>
        </is>
      </c>
      <c r="K35" s="361" t="inlineStr">
        <is>
          <t>正价课GMV</t>
        </is>
      </c>
      <c r="L35" s="378">
        <f>L26*L34</f>
        <v/>
      </c>
      <c r="M35" s="378">
        <f>M26*M34</f>
        <v/>
      </c>
    </row>
    <row r="36">
      <c r="J36" s="348" t="inlineStr">
        <is>
          <t>辅投</t>
        </is>
      </c>
      <c r="K36" s="361" t="inlineStr">
        <is>
          <t>前端投放总成本</t>
        </is>
      </c>
      <c r="L36" s="378">
        <f>L9*L11+L13*L35+L14+L12*L33+L9*Q9</f>
        <v/>
      </c>
      <c r="M36" s="378">
        <f>M9*M11+M13*M35+M14+M12*M33+M9*P9</f>
        <v/>
      </c>
      <c r="O36" s="379" t="inlineStr">
        <is>
          <t>例子数*单例子成本+GMV*CPS佣金比例+投放费用+单到课例子成本*出席人数+例子数*单例子运营人工成本</t>
        </is>
      </c>
    </row>
    <row r="37">
      <c r="J37" s="348" t="inlineStr">
        <is>
          <t>主投+辅投</t>
        </is>
      </c>
      <c r="K37" s="345" t="inlineStr">
        <is>
          <t>每单获客成本1</t>
        </is>
      </c>
      <c r="L37" s="378">
        <f>(L32+L36)/(L30+L34)</f>
        <v/>
      </c>
      <c r="M37" s="378">
        <f>(M32+M36)/(M30+M34)</f>
        <v/>
      </c>
      <c r="O37" s="379" t="inlineStr">
        <is>
          <t>前端投放总成本/学员人数</t>
        </is>
      </c>
    </row>
    <row r="38">
      <c r="K38" s="380" t="inlineStr">
        <is>
          <t>ROI 1</t>
        </is>
      </c>
      <c r="L38" s="381">
        <f>(L31+L35)/(L32+L36)</f>
        <v/>
      </c>
      <c r="M38" s="381">
        <f>(M31+M35)/(M32+M36)</f>
        <v/>
      </c>
      <c r="O38" s="379" t="inlineStr">
        <is>
          <t>GMV/前端投放总成本</t>
        </is>
      </c>
    </row>
    <row r="39">
      <c r="L39" s="378" t="n"/>
      <c r="M39" s="378" t="n"/>
    </row>
    <row r="40">
      <c r="K40" s="346" t="inlineStr">
        <is>
          <t>ROI 2相关指标-自动计算</t>
        </is>
      </c>
      <c r="L40" s="382" t="n"/>
      <c r="M40" s="382" t="n"/>
      <c r="N40" s="370" t="n"/>
      <c r="O40" s="383" t="n"/>
    </row>
    <row r="41">
      <c r="J41" s="348" t="inlineStr">
        <is>
          <t>主投</t>
        </is>
      </c>
      <c r="K41" s="345" t="inlineStr">
        <is>
          <t>试听课费用</t>
        </is>
      </c>
      <c r="L41" s="378">
        <f>L29*P8</f>
        <v/>
      </c>
      <c r="M41" s="378">
        <f>M29*Q8</f>
        <v/>
      </c>
      <c r="O41" s="379" t="inlineStr">
        <is>
          <t>单课时试听课费用*出席人数</t>
        </is>
      </c>
    </row>
    <row r="42">
      <c r="J42" s="348" t="inlineStr">
        <is>
          <t>主投</t>
        </is>
      </c>
      <c r="K42" s="345" t="inlineStr">
        <is>
          <t>TMK费用</t>
        </is>
      </c>
      <c r="L42" s="378">
        <f>IF(P10="是",L3/P11*P12,0)</f>
        <v/>
      </c>
      <c r="M42" s="378">
        <f>IF(Q10="是",M3/Q11*Q12,0)</f>
        <v/>
      </c>
      <c r="O42" s="379" t="inlineStr">
        <is>
          <t>例子数/TMK人均承担例子量*TMK人均成本=TMK人数*TMK人均成本</t>
        </is>
      </c>
    </row>
    <row r="43">
      <c r="J43" s="348" t="inlineStr">
        <is>
          <t>主投</t>
        </is>
      </c>
      <c r="K43" s="345" t="inlineStr">
        <is>
          <t>销售成本</t>
        </is>
      </c>
      <c r="L43" s="378">
        <f>L4/P4*P5+L31*(P6+P7)</f>
        <v/>
      </c>
      <c r="M43" s="378">
        <f>M4/Q4*Q5+M31*(Q6+Q7)</f>
        <v/>
      </c>
      <c r="O43" s="379" t="inlineStr">
        <is>
          <t>分发例子数/销售人均承接例子数*销售人均固定人工成本+GMV*（销售提成比例+礼品及其他费用比例）</t>
        </is>
      </c>
    </row>
    <row r="44">
      <c r="J44" s="348" t="inlineStr">
        <is>
          <t>辅投</t>
        </is>
      </c>
      <c r="K44" s="361" t="inlineStr">
        <is>
          <t>试听课费用</t>
        </is>
      </c>
      <c r="L44" s="378">
        <f>L33*Q8</f>
        <v/>
      </c>
      <c r="M44" s="378">
        <f>M33*P8</f>
        <v/>
      </c>
      <c r="O44" s="379" t="n"/>
    </row>
    <row r="45">
      <c r="J45" s="348" t="inlineStr">
        <is>
          <t>辅投</t>
        </is>
      </c>
      <c r="K45" s="361" t="inlineStr">
        <is>
          <t>TMK费用</t>
        </is>
      </c>
      <c r="L45" s="378">
        <f>IF(Q10="是",L9/Q11*Q12,0)</f>
        <v/>
      </c>
      <c r="M45" s="378">
        <f>IF(P10="是",M9/P11*P12,0)</f>
        <v/>
      </c>
      <c r="O45" s="379" t="n"/>
    </row>
    <row r="46">
      <c r="J46" s="348" t="inlineStr">
        <is>
          <t>辅投</t>
        </is>
      </c>
      <c r="K46" s="361" t="inlineStr">
        <is>
          <t>销售成本</t>
        </is>
      </c>
      <c r="L46" s="378">
        <f>L10/Q4*Q5+L35*(Q6+Q7)</f>
        <v/>
      </c>
      <c r="M46" s="378">
        <f>M10/P4*P5+M35*(P6+P7)</f>
        <v/>
      </c>
      <c r="O46" s="379" t="inlineStr">
        <is>
          <t>分发例子数/销售人均承接例子数*销售人均固定人工成本+GMV*（销售提成比例+礼品及其他费用比例）</t>
        </is>
      </c>
    </row>
    <row r="47">
      <c r="J47" s="348" t="inlineStr">
        <is>
          <t>主投+辅投</t>
        </is>
      </c>
      <c r="K47" s="345" t="inlineStr">
        <is>
          <t>每单获客成本2</t>
        </is>
      </c>
      <c r="L47" s="378">
        <f>L37+SUM(L41:L46)/(L30+L34)</f>
        <v/>
      </c>
      <c r="M47" s="378">
        <f>M37+SUM(M41:M46)/(M30+M34)</f>
        <v/>
      </c>
      <c r="O47" s="379" t="inlineStr">
        <is>
          <t>市场费用+试听课费用+TMK费用+销售费用</t>
        </is>
      </c>
    </row>
    <row r="48" ht="17.25" customHeight="1" s="327">
      <c r="K48" s="384" t="inlineStr">
        <is>
          <t>ROI 2</t>
        </is>
      </c>
      <c r="L48" s="385">
        <f>(L31+L35)/(L32+L36+SUM(L41:L46))</f>
        <v/>
      </c>
      <c r="M48" s="386">
        <f>(M31+M35)/(M32+M36+SUM(M41:M46))</f>
        <v/>
      </c>
      <c r="O48" s="387" t="n"/>
    </row>
    <row r="49" ht="17.25" customHeight="1" s="327">
      <c r="O49" s="379" t="n"/>
    </row>
    <row r="50">
      <c r="L50" s="388" t="n"/>
      <c r="O50" s="379" t="n"/>
    </row>
    <row r="51">
      <c r="O51" s="379" t="n"/>
    </row>
    <row r="66">
      <c r="O66" s="369" t="n"/>
    </row>
  </sheetData>
  <dataValidations count="1">
    <dataValidation sqref="P10:Q10" showDropDown="0" showInputMessage="1" showErrorMessage="1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U3" sqref="AU3:AU7"/>
    </sheetView>
  </sheetViews>
  <sheetFormatPr baseColWidth="8" defaultColWidth="11" defaultRowHeight="16.5"/>
  <cols>
    <col width="15.3333333333333" customWidth="1" style="327" min="6" max="6"/>
    <col width="12.6666666666667" customWidth="1" style="327" min="8" max="8"/>
    <col width="18.8333333333333" customWidth="1" style="345" min="9" max="9"/>
    <col width="23.1666666666667" customWidth="1" style="345" min="10" max="10"/>
    <col width="9.83333333333333" customWidth="1" style="345" min="11" max="11"/>
    <col width="11.3333333333333" customWidth="1" style="345" min="12" max="12"/>
    <col width="8.16666666666667" customWidth="1" style="345" min="13" max="13"/>
    <col width="26.6666666666667" customWidth="1" style="345" min="14" max="14"/>
    <col width="10.3333333333333" customWidth="1" style="345" min="15" max="16"/>
  </cols>
  <sheetData>
    <row r="1">
      <c r="A1" s="5" t="inlineStr">
        <is>
          <t>吕慧仪</t>
        </is>
      </c>
      <c r="B1" s="5" t="inlineStr">
        <is>
          <t>例子占比</t>
        </is>
      </c>
      <c r="C1" s="5" t="inlineStr">
        <is>
          <t>总例子数</t>
        </is>
      </c>
      <c r="D1" s="5" t="inlineStr">
        <is>
          <t>成本</t>
        </is>
      </c>
      <c r="E1" s="5" t="inlineStr">
        <is>
          <t>加权</t>
        </is>
      </c>
      <c r="F1" s="5" t="inlineStr">
        <is>
          <t>实际投放天数</t>
        </is>
      </c>
      <c r="G1" s="5" t="inlineStr">
        <is>
          <t>预计上线时间11.15</t>
        </is>
      </c>
    </row>
    <row r="2" ht="17.25" customHeight="1" s="327">
      <c r="A2" s="5" t="inlineStr">
        <is>
          <t>汇总</t>
        </is>
      </c>
      <c r="B2" s="165" t="n">
        <v>1</v>
      </c>
      <c r="C2" s="5" t="n">
        <v>230</v>
      </c>
      <c r="D2" s="5" t="n">
        <v>700</v>
      </c>
      <c r="E2" s="166">
        <f t="array" ref="E2">SUMPRODUCT(C3:C6,D3:D6)/C2</f>
        <v/>
      </c>
      <c r="I2" s="345" t="inlineStr">
        <is>
          <t>以项目或周期为单位</t>
        </is>
      </c>
      <c r="J2" s="346" t="inlineStr">
        <is>
          <t>前端投放参数-预估</t>
        </is>
      </c>
      <c r="K2" s="347" t="inlineStr">
        <is>
          <t>益智</t>
        </is>
      </c>
      <c r="L2" s="347" t="inlineStr">
        <is>
          <t>美术</t>
        </is>
      </c>
    </row>
    <row r="3">
      <c r="A3" s="5" t="inlineStr">
        <is>
          <t>11月</t>
        </is>
      </c>
      <c r="B3" s="279">
        <f>C3/$C$2</f>
        <v/>
      </c>
      <c r="C3" s="5" t="n">
        <v>100</v>
      </c>
      <c r="D3" s="5" t="n">
        <v>600</v>
      </c>
      <c r="F3" s="5" t="n">
        <v>15</v>
      </c>
      <c r="I3" s="348" t="inlineStr">
        <is>
          <t>主投</t>
        </is>
      </c>
      <c r="J3" s="345" t="inlineStr">
        <is>
          <t>注册例子数</t>
        </is>
      </c>
      <c r="K3" s="349" t="n">
        <v>230</v>
      </c>
      <c r="L3" s="350" t="n"/>
      <c r="N3" s="351" t="inlineStr">
        <is>
          <t>其他参数（海外调整）</t>
        </is>
      </c>
      <c r="O3" s="352" t="inlineStr">
        <is>
          <t>益智</t>
        </is>
      </c>
      <c r="P3" s="353" t="inlineStr">
        <is>
          <t>美术</t>
        </is>
      </c>
    </row>
    <row r="4">
      <c r="A4" s="5" t="inlineStr">
        <is>
          <t>12月</t>
        </is>
      </c>
      <c r="B4" s="279">
        <f>C4/$C$2</f>
        <v/>
      </c>
      <c r="C4" s="5" t="n">
        <v>70</v>
      </c>
      <c r="D4" s="5" t="n">
        <v>650</v>
      </c>
      <c r="F4" s="5" t="n">
        <v>31</v>
      </c>
      <c r="I4" s="348" t="inlineStr">
        <is>
          <t>主投</t>
        </is>
      </c>
      <c r="J4" s="345" t="inlineStr">
        <is>
          <t>分发例子数</t>
        </is>
      </c>
      <c r="K4" s="354" t="n"/>
      <c r="L4" s="354" t="n"/>
      <c r="N4" s="355" t="inlineStr">
        <is>
          <t>销售人均承接例子数</t>
        </is>
      </c>
      <c r="O4" s="356" t="n">
        <v>93.8</v>
      </c>
      <c r="P4" s="356" t="n">
        <v>103</v>
      </c>
    </row>
    <row r="5">
      <c r="A5" s="5" t="inlineStr">
        <is>
          <t>1月</t>
        </is>
      </c>
      <c r="B5" s="279">
        <f>C5/$C$2</f>
        <v/>
      </c>
      <c r="C5" s="5" t="n">
        <v>40</v>
      </c>
      <c r="D5" s="5" t="n">
        <v>800</v>
      </c>
      <c r="F5" s="5" t="n">
        <v>31</v>
      </c>
      <c r="I5" s="348" t="inlineStr">
        <is>
          <t>主投</t>
        </is>
      </c>
      <c r="J5" s="345" t="inlineStr">
        <is>
          <t>单例子成本（CPA）</t>
        </is>
      </c>
      <c r="K5" s="349" t="n">
        <v>700</v>
      </c>
      <c r="L5" s="349" t="n"/>
      <c r="N5" s="355" t="inlineStr">
        <is>
          <t>销售人均固定人工成本</t>
        </is>
      </c>
      <c r="O5" s="357" t="n">
        <v>10622</v>
      </c>
      <c r="P5" s="358" t="n">
        <v>11145.0173429227</v>
      </c>
    </row>
    <row r="6">
      <c r="A6" s="5" t="inlineStr">
        <is>
          <t>2月</t>
        </is>
      </c>
      <c r="B6" s="279">
        <f>C6/$C$2</f>
        <v/>
      </c>
      <c r="C6" s="5" t="n">
        <v>20</v>
      </c>
      <c r="D6" s="5" t="n">
        <v>900</v>
      </c>
      <c r="F6" s="5" t="n">
        <v>13</v>
      </c>
      <c r="I6" s="348" t="inlineStr">
        <is>
          <t>主投</t>
        </is>
      </c>
      <c r="J6" s="345" t="inlineStr">
        <is>
          <t>单到课例子成本（CPA）</t>
        </is>
      </c>
      <c r="K6" s="349" t="n"/>
      <c r="L6" s="349" t="n"/>
      <c r="N6" s="355" t="inlineStr">
        <is>
          <t>销售提成比例</t>
        </is>
      </c>
      <c r="O6" s="241" t="n">
        <v>0.079</v>
      </c>
      <c r="P6" s="242" t="n">
        <v>0.077</v>
      </c>
    </row>
    <row r="7">
      <c r="I7" s="348" t="inlineStr">
        <is>
          <t>主投</t>
        </is>
      </c>
      <c r="J7" s="345" t="inlineStr">
        <is>
          <t>渠道佣金（CPS）</t>
        </is>
      </c>
      <c r="K7" s="243" t="n"/>
      <c r="L7" s="349" t="n"/>
      <c r="N7" s="355" t="inlineStr">
        <is>
          <t>礼品及其他费用比例</t>
        </is>
      </c>
      <c r="O7" s="241" t="n">
        <v>0.017</v>
      </c>
      <c r="P7" s="242" t="n">
        <v>0.022</v>
      </c>
    </row>
    <row r="8">
      <c r="I8" s="348" t="inlineStr">
        <is>
          <t>主投</t>
        </is>
      </c>
      <c r="J8" s="345" t="inlineStr">
        <is>
          <t>投放费用（CPT)</t>
        </is>
      </c>
      <c r="K8" s="349" t="n">
        <v>60000</v>
      </c>
      <c r="L8" s="349" t="n"/>
      <c r="N8" s="355" t="inlineStr">
        <is>
          <t>出席试听课费用</t>
        </is>
      </c>
      <c r="O8" s="359" t="n">
        <v>86.40000000000001</v>
      </c>
      <c r="P8" s="360" t="n">
        <v>82</v>
      </c>
    </row>
    <row r="9">
      <c r="I9" s="348" t="inlineStr">
        <is>
          <t>辅投</t>
        </is>
      </c>
      <c r="J9" s="361" t="inlineStr">
        <is>
          <t>注册例子数</t>
        </is>
      </c>
      <c r="K9" s="362" t="n"/>
      <c r="L9" s="350" t="n"/>
      <c r="N9" s="355" t="inlineStr">
        <is>
          <t>单例子渠道运营人工成本及其他</t>
        </is>
      </c>
      <c r="O9" s="359" t="n">
        <v>33.49</v>
      </c>
      <c r="P9" s="359" t="n">
        <v>75</v>
      </c>
    </row>
    <row r="10">
      <c r="I10" s="348" t="inlineStr">
        <is>
          <t>辅投</t>
        </is>
      </c>
      <c r="J10" s="361" t="inlineStr">
        <is>
          <t>分发例子数</t>
        </is>
      </c>
      <c r="K10" s="354" t="n"/>
      <c r="L10" s="350" t="n"/>
      <c r="N10" s="355" t="inlineStr">
        <is>
          <t>是否过TMK</t>
        </is>
      </c>
      <c r="O10" s="363" t="inlineStr">
        <is>
          <t>是</t>
        </is>
      </c>
      <c r="P10" s="364" t="inlineStr">
        <is>
          <t>是</t>
        </is>
      </c>
    </row>
    <row r="11">
      <c r="I11" s="348" t="inlineStr">
        <is>
          <t>辅投</t>
        </is>
      </c>
      <c r="J11" s="361" t="inlineStr">
        <is>
          <t>单例子成本（CPA）</t>
        </is>
      </c>
      <c r="K11" s="362" t="n"/>
      <c r="L11" s="362" t="n"/>
      <c r="N11" s="355" t="inlineStr">
        <is>
          <t>TMK人均承担例子量</t>
        </is>
      </c>
      <c r="O11" s="365" t="n">
        <v>1055</v>
      </c>
      <c r="P11" s="358" t="n">
        <v>1233</v>
      </c>
    </row>
    <row r="12" ht="17.25" customHeight="1" s="327">
      <c r="I12" s="348" t="inlineStr">
        <is>
          <t>辅投</t>
        </is>
      </c>
      <c r="J12" s="361" t="inlineStr">
        <is>
          <t>单到课例子成本（CPA）</t>
        </is>
      </c>
      <c r="K12" s="362" t="n"/>
      <c r="L12" s="362" t="n"/>
      <c r="N12" s="366" t="inlineStr">
        <is>
          <t>TMK人均成本</t>
        </is>
      </c>
      <c r="O12" s="367" t="n">
        <v>11181</v>
      </c>
      <c r="P12" s="367" t="n">
        <v>11486.4236150315</v>
      </c>
    </row>
    <row r="13">
      <c r="I13" s="348" t="inlineStr">
        <is>
          <t>辅投</t>
        </is>
      </c>
      <c r="J13" s="361" t="inlineStr">
        <is>
          <t>渠道佣金（CPS）</t>
        </is>
      </c>
      <c r="K13" s="253" t="n"/>
      <c r="L13" s="362" t="n"/>
      <c r="N13" s="368" t="inlineStr">
        <is>
          <t>备注：绿色填充部分可调整，没有对应的参数可留空</t>
        </is>
      </c>
    </row>
    <row r="14">
      <c r="I14" s="348" t="inlineStr">
        <is>
          <t>辅投</t>
        </is>
      </c>
      <c r="J14" s="361" t="inlineStr">
        <is>
          <t>投放费用（CPT)</t>
        </is>
      </c>
      <c r="K14" s="362" t="n"/>
      <c r="L14" s="362" t="n"/>
      <c r="O14" s="345">
        <f>O5/O4</f>
        <v/>
      </c>
      <c r="P14" s="345">
        <f>P5/P4</f>
        <v/>
      </c>
    </row>
    <row r="15">
      <c r="N15" s="369" t="n"/>
      <c r="O15" s="370">
        <f>O12/O11</f>
        <v/>
      </c>
      <c r="P15" s="370" t="n"/>
    </row>
    <row r="16">
      <c r="J16" s="346" t="inlineStr">
        <is>
          <t>过程指标-预估</t>
        </is>
      </c>
      <c r="K16" s="371" t="n"/>
      <c r="L16" s="371" t="n"/>
    </row>
    <row r="17">
      <c r="J17" s="345" t="inlineStr">
        <is>
          <t>注册分发率</t>
        </is>
      </c>
      <c r="K17" s="258" t="n">
        <v>0.5</v>
      </c>
      <c r="L17" s="357" t="n"/>
    </row>
    <row r="18">
      <c r="I18" s="348" t="inlineStr">
        <is>
          <t>主投</t>
        </is>
      </c>
      <c r="J18" s="345" t="inlineStr">
        <is>
          <t>滚动注册出席率</t>
        </is>
      </c>
      <c r="K18" s="372" t="n">
        <v>0.38</v>
      </c>
      <c r="L18" s="260" t="n"/>
    </row>
    <row r="19">
      <c r="I19" s="348" t="inlineStr">
        <is>
          <t>主投</t>
        </is>
      </c>
      <c r="J19" s="345" t="inlineStr">
        <is>
          <t>滚动出席转化率</t>
        </is>
      </c>
      <c r="K19" s="372" t="n">
        <v>0.35</v>
      </c>
      <c r="L19" s="373" t="n"/>
    </row>
    <row r="20">
      <c r="I20" s="348" t="inlineStr">
        <is>
          <t>主投</t>
        </is>
      </c>
      <c r="J20" s="345" t="inlineStr">
        <is>
          <t>滚动注册转化率</t>
        </is>
      </c>
      <c r="K20" s="374" t="n">
        <v>0.18</v>
      </c>
      <c r="L20" s="375" t="n"/>
      <c r="N20" s="369" t="n"/>
    </row>
    <row r="21">
      <c r="I21" s="348" t="inlineStr">
        <is>
          <t>主投</t>
        </is>
      </c>
      <c r="J21" s="345" t="inlineStr">
        <is>
          <t>正价课ASP</t>
        </is>
      </c>
      <c r="K21" s="376" t="n">
        <v>5000</v>
      </c>
      <c r="L21" s="376" t="n"/>
    </row>
    <row r="22">
      <c r="I22" s="348" t="inlineStr">
        <is>
          <t>辅投</t>
        </is>
      </c>
      <c r="J22" s="361" t="inlineStr">
        <is>
          <t>注册分发率</t>
        </is>
      </c>
      <c r="K22" s="357" t="n"/>
      <c r="L22" s="357" t="n"/>
      <c r="N22" s="265" t="n"/>
    </row>
    <row r="23">
      <c r="I23" s="348" t="inlineStr">
        <is>
          <t>辅投</t>
        </is>
      </c>
      <c r="J23" s="361" t="inlineStr">
        <is>
          <t>滚动注册出席率</t>
        </is>
      </c>
      <c r="K23" s="373" t="n"/>
      <c r="L23" s="373" t="n"/>
      <c r="N23" s="265" t="n"/>
    </row>
    <row r="24">
      <c r="I24" s="348" t="inlineStr">
        <is>
          <t>辅投</t>
        </is>
      </c>
      <c r="J24" s="361" t="inlineStr">
        <is>
          <t>滚动出席转化率</t>
        </is>
      </c>
      <c r="K24" s="373" t="n"/>
      <c r="L24" s="373" t="n"/>
      <c r="N24" s="265" t="n"/>
    </row>
    <row r="25">
      <c r="I25" s="348" t="inlineStr">
        <is>
          <t>辅投</t>
        </is>
      </c>
      <c r="J25" s="361" t="inlineStr">
        <is>
          <t>滚动注册转化率</t>
        </is>
      </c>
      <c r="K25" s="375" t="n"/>
      <c r="L25" s="375" t="n"/>
      <c r="N25" s="377" t="n"/>
    </row>
    <row r="26">
      <c r="I26" s="348" t="inlineStr">
        <is>
          <t>辅投</t>
        </is>
      </c>
      <c r="J26" s="361" t="inlineStr">
        <is>
          <t>正价课ASP</t>
        </is>
      </c>
      <c r="K26" s="350" t="n"/>
      <c r="L26" s="350" t="n"/>
    </row>
    <row r="28">
      <c r="J28" s="346" t="inlineStr">
        <is>
          <t>ROI 1相关指标-自动计算</t>
        </is>
      </c>
      <c r="K28" s="371" t="n"/>
      <c r="L28" s="371" t="n"/>
    </row>
    <row r="29">
      <c r="I29" s="348" t="inlineStr">
        <is>
          <t>主投</t>
        </is>
      </c>
      <c r="J29" s="345" t="inlineStr">
        <is>
          <t>到课学员数量</t>
        </is>
      </c>
      <c r="K29" s="378">
        <f>K18*K3</f>
        <v/>
      </c>
      <c r="L29" s="378">
        <f>L18*L3</f>
        <v/>
      </c>
      <c r="N29" s="379" t="inlineStr">
        <is>
          <t>例子数*注册出席率</t>
        </is>
      </c>
    </row>
    <row r="30">
      <c r="I30" s="348" t="inlineStr">
        <is>
          <t>主投</t>
        </is>
      </c>
      <c r="J30" s="345" t="inlineStr">
        <is>
          <t>正价课学员数量</t>
        </is>
      </c>
      <c r="K30" s="378">
        <f>K3*K20</f>
        <v/>
      </c>
      <c r="L30" s="378">
        <f>L3*L20</f>
        <v/>
      </c>
      <c r="N30" s="379" t="inlineStr">
        <is>
          <t>例子数*注册转化率</t>
        </is>
      </c>
    </row>
    <row r="31">
      <c r="I31" s="348" t="inlineStr">
        <is>
          <t>主投</t>
        </is>
      </c>
      <c r="J31" s="345" t="inlineStr">
        <is>
          <t>正价课GMV</t>
        </is>
      </c>
      <c r="K31" s="378">
        <f>K30*K21</f>
        <v/>
      </c>
      <c r="L31" s="378">
        <f>L30*L21</f>
        <v/>
      </c>
      <c r="N31" s="379" t="inlineStr">
        <is>
          <t>ASP*学员人数</t>
        </is>
      </c>
    </row>
    <row r="32">
      <c r="I32" s="348" t="inlineStr">
        <is>
          <t>主投</t>
        </is>
      </c>
      <c r="J32" s="345" t="inlineStr">
        <is>
          <t>前端投放总成本</t>
        </is>
      </c>
      <c r="K32" s="378">
        <f>K5*K3+K7*K31+K8+K29*K6+K3*O9</f>
        <v/>
      </c>
      <c r="L32" s="378">
        <f>L5*L3+L7*L31+L8+L29*L6+L3*P9</f>
        <v/>
      </c>
      <c r="N32" s="379" t="inlineStr">
        <is>
          <t>例子数*单例子成本+GMV*CPS佣金比例+投放费用+单到课例子成本*出席人数+例子数*单例子运营人工成本</t>
        </is>
      </c>
    </row>
    <row r="33">
      <c r="I33" s="348" t="inlineStr">
        <is>
          <t>辅投</t>
        </is>
      </c>
      <c r="J33" s="361" t="inlineStr">
        <is>
          <t>到课学员数量</t>
        </is>
      </c>
      <c r="K33" s="378">
        <f>K23*K9</f>
        <v/>
      </c>
      <c r="L33" s="378">
        <f>L23*L9</f>
        <v/>
      </c>
      <c r="N33" s="379" t="n"/>
    </row>
    <row r="34">
      <c r="I34" s="348" t="inlineStr">
        <is>
          <t>辅投</t>
        </is>
      </c>
      <c r="J34" s="361" t="inlineStr">
        <is>
          <t>正价课学员数量</t>
        </is>
      </c>
      <c r="K34" s="378">
        <f>K9*K25</f>
        <v/>
      </c>
      <c r="L34" s="378">
        <f>L9*L25</f>
        <v/>
      </c>
    </row>
    <row r="35">
      <c r="I35" s="348" t="inlineStr">
        <is>
          <t>辅投</t>
        </is>
      </c>
      <c r="J35" s="361" t="inlineStr">
        <is>
          <t>正价课GMV</t>
        </is>
      </c>
      <c r="K35" s="378">
        <f>K26*K34</f>
        <v/>
      </c>
      <c r="L35" s="378">
        <f>L26*L34</f>
        <v/>
      </c>
    </row>
    <row r="36">
      <c r="I36" s="348" t="inlineStr">
        <is>
          <t>辅投</t>
        </is>
      </c>
      <c r="J36" s="361" t="inlineStr">
        <is>
          <t>前端投放总成本</t>
        </is>
      </c>
      <c r="K36" s="378">
        <f>K9*K11+K13*K35+K14+K12*K33+K9*P9</f>
        <v/>
      </c>
      <c r="L36" s="378">
        <f>L9*L11+L13*L35+L14+L12*L33+L9*O9</f>
        <v/>
      </c>
      <c r="N36" s="379" t="inlineStr">
        <is>
          <t>例子数*单例子成本+GMV*CPS佣金比例+投放费用+单到课例子成本*出席人数+例子数*单例子运营人工成本</t>
        </is>
      </c>
    </row>
    <row r="37">
      <c r="I37" s="348" t="inlineStr">
        <is>
          <t>主投+辅投</t>
        </is>
      </c>
      <c r="J37" s="345" t="inlineStr">
        <is>
          <t>每单获客成本1</t>
        </is>
      </c>
      <c r="K37" s="378">
        <f>(K32+K36)/(K30+K34)</f>
        <v/>
      </c>
      <c r="L37" s="378">
        <f>(L32+L36)/(L30+L34)</f>
        <v/>
      </c>
      <c r="N37" s="379" t="inlineStr">
        <is>
          <t>前端投放总成本/学员人数</t>
        </is>
      </c>
    </row>
    <row r="38">
      <c r="J38" s="380" t="inlineStr">
        <is>
          <t>ROI 1</t>
        </is>
      </c>
      <c r="K38" s="381">
        <f>(K31+K35)/(K32+K36)</f>
        <v/>
      </c>
      <c r="L38" s="381">
        <f>(L31+L35)/(L32+L36)</f>
        <v/>
      </c>
      <c r="N38" s="379" t="inlineStr">
        <is>
          <t>GMV/前端投放总成本</t>
        </is>
      </c>
    </row>
    <row r="39">
      <c r="K39" s="378" t="n"/>
      <c r="L39" s="378" t="n"/>
    </row>
    <row r="40">
      <c r="J40" s="346" t="inlineStr">
        <is>
          <t>ROI 2相关指标-自动计算</t>
        </is>
      </c>
      <c r="K40" s="382" t="n"/>
      <c r="L40" s="382" t="n"/>
      <c r="M40" s="370" t="n"/>
      <c r="N40" s="383" t="n"/>
    </row>
    <row r="41">
      <c r="I41" s="348" t="inlineStr">
        <is>
          <t>主投</t>
        </is>
      </c>
      <c r="J41" s="345" t="inlineStr">
        <is>
          <t>试听课费用</t>
        </is>
      </c>
      <c r="K41" s="378">
        <f>K29*O8</f>
        <v/>
      </c>
      <c r="L41" s="378">
        <f>L29*P8</f>
        <v/>
      </c>
      <c r="N41" s="379" t="inlineStr">
        <is>
          <t>单课时试听课费用*出席人数</t>
        </is>
      </c>
    </row>
    <row r="42">
      <c r="I42" s="348" t="inlineStr">
        <is>
          <t>主投</t>
        </is>
      </c>
      <c r="J42" s="345" t="inlineStr">
        <is>
          <t>TMK费用</t>
        </is>
      </c>
      <c r="K42" s="378">
        <f>IF(O10="是",K3/O11*O12,0)</f>
        <v/>
      </c>
      <c r="L42" s="378">
        <f>IF(P10="是",L3/P11*P12,0)</f>
        <v/>
      </c>
      <c r="N42" s="379" t="inlineStr">
        <is>
          <t>例子数/TMK人均承担例子量*TMK人均成本=TMK人数*TMK人均成本</t>
        </is>
      </c>
    </row>
    <row r="43">
      <c r="I43" s="348" t="inlineStr">
        <is>
          <t>主投</t>
        </is>
      </c>
      <c r="J43" s="345" t="inlineStr">
        <is>
          <t>销售成本</t>
        </is>
      </c>
      <c r="K43" s="378">
        <f>K4/O4*O5+K31*(O6+O7)</f>
        <v/>
      </c>
      <c r="L43" s="378">
        <f>L4/P4*P5+L31*(P6+P7)</f>
        <v/>
      </c>
      <c r="N43" s="379" t="inlineStr">
        <is>
          <t>分发例子数/销售人均承接例子数*销售人均固定人工成本+GMV*（销售提成比例+礼品及其他费用比例）</t>
        </is>
      </c>
    </row>
    <row r="44">
      <c r="I44" s="348" t="inlineStr">
        <is>
          <t>辅投</t>
        </is>
      </c>
      <c r="J44" s="361" t="inlineStr">
        <is>
          <t>试听课费用</t>
        </is>
      </c>
      <c r="K44" s="378">
        <f>K33*P8</f>
        <v/>
      </c>
      <c r="L44" s="378">
        <f>L33*O8</f>
        <v/>
      </c>
      <c r="N44" s="379" t="n"/>
    </row>
    <row r="45">
      <c r="I45" s="348" t="inlineStr">
        <is>
          <t>辅投</t>
        </is>
      </c>
      <c r="J45" s="361" t="inlineStr">
        <is>
          <t>TMK费用</t>
        </is>
      </c>
      <c r="K45" s="378">
        <f>IF(P10="是",K9/P11*P12,0)</f>
        <v/>
      </c>
      <c r="L45" s="378">
        <f>IF(O10="是",L9/O11*O12,0)</f>
        <v/>
      </c>
      <c r="N45" s="379" t="n"/>
    </row>
    <row r="46">
      <c r="I46" s="348" t="inlineStr">
        <is>
          <t>辅投</t>
        </is>
      </c>
      <c r="J46" s="361" t="inlineStr">
        <is>
          <t>销售成本</t>
        </is>
      </c>
      <c r="K46" s="378">
        <f>K10/P4*P5+K35*(P6+P7)</f>
        <v/>
      </c>
      <c r="L46" s="378">
        <f>L10/O4*O5+L35*(O6+O7)</f>
        <v/>
      </c>
      <c r="N46" s="379" t="inlineStr">
        <is>
          <t>分发例子数/销售人均承接例子数*销售人均固定人工成本+GMV*（销售提成比例+礼品及其他费用比例）</t>
        </is>
      </c>
    </row>
    <row r="47">
      <c r="I47" s="348" t="inlineStr">
        <is>
          <t>主投+辅投</t>
        </is>
      </c>
      <c r="J47" s="345" t="inlineStr">
        <is>
          <t>每单获客成本2</t>
        </is>
      </c>
      <c r="K47" s="378">
        <f>K37+SUM(K41:K46)/(K30+K34)</f>
        <v/>
      </c>
      <c r="L47" s="378">
        <f>L37+SUM(L41:L46)/(L30+L34)</f>
        <v/>
      </c>
      <c r="N47" s="379" t="inlineStr">
        <is>
          <t>市场费用+试听课费用+TMK费用+销售费用</t>
        </is>
      </c>
    </row>
    <row r="48" ht="17.25" customHeight="1" s="327">
      <c r="J48" s="384" t="inlineStr">
        <is>
          <t>ROI 2</t>
        </is>
      </c>
      <c r="K48" s="385">
        <f>(K31+K35)/(K32+K36+SUM(K41:K46))</f>
        <v/>
      </c>
      <c r="L48" s="386">
        <f>(L31+L35)/(L32+L36+SUM(L41:L46))</f>
        <v/>
      </c>
      <c r="N48" s="387" t="n"/>
    </row>
    <row r="49" ht="17.25" customHeight="1" s="327">
      <c r="N49" s="379" t="n"/>
    </row>
    <row r="50">
      <c r="K50" s="388" t="n"/>
      <c r="N50" s="379" t="n"/>
    </row>
    <row r="51">
      <c r="N51" s="379" t="n"/>
    </row>
    <row r="66">
      <c r="N66" s="369" t="n"/>
    </row>
  </sheetData>
  <dataValidations count="1">
    <dataValidation sqref="O10:P10" showDropDown="0" showInputMessage="1" showErrorMessage="1" allowBlank="1" type="list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U3" sqref="AU3:AU7"/>
    </sheetView>
  </sheetViews>
  <sheetFormatPr baseColWidth="8" defaultColWidth="11" defaultRowHeight="16.5"/>
  <cols>
    <col width="18.8333333333333" customWidth="1" style="345" min="8" max="8"/>
    <col width="23.1666666666667" customWidth="1" style="345" min="9" max="9"/>
    <col width="9.83333333333333" customWidth="1" style="345" min="10" max="10"/>
    <col width="11.3333333333333" customWidth="1" style="345" min="11" max="11"/>
    <col width="8.16666666666667" customWidth="1" style="345" min="12" max="12"/>
    <col width="26.6666666666667" customWidth="1" style="345" min="13" max="13"/>
    <col width="10.3333333333333" customWidth="1" style="345" min="14" max="15"/>
  </cols>
  <sheetData>
    <row r="1">
      <c r="A1" s="5" t="inlineStr">
        <is>
          <t>專家鄧明儀</t>
        </is>
      </c>
      <c r="B1" s="5" t="inlineStr">
        <is>
          <t>例子占比</t>
        </is>
      </c>
      <c r="C1" s="5" t="inlineStr">
        <is>
          <t>总例子数</t>
        </is>
      </c>
      <c r="D1" s="5" t="inlineStr">
        <is>
          <t>成本</t>
        </is>
      </c>
      <c r="E1" s="5" t="inlineStr">
        <is>
          <t>加权</t>
        </is>
      </c>
    </row>
    <row r="2" ht="17.25" customHeight="1" s="327">
      <c r="A2" s="5" t="inlineStr">
        <is>
          <t>汇总</t>
        </is>
      </c>
      <c r="B2" s="165" t="n">
        <v>1</v>
      </c>
      <c r="C2" s="5" t="n">
        <v>65</v>
      </c>
      <c r="D2" s="5" t="n">
        <v>720</v>
      </c>
      <c r="E2" s="166">
        <f>SUMPRODUCT(C3:C5,D3:D5)/C2</f>
        <v/>
      </c>
      <c r="H2" s="345" t="inlineStr">
        <is>
          <t>以项目或周期为单位</t>
        </is>
      </c>
      <c r="I2" s="346" t="inlineStr">
        <is>
          <t>前端投放参数-预估</t>
        </is>
      </c>
      <c r="J2" s="347" t="inlineStr">
        <is>
          <t>益智</t>
        </is>
      </c>
      <c r="K2" s="347" t="inlineStr">
        <is>
          <t>美术</t>
        </is>
      </c>
    </row>
    <row r="3">
      <c r="A3" s="5" t="inlineStr">
        <is>
          <t>10月</t>
        </is>
      </c>
      <c r="B3" s="279">
        <f>C3/$C$2</f>
        <v/>
      </c>
      <c r="C3" s="5" t="n">
        <v>40</v>
      </c>
      <c r="D3" s="5" t="n">
        <v>600</v>
      </c>
      <c r="H3" s="348" t="inlineStr">
        <is>
          <t>主投</t>
        </is>
      </c>
      <c r="I3" s="345" t="inlineStr">
        <is>
          <t>注册例子数</t>
        </is>
      </c>
      <c r="J3" s="349" t="n">
        <v>65</v>
      </c>
      <c r="K3" s="350" t="n"/>
      <c r="M3" s="351" t="inlineStr">
        <is>
          <t>其他参数（海外调整）</t>
        </is>
      </c>
      <c r="N3" s="352" t="inlineStr">
        <is>
          <t>益智</t>
        </is>
      </c>
      <c r="O3" s="353" t="inlineStr">
        <is>
          <t>美术</t>
        </is>
      </c>
    </row>
    <row r="4">
      <c r="A4" s="5" t="inlineStr">
        <is>
          <t>11月</t>
        </is>
      </c>
      <c r="B4" s="279">
        <f>C4/$C$2</f>
        <v/>
      </c>
      <c r="C4" s="5" t="n">
        <v>20</v>
      </c>
      <c r="D4" s="5" t="n">
        <v>750</v>
      </c>
      <c r="H4" s="348" t="inlineStr">
        <is>
          <t>主投</t>
        </is>
      </c>
      <c r="I4" s="345" t="inlineStr">
        <is>
          <t>分发例子数</t>
        </is>
      </c>
      <c r="J4" s="354" t="n"/>
      <c r="K4" s="354" t="n"/>
      <c r="M4" s="355" t="inlineStr">
        <is>
          <t>销售人均承接例子数</t>
        </is>
      </c>
      <c r="N4" s="356" t="n">
        <v>93.8</v>
      </c>
      <c r="O4" s="356" t="n">
        <v>103</v>
      </c>
    </row>
    <row r="5">
      <c r="A5" s="5" t="inlineStr">
        <is>
          <t>12月</t>
        </is>
      </c>
      <c r="B5" s="279">
        <f>C5/$C$2</f>
        <v/>
      </c>
      <c r="C5" s="5" t="n">
        <v>5</v>
      </c>
      <c r="D5" s="5" t="n">
        <v>900</v>
      </c>
      <c r="H5" s="348" t="inlineStr">
        <is>
          <t>主投</t>
        </is>
      </c>
      <c r="I5" s="345" t="inlineStr">
        <is>
          <t>单例子成本（CPA）</t>
        </is>
      </c>
      <c r="J5" s="349" t="n">
        <v>700</v>
      </c>
      <c r="K5" s="349" t="n"/>
      <c r="M5" s="355" t="inlineStr">
        <is>
          <t>销售人均固定人工成本</t>
        </is>
      </c>
      <c r="N5" s="357" t="n">
        <v>10622</v>
      </c>
      <c r="O5" s="358" t="n">
        <v>11145.0173429227</v>
      </c>
    </row>
    <row r="6">
      <c r="H6" s="348" t="inlineStr">
        <is>
          <t>主投</t>
        </is>
      </c>
      <c r="I6" s="345" t="inlineStr">
        <is>
          <t>单到课例子成本（CPA）</t>
        </is>
      </c>
      <c r="J6" s="349" t="n"/>
      <c r="K6" s="349" t="n"/>
      <c r="M6" s="355" t="inlineStr">
        <is>
          <t>销售提成比例</t>
        </is>
      </c>
      <c r="N6" s="241" t="n">
        <v>0.079</v>
      </c>
      <c r="O6" s="242" t="n">
        <v>0.077</v>
      </c>
    </row>
    <row r="7">
      <c r="H7" s="348" t="inlineStr">
        <is>
          <t>主投</t>
        </is>
      </c>
      <c r="I7" s="345" t="inlineStr">
        <is>
          <t>渠道佣金（CPS）</t>
        </is>
      </c>
      <c r="J7" s="243" t="n"/>
      <c r="K7" s="349" t="n"/>
      <c r="M7" s="355" t="inlineStr">
        <is>
          <t>礼品及其他费用比例</t>
        </is>
      </c>
      <c r="N7" s="241" t="n">
        <v>0.017</v>
      </c>
      <c r="O7" s="242" t="n">
        <v>0.022</v>
      </c>
    </row>
    <row r="8">
      <c r="H8" s="348" t="inlineStr">
        <is>
          <t>主投</t>
        </is>
      </c>
      <c r="I8" s="345" t="inlineStr">
        <is>
          <t>投放费用（CPT)</t>
        </is>
      </c>
      <c r="J8" s="349" t="n">
        <v>16740</v>
      </c>
      <c r="K8" s="349" t="n"/>
      <c r="M8" s="355" t="inlineStr">
        <is>
          <t>出席试听课费用</t>
        </is>
      </c>
      <c r="N8" s="359" t="n">
        <v>86.40000000000001</v>
      </c>
      <c r="O8" s="360" t="n">
        <v>82</v>
      </c>
    </row>
    <row r="9">
      <c r="H9" s="348" t="inlineStr">
        <is>
          <t>辅投</t>
        </is>
      </c>
      <c r="I9" s="361" t="inlineStr">
        <is>
          <t>注册例子数</t>
        </is>
      </c>
      <c r="J9" s="362" t="n"/>
      <c r="K9" s="350" t="n"/>
      <c r="M9" s="355" t="inlineStr">
        <is>
          <t>单例子渠道运营人工成本及其他</t>
        </is>
      </c>
      <c r="N9" s="359" t="n">
        <v>33.49</v>
      </c>
      <c r="O9" s="359" t="n">
        <v>75</v>
      </c>
    </row>
    <row r="10">
      <c r="H10" s="348" t="inlineStr">
        <is>
          <t>辅投</t>
        </is>
      </c>
      <c r="I10" s="361" t="inlineStr">
        <is>
          <t>分发例子数</t>
        </is>
      </c>
      <c r="J10" s="354" t="n"/>
      <c r="K10" s="350" t="n"/>
      <c r="M10" s="355" t="inlineStr">
        <is>
          <t>是否过TMK</t>
        </is>
      </c>
      <c r="N10" s="363" t="inlineStr">
        <is>
          <t>是</t>
        </is>
      </c>
      <c r="O10" s="364" t="inlineStr">
        <is>
          <t>是</t>
        </is>
      </c>
    </row>
    <row r="11">
      <c r="H11" s="348" t="inlineStr">
        <is>
          <t>辅投</t>
        </is>
      </c>
      <c r="I11" s="361" t="inlineStr">
        <is>
          <t>单例子成本（CPA）</t>
        </is>
      </c>
      <c r="J11" s="362" t="n"/>
      <c r="K11" s="362" t="n"/>
      <c r="M11" s="355" t="inlineStr">
        <is>
          <t>TMK人均承担例子量</t>
        </is>
      </c>
      <c r="N11" s="365" t="n">
        <v>1055</v>
      </c>
      <c r="O11" s="358" t="n">
        <v>1233</v>
      </c>
    </row>
    <row r="12" ht="17.25" customHeight="1" s="327">
      <c r="H12" s="348" t="inlineStr">
        <is>
          <t>辅投</t>
        </is>
      </c>
      <c r="I12" s="361" t="inlineStr">
        <is>
          <t>单到课例子成本（CPA）</t>
        </is>
      </c>
      <c r="J12" s="362" t="n"/>
      <c r="K12" s="362" t="n"/>
      <c r="M12" s="366" t="inlineStr">
        <is>
          <t>TMK人均成本</t>
        </is>
      </c>
      <c r="N12" s="367" t="n">
        <v>11181</v>
      </c>
      <c r="O12" s="367" t="n">
        <v>11486.4236150315</v>
      </c>
    </row>
    <row r="13">
      <c r="H13" s="348" t="inlineStr">
        <is>
          <t>辅投</t>
        </is>
      </c>
      <c r="I13" s="361" t="inlineStr">
        <is>
          <t>渠道佣金（CPS）</t>
        </is>
      </c>
      <c r="J13" s="253" t="n"/>
      <c r="K13" s="362" t="n"/>
      <c r="M13" s="368" t="inlineStr">
        <is>
          <t>备注：绿色填充部分可调整，没有对应的参数可留空</t>
        </is>
      </c>
    </row>
    <row r="14">
      <c r="H14" s="348" t="inlineStr">
        <is>
          <t>辅投</t>
        </is>
      </c>
      <c r="I14" s="361" t="inlineStr">
        <is>
          <t>投放费用（CPT)</t>
        </is>
      </c>
      <c r="J14" s="362" t="n"/>
      <c r="K14" s="362" t="n"/>
      <c r="N14" s="345">
        <f>N5/N4</f>
        <v/>
      </c>
      <c r="O14" s="345">
        <f>O5/O4</f>
        <v/>
      </c>
    </row>
    <row r="15">
      <c r="M15" s="369" t="n"/>
      <c r="N15" s="370">
        <f>N12/N11</f>
        <v/>
      </c>
      <c r="O15" s="370" t="n"/>
    </row>
    <row r="16">
      <c r="I16" s="346" t="inlineStr">
        <is>
          <t>过程指标-预估</t>
        </is>
      </c>
      <c r="J16" s="371" t="n"/>
      <c r="K16" s="371" t="n"/>
    </row>
    <row r="17">
      <c r="I17" s="345" t="inlineStr">
        <is>
          <t>注册分发率</t>
        </is>
      </c>
      <c r="J17" s="258" t="n">
        <v>0.5</v>
      </c>
      <c r="K17" s="357" t="n"/>
    </row>
    <row r="18">
      <c r="H18" s="348" t="inlineStr">
        <is>
          <t>主投</t>
        </is>
      </c>
      <c r="I18" s="345" t="inlineStr">
        <is>
          <t>滚动注册出席率</t>
        </is>
      </c>
      <c r="J18" s="372" t="n">
        <v>0.38</v>
      </c>
      <c r="K18" s="260" t="n"/>
    </row>
    <row r="19">
      <c r="H19" s="348" t="inlineStr">
        <is>
          <t>主投</t>
        </is>
      </c>
      <c r="I19" s="345" t="inlineStr">
        <is>
          <t>滚动出席转化率</t>
        </is>
      </c>
      <c r="J19" s="372" t="n">
        <v>0.35</v>
      </c>
      <c r="K19" s="373" t="n"/>
    </row>
    <row r="20">
      <c r="H20" s="348" t="inlineStr">
        <is>
          <t>主投</t>
        </is>
      </c>
      <c r="I20" s="345" t="inlineStr">
        <is>
          <t>滚动注册转化率</t>
        </is>
      </c>
      <c r="J20" s="374" t="n">
        <v>0.18</v>
      </c>
      <c r="K20" s="375" t="n"/>
      <c r="M20" s="369" t="n"/>
    </row>
    <row r="21">
      <c r="H21" s="348" t="inlineStr">
        <is>
          <t>主投</t>
        </is>
      </c>
      <c r="I21" s="345" t="inlineStr">
        <is>
          <t>正价课ASP</t>
        </is>
      </c>
      <c r="J21" s="376" t="n">
        <v>5000</v>
      </c>
      <c r="K21" s="376" t="n"/>
    </row>
    <row r="22">
      <c r="H22" s="348" t="inlineStr">
        <is>
          <t>辅投</t>
        </is>
      </c>
      <c r="I22" s="361" t="inlineStr">
        <is>
          <t>注册分发率</t>
        </is>
      </c>
      <c r="J22" s="357" t="n"/>
      <c r="K22" s="357" t="n"/>
      <c r="M22" s="265" t="n"/>
    </row>
    <row r="23">
      <c r="H23" s="348" t="inlineStr">
        <is>
          <t>辅投</t>
        </is>
      </c>
      <c r="I23" s="361" t="inlineStr">
        <is>
          <t>滚动注册出席率</t>
        </is>
      </c>
      <c r="J23" s="373" t="n"/>
      <c r="K23" s="373" t="n"/>
      <c r="M23" s="265" t="n"/>
    </row>
    <row r="24">
      <c r="H24" s="348" t="inlineStr">
        <is>
          <t>辅投</t>
        </is>
      </c>
      <c r="I24" s="361" t="inlineStr">
        <is>
          <t>滚动出席转化率</t>
        </is>
      </c>
      <c r="J24" s="373" t="n"/>
      <c r="K24" s="373" t="n"/>
      <c r="M24" s="265" t="n"/>
    </row>
    <row r="25">
      <c r="H25" s="348" t="inlineStr">
        <is>
          <t>辅投</t>
        </is>
      </c>
      <c r="I25" s="361" t="inlineStr">
        <is>
          <t>滚动注册转化率</t>
        </is>
      </c>
      <c r="J25" s="375" t="n"/>
      <c r="K25" s="375" t="n"/>
      <c r="M25" s="377" t="n"/>
    </row>
    <row r="26">
      <c r="H26" s="348" t="inlineStr">
        <is>
          <t>辅投</t>
        </is>
      </c>
      <c r="I26" s="361" t="inlineStr">
        <is>
          <t>正价课ASP</t>
        </is>
      </c>
      <c r="J26" s="350" t="n"/>
      <c r="K26" s="350" t="n"/>
    </row>
    <row r="28">
      <c r="I28" s="346" t="inlineStr">
        <is>
          <t>ROI 1相关指标-自动计算</t>
        </is>
      </c>
      <c r="J28" s="371" t="n"/>
      <c r="K28" s="371" t="n"/>
    </row>
    <row r="29">
      <c r="H29" s="348" t="inlineStr">
        <is>
          <t>主投</t>
        </is>
      </c>
      <c r="I29" s="345" t="inlineStr">
        <is>
          <t>到课学员数量</t>
        </is>
      </c>
      <c r="J29" s="378">
        <f>J18*J3</f>
        <v/>
      </c>
      <c r="K29" s="378">
        <f>K18*K3</f>
        <v/>
      </c>
      <c r="M29" s="379" t="inlineStr">
        <is>
          <t>例子数*注册出席率</t>
        </is>
      </c>
    </row>
    <row r="30">
      <c r="H30" s="348" t="inlineStr">
        <is>
          <t>主投</t>
        </is>
      </c>
      <c r="I30" s="345" t="inlineStr">
        <is>
          <t>正价课学员数量</t>
        </is>
      </c>
      <c r="J30" s="378">
        <f>J3*J20</f>
        <v/>
      </c>
      <c r="K30" s="378">
        <f>K3*K20</f>
        <v/>
      </c>
      <c r="M30" s="379" t="inlineStr">
        <is>
          <t>例子数*注册转化率</t>
        </is>
      </c>
    </row>
    <row r="31">
      <c r="H31" s="348" t="inlineStr">
        <is>
          <t>主投</t>
        </is>
      </c>
      <c r="I31" s="345" t="inlineStr">
        <is>
          <t>正价课GMV</t>
        </is>
      </c>
      <c r="J31" s="378">
        <f>J30*J21</f>
        <v/>
      </c>
      <c r="K31" s="378">
        <f>K30*K21</f>
        <v/>
      </c>
      <c r="M31" s="379" t="inlineStr">
        <is>
          <t>ASP*学员人数</t>
        </is>
      </c>
    </row>
    <row r="32">
      <c r="H32" s="348" t="inlineStr">
        <is>
          <t>主投</t>
        </is>
      </c>
      <c r="I32" s="345" t="inlineStr">
        <is>
          <t>前端投放总成本</t>
        </is>
      </c>
      <c r="J32" s="378">
        <f>J5*J3+J7*J31+J8+J29*J6+J3*N9</f>
        <v/>
      </c>
      <c r="K32" s="378">
        <f>K5*K3+K7*K31+K8+K29*K6+K3*O9</f>
        <v/>
      </c>
      <c r="M32" s="379" t="inlineStr">
        <is>
          <t>例子数*单例子成本+GMV*CPS佣金比例+投放费用+单到课例子成本*出席人数+例子数*单例子运营人工成本</t>
        </is>
      </c>
    </row>
    <row r="33">
      <c r="H33" s="348" t="inlineStr">
        <is>
          <t>辅投</t>
        </is>
      </c>
      <c r="I33" s="361" t="inlineStr">
        <is>
          <t>到课学员数量</t>
        </is>
      </c>
      <c r="J33" s="378">
        <f>J23*J9</f>
        <v/>
      </c>
      <c r="K33" s="378">
        <f>K23*K9</f>
        <v/>
      </c>
      <c r="M33" s="379" t="n"/>
    </row>
    <row r="34">
      <c r="H34" s="348" t="inlineStr">
        <is>
          <t>辅投</t>
        </is>
      </c>
      <c r="I34" s="361" t="inlineStr">
        <is>
          <t>正价课学员数量</t>
        </is>
      </c>
      <c r="J34" s="378">
        <f>J9*J25</f>
        <v/>
      </c>
      <c r="K34" s="378">
        <f>K9*K25</f>
        <v/>
      </c>
    </row>
    <row r="35">
      <c r="H35" s="348" t="inlineStr">
        <is>
          <t>辅投</t>
        </is>
      </c>
      <c r="I35" s="361" t="inlineStr">
        <is>
          <t>正价课GMV</t>
        </is>
      </c>
      <c r="J35" s="378">
        <f>J26*J34</f>
        <v/>
      </c>
      <c r="K35" s="378">
        <f>K26*K34</f>
        <v/>
      </c>
    </row>
    <row r="36">
      <c r="H36" s="348" t="inlineStr">
        <is>
          <t>辅投</t>
        </is>
      </c>
      <c r="I36" s="361" t="inlineStr">
        <is>
          <t>前端投放总成本</t>
        </is>
      </c>
      <c r="J36" s="378">
        <f>J9*J11+J13*J35+J14+J12*J33+J9*O9</f>
        <v/>
      </c>
      <c r="K36" s="378">
        <f>K9*K11+K13*K35+K14+K12*K33+K9*N9</f>
        <v/>
      </c>
      <c r="M36" s="379" t="inlineStr">
        <is>
          <t>例子数*单例子成本+GMV*CPS佣金比例+投放费用+单到课例子成本*出席人数+例子数*单例子运营人工成本</t>
        </is>
      </c>
    </row>
    <row r="37">
      <c r="H37" s="348" t="inlineStr">
        <is>
          <t>主投+辅投</t>
        </is>
      </c>
      <c r="I37" s="345" t="inlineStr">
        <is>
          <t>每单获客成本1</t>
        </is>
      </c>
      <c r="J37" s="378">
        <f>(J32+J36)/(J30+J34)</f>
        <v/>
      </c>
      <c r="K37" s="378">
        <f>(K32+K36)/(K30+K34)</f>
        <v/>
      </c>
      <c r="M37" s="379" t="inlineStr">
        <is>
          <t>前端投放总成本/学员人数</t>
        </is>
      </c>
    </row>
    <row r="38">
      <c r="I38" s="380" t="inlineStr">
        <is>
          <t>ROI 1</t>
        </is>
      </c>
      <c r="J38" s="381">
        <f>(J31+J35)/(J32+J36)</f>
        <v/>
      </c>
      <c r="K38" s="381">
        <f>(K31+K35)/(K32+K36)</f>
        <v/>
      </c>
      <c r="M38" s="379" t="inlineStr">
        <is>
          <t>GMV/前端投放总成本</t>
        </is>
      </c>
    </row>
    <row r="39">
      <c r="J39" s="378" t="n"/>
      <c r="K39" s="378" t="n"/>
    </row>
    <row r="40">
      <c r="I40" s="346" t="inlineStr">
        <is>
          <t>ROI 2相关指标-自动计算</t>
        </is>
      </c>
      <c r="J40" s="382" t="n"/>
      <c r="K40" s="382" t="n"/>
      <c r="L40" s="370" t="n"/>
      <c r="M40" s="383" t="n"/>
    </row>
    <row r="41">
      <c r="H41" s="348" t="inlineStr">
        <is>
          <t>主投</t>
        </is>
      </c>
      <c r="I41" s="345" t="inlineStr">
        <is>
          <t>试听课费用</t>
        </is>
      </c>
      <c r="J41" s="378">
        <f>J29*N8</f>
        <v/>
      </c>
      <c r="K41" s="378">
        <f>K29*O8</f>
        <v/>
      </c>
      <c r="M41" s="379" t="inlineStr">
        <is>
          <t>单课时试听课费用*出席人数</t>
        </is>
      </c>
    </row>
    <row r="42">
      <c r="H42" s="348" t="inlineStr">
        <is>
          <t>主投</t>
        </is>
      </c>
      <c r="I42" s="345" t="inlineStr">
        <is>
          <t>TMK费用</t>
        </is>
      </c>
      <c r="J42" s="378">
        <f>IF(N10="是",J3/N11*N12,0)</f>
        <v/>
      </c>
      <c r="K42" s="378">
        <f>IF(O10="是",K3/O11*O12,0)</f>
        <v/>
      </c>
      <c r="M42" s="379" t="inlineStr">
        <is>
          <t>例子数/TMK人均承担例子量*TMK人均成本=TMK人数*TMK人均成本</t>
        </is>
      </c>
    </row>
    <row r="43">
      <c r="H43" s="348" t="inlineStr">
        <is>
          <t>主投</t>
        </is>
      </c>
      <c r="I43" s="345" t="inlineStr">
        <is>
          <t>销售成本</t>
        </is>
      </c>
      <c r="J43" s="378">
        <f>J4/N4*N5+J31*(N6+N7)</f>
        <v/>
      </c>
      <c r="K43" s="378">
        <f>K4/O4*O5+K31*(O6+O7)</f>
        <v/>
      </c>
      <c r="M43" s="379" t="inlineStr">
        <is>
          <t>分发例子数/销售人均承接例子数*销售人均固定人工成本+GMV*（销售提成比例+礼品及其他费用比例）</t>
        </is>
      </c>
    </row>
    <row r="44">
      <c r="H44" s="348" t="inlineStr">
        <is>
          <t>辅投</t>
        </is>
      </c>
      <c r="I44" s="361" t="inlineStr">
        <is>
          <t>试听课费用</t>
        </is>
      </c>
      <c r="J44" s="378">
        <f>J33*O8</f>
        <v/>
      </c>
      <c r="K44" s="378">
        <f>K33*N8</f>
        <v/>
      </c>
      <c r="M44" s="379" t="n"/>
    </row>
    <row r="45">
      <c r="H45" s="348" t="inlineStr">
        <is>
          <t>辅投</t>
        </is>
      </c>
      <c r="I45" s="361" t="inlineStr">
        <is>
          <t>TMK费用</t>
        </is>
      </c>
      <c r="J45" s="378">
        <f>IF(O10="是",J9/O11*O12,0)</f>
        <v/>
      </c>
      <c r="K45" s="378">
        <f>IF(N10="是",K9/N11*N12,0)</f>
        <v/>
      </c>
      <c r="M45" s="379" t="n"/>
    </row>
    <row r="46">
      <c r="H46" s="348" t="inlineStr">
        <is>
          <t>辅投</t>
        </is>
      </c>
      <c r="I46" s="361" t="inlineStr">
        <is>
          <t>销售成本</t>
        </is>
      </c>
      <c r="J46" s="378">
        <f>J10/O4*O5+J35*(O6+O7)</f>
        <v/>
      </c>
      <c r="K46" s="378">
        <f>K10/N4*N5+K35*(N6+N7)</f>
        <v/>
      </c>
      <c r="M46" s="379" t="inlineStr">
        <is>
          <t>分发例子数/销售人均承接例子数*销售人均固定人工成本+GMV*（销售提成比例+礼品及其他费用比例）</t>
        </is>
      </c>
    </row>
    <row r="47">
      <c r="H47" s="348" t="inlineStr">
        <is>
          <t>主投+辅投</t>
        </is>
      </c>
      <c r="I47" s="345" t="inlineStr">
        <is>
          <t>每单获客成本2</t>
        </is>
      </c>
      <c r="J47" s="378">
        <f>J37+SUM(J41:J46)/(J30+J34)</f>
        <v/>
      </c>
      <c r="K47" s="378">
        <f>K37+SUM(K41:K46)/(K30+K34)</f>
        <v/>
      </c>
      <c r="M47" s="379" t="inlineStr">
        <is>
          <t>市场费用+试听课费用+TMK费用+销售费用</t>
        </is>
      </c>
    </row>
    <row r="48" ht="17.25" customHeight="1" s="327">
      <c r="I48" s="384" t="inlineStr">
        <is>
          <t>ROI 2</t>
        </is>
      </c>
      <c r="J48" s="385">
        <f>(J31+J35)/(J32+J36+SUM(J41:J46))</f>
        <v/>
      </c>
      <c r="K48" s="386">
        <f>(K31+K35)/(K32+K36+SUM(K41:K46))</f>
        <v/>
      </c>
      <c r="M48" s="387" t="n"/>
    </row>
    <row r="49" ht="17.25" customHeight="1" s="327">
      <c r="M49" s="379" t="n"/>
    </row>
    <row r="50">
      <c r="J50" s="388" t="n"/>
      <c r="M50" s="379" t="n"/>
    </row>
    <row r="51">
      <c r="M51" s="379" t="n"/>
    </row>
    <row r="66">
      <c r="M66" s="369" t="n"/>
    </row>
  </sheetData>
  <dataValidations count="1">
    <dataValidation sqref="N10:O10" showDropDown="0" showInputMessage="1" showErrorMessage="1" allowBlank="1" type="list">
      <formula1>"是,否"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U3" sqref="AU3:AU7"/>
    </sheetView>
  </sheetViews>
  <sheetFormatPr baseColWidth="8" defaultColWidth="11" defaultRowHeight="15.75" outlineLevelRow="5"/>
  <cols>
    <col width="12.6666666666667" customWidth="1" style="327" min="7" max="7"/>
  </cols>
  <sheetData>
    <row r="1">
      <c r="A1" s="5" t="inlineStr">
        <is>
          <t>陳凱琳</t>
        </is>
      </c>
      <c r="B1" s="5" t="inlineStr">
        <is>
          <t>例子占比</t>
        </is>
      </c>
      <c r="C1" s="5" t="inlineStr">
        <is>
          <t>总例子数</t>
        </is>
      </c>
      <c r="D1" s="5" t="inlineStr">
        <is>
          <t>成本</t>
        </is>
      </c>
      <c r="E1" s="5" t="inlineStr">
        <is>
          <t>加权</t>
        </is>
      </c>
    </row>
    <row r="2">
      <c r="A2" s="5" t="inlineStr">
        <is>
          <t>汇总</t>
        </is>
      </c>
      <c r="B2" s="165" t="n">
        <v>1</v>
      </c>
      <c r="C2" s="5" t="n">
        <v>700</v>
      </c>
      <c r="D2" s="5" t="n">
        <v>720</v>
      </c>
      <c r="E2" s="166">
        <f t="array" ref="E2">SUMPRODUCT(C3:C6,D3:D6)/C2</f>
        <v/>
      </c>
    </row>
    <row r="3">
      <c r="A3" s="5" t="inlineStr">
        <is>
          <t>10月</t>
        </is>
      </c>
      <c r="B3" s="279">
        <f>C3/$C$2</f>
        <v/>
      </c>
      <c r="C3" s="5" t="n">
        <v>140</v>
      </c>
      <c r="D3" s="5" t="n">
        <v>550</v>
      </c>
    </row>
    <row r="4">
      <c r="A4" s="5" t="inlineStr">
        <is>
          <t>11月</t>
        </is>
      </c>
      <c r="B4" s="279">
        <f>C4/$C$2</f>
        <v/>
      </c>
      <c r="C4" s="5" t="n">
        <v>300</v>
      </c>
      <c r="D4" s="5" t="n">
        <v>640</v>
      </c>
      <c r="G4" s="5">
        <f>230/30*20+170/30*10</f>
        <v/>
      </c>
    </row>
    <row r="5">
      <c r="A5" s="5" t="inlineStr">
        <is>
          <t>12月</t>
        </is>
      </c>
      <c r="B5" s="279">
        <f>C5/$C$2</f>
        <v/>
      </c>
      <c r="C5" s="5" t="n">
        <v>190</v>
      </c>
      <c r="D5" s="5" t="n">
        <v>750</v>
      </c>
    </row>
    <row r="6">
      <c r="A6" s="5" t="inlineStr">
        <is>
          <t>1月</t>
        </is>
      </c>
      <c r="B6" s="279">
        <f>C6/$C$2</f>
        <v/>
      </c>
      <c r="C6" s="5" t="n">
        <v>70</v>
      </c>
      <c r="D6" s="5" t="n">
        <v>900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U3" sqref="AU3:AU7"/>
    </sheetView>
  </sheetViews>
  <sheetFormatPr baseColWidth="8" defaultColWidth="11" defaultRowHeight="15.75" outlineLevelRow="5"/>
  <sheetData>
    <row r="1">
      <c r="A1" s="5" t="inlineStr">
        <is>
          <t>陈展鹏</t>
        </is>
      </c>
      <c r="B1" s="5" t="inlineStr">
        <is>
          <t>例子占比</t>
        </is>
      </c>
      <c r="C1" s="5" t="inlineStr">
        <is>
          <t>总例子数</t>
        </is>
      </c>
      <c r="D1" s="5" t="inlineStr">
        <is>
          <t>成本</t>
        </is>
      </c>
      <c r="E1" s="5" t="inlineStr">
        <is>
          <t>加权</t>
        </is>
      </c>
    </row>
    <row r="2">
      <c r="A2" s="5" t="inlineStr">
        <is>
          <t>汇总</t>
        </is>
      </c>
      <c r="B2" s="165" t="n">
        <v>1</v>
      </c>
      <c r="C2" s="5" t="n">
        <v>380</v>
      </c>
      <c r="D2" s="5" t="n">
        <v>720</v>
      </c>
      <c r="E2" s="166">
        <f>SUMPRODUCT(C3:C6,D3:D6)/C2</f>
        <v/>
      </c>
    </row>
    <row r="3">
      <c r="A3" s="5" t="inlineStr">
        <is>
          <t>9月</t>
        </is>
      </c>
      <c r="B3" s="279">
        <f>C3/$C$2</f>
        <v/>
      </c>
      <c r="C3" s="5" t="n">
        <v>170</v>
      </c>
      <c r="D3" s="5" t="n">
        <v>550</v>
      </c>
    </row>
    <row r="4">
      <c r="A4" s="5" t="inlineStr">
        <is>
          <t>10月</t>
        </is>
      </c>
      <c r="B4" s="279">
        <f>C4/$C$2</f>
        <v/>
      </c>
      <c r="C4" s="5" t="n">
        <v>120</v>
      </c>
      <c r="D4" s="5" t="n">
        <v>800</v>
      </c>
    </row>
    <row r="5">
      <c r="A5" s="5" t="inlineStr">
        <is>
          <t>11月</t>
        </is>
      </c>
      <c r="B5" s="279">
        <f>C5/$C$2</f>
        <v/>
      </c>
      <c r="C5" s="5" t="n">
        <v>70</v>
      </c>
      <c r="D5" s="5" t="n">
        <v>900</v>
      </c>
    </row>
    <row r="6">
      <c r="A6" s="5" t="inlineStr">
        <is>
          <t>12月</t>
        </is>
      </c>
      <c r="B6" s="279">
        <f>C6/$C$2</f>
        <v/>
      </c>
      <c r="C6" s="5" t="n">
        <v>20</v>
      </c>
      <c r="D6" s="5" t="n">
        <v>1000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U3" sqref="AU3:AU7"/>
    </sheetView>
  </sheetViews>
  <sheetFormatPr baseColWidth="8" defaultColWidth="11" defaultRowHeight="15.75" outlineLevelRow="7"/>
  <sheetData>
    <row r="1">
      <c r="A1" s="224" t="inlineStr">
        <is>
          <t>陈展鹏</t>
        </is>
      </c>
      <c r="B1" s="224" t="inlineStr">
        <is>
          <t>例子占比</t>
        </is>
      </c>
      <c r="C1" s="224" t="inlineStr">
        <is>
          <t>总例子数</t>
        </is>
      </c>
      <c r="D1" s="224" t="inlineStr">
        <is>
          <t>成本</t>
        </is>
      </c>
      <c r="E1" s="224" t="inlineStr">
        <is>
          <t>加权</t>
        </is>
      </c>
    </row>
    <row r="2">
      <c r="A2" s="224" t="inlineStr">
        <is>
          <t>汇总</t>
        </is>
      </c>
      <c r="B2" s="225" t="n">
        <v>1</v>
      </c>
      <c r="C2" s="224" t="n">
        <v>320</v>
      </c>
      <c r="D2" s="224" t="n">
        <v>720</v>
      </c>
      <c r="E2" s="166">
        <f>SUMPRODUCT(C3:C8,D3:D8)/450</f>
        <v/>
      </c>
    </row>
    <row r="3">
      <c r="A3" s="224" t="inlineStr">
        <is>
          <t>9月</t>
        </is>
      </c>
      <c r="B3" s="279">
        <f>C3/$C$2</f>
        <v/>
      </c>
      <c r="C3" s="224" t="n">
        <v>200</v>
      </c>
      <c r="D3" s="224" t="n">
        <v>550</v>
      </c>
    </row>
    <row r="4">
      <c r="A4" s="224" t="inlineStr">
        <is>
          <t>10月</t>
        </is>
      </c>
      <c r="B4" s="279">
        <f>C4/$C$2</f>
        <v/>
      </c>
      <c r="C4" s="224" t="n">
        <v>100</v>
      </c>
      <c r="D4" s="224" t="n">
        <v>800</v>
      </c>
    </row>
    <row r="5">
      <c r="A5" s="224" t="inlineStr">
        <is>
          <t>11月</t>
        </is>
      </c>
      <c r="B5" s="279">
        <f>C5/$C$2</f>
        <v/>
      </c>
      <c r="C5" s="224" t="n">
        <v>60</v>
      </c>
      <c r="D5" s="224" t="n">
        <v>900</v>
      </c>
    </row>
    <row r="6">
      <c r="A6" s="224" t="inlineStr">
        <is>
          <t>12月</t>
        </is>
      </c>
      <c r="B6" s="279">
        <f>C6/$C$2</f>
        <v/>
      </c>
      <c r="C6" s="224" t="n">
        <v>40</v>
      </c>
      <c r="D6" s="224" t="n">
        <v>1000</v>
      </c>
    </row>
    <row r="7">
      <c r="A7" s="224" t="inlineStr">
        <is>
          <t>1月</t>
        </is>
      </c>
      <c r="B7" s="279">
        <f>C7/$C$2</f>
        <v/>
      </c>
      <c r="C7" s="224" t="n">
        <v>30</v>
      </c>
      <c r="D7" s="224" t="n">
        <v>1000</v>
      </c>
    </row>
    <row r="8">
      <c r="A8" s="224" t="inlineStr">
        <is>
          <t>2月</t>
        </is>
      </c>
      <c r="B8" s="279">
        <f>C8/$C$2</f>
        <v/>
      </c>
      <c r="C8" s="224" t="n">
        <v>20</v>
      </c>
      <c r="D8" s="224" t="n">
        <v>1000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pane xSplit="1" topLeftCell="B1" activePane="topRight" state="frozen"/>
      <selection activeCell="A1" sqref="A1"/>
      <selection pane="topRight" activeCell="AI24" sqref="AI24"/>
    </sheetView>
  </sheetViews>
  <sheetFormatPr baseColWidth="8" defaultColWidth="11" defaultRowHeight="15.75"/>
  <cols>
    <col width="36.1666666666667" customWidth="1" style="327" min="1" max="1"/>
    <col hidden="1" width="15.6666666666667" customWidth="1" style="389" min="2" max="2"/>
    <col hidden="1" width="12.8333333333333" customWidth="1" style="390" min="3" max="3"/>
    <col hidden="1" width="13" customWidth="1" style="327" min="4" max="4"/>
    <col hidden="1" width="14.1666666666667" customWidth="1" style="327" min="5" max="5"/>
    <col hidden="1" width="12.5" customWidth="1" style="327" min="6" max="6"/>
    <col hidden="1" width="13.5" customWidth="1" style="327" min="7" max="7"/>
    <col hidden="1" width="20" customWidth="1" style="327" min="8" max="8"/>
    <col hidden="1" width="13.3333333333333" customWidth="1" style="327" min="9" max="9"/>
    <col hidden="1" width="14.8333333333333" customWidth="1" style="327" min="10" max="10"/>
    <col hidden="1" width="11.5" customWidth="1" style="327" min="11" max="11"/>
    <col hidden="1" width="13.5" customWidth="1" style="327" min="12" max="12"/>
    <col hidden="1" width="11.1666666666667" customWidth="1" style="327" min="13" max="13"/>
    <col hidden="1" width="11.6666666666667" customWidth="1" style="327" min="14" max="14"/>
    <col hidden="1" width="11" customWidth="1" style="327" min="15" max="15"/>
    <col hidden="1" width="12" customWidth="1" style="327" min="16" max="16"/>
    <col hidden="1" width="11" customWidth="1" style="327" min="17" max="17"/>
    <col hidden="1" width="11.6666666666667" customWidth="1" style="327" min="18" max="18"/>
    <col hidden="1" width="11" customWidth="1" style="327" min="19" max="20"/>
    <col hidden="1" width="17.1666666666667" customWidth="1" style="327" min="21" max="21"/>
    <col hidden="1" width="11" customWidth="1" style="327" min="22" max="22"/>
    <col hidden="1" width="12" customWidth="1" style="327" min="23" max="23"/>
    <col hidden="1" width="11" customWidth="1" style="327" min="24" max="24"/>
    <col hidden="1" width="12" customWidth="1" style="327" min="25" max="25"/>
    <col hidden="1" width="11" customWidth="1" style="327" min="26" max="31"/>
  </cols>
  <sheetData>
    <row r="1">
      <c r="A1" s="5" t="inlineStr">
        <is>
          <t>汇率</t>
        </is>
      </c>
      <c r="B1" s="175" t="n">
        <v>0.93</v>
      </c>
      <c r="D1" s="175" t="n">
        <v>0.93</v>
      </c>
      <c r="F1" s="5" t="n">
        <v>0.93</v>
      </c>
      <c r="I1" s="5" t="n">
        <v>0.92</v>
      </c>
      <c r="K1" s="5" t="n">
        <v>0.93</v>
      </c>
      <c r="M1" s="5" t="n">
        <v>0.93</v>
      </c>
      <c r="O1" s="5" t="n">
        <v>0.91</v>
      </c>
      <c r="Q1" s="5" t="n">
        <v>0.93</v>
      </c>
      <c r="AB1" s="175" t="n">
        <v>0.93</v>
      </c>
      <c r="AD1" s="5" t="n">
        <v>0.93</v>
      </c>
    </row>
    <row r="2">
      <c r="A2" s="182" t="inlineStr">
        <is>
          <t>展会</t>
        </is>
      </c>
      <c r="B2" s="391" t="inlineStr">
        <is>
          <t>2025年2月BB展</t>
        </is>
      </c>
      <c r="C2" s="392" t="n"/>
      <c r="D2" s="178" t="inlineStr">
        <is>
          <t>2025年5月课外活动展</t>
        </is>
      </c>
      <c r="E2" s="392" t="n"/>
      <c r="F2" s="178" t="inlineStr">
        <is>
          <t>2025年5月儿童书展</t>
        </is>
      </c>
      <c r="G2" s="392" t="n"/>
      <c r="H2" s="179" t="inlineStr">
        <is>
          <t>2025年7月大湾区</t>
        </is>
      </c>
      <c r="I2" s="178" t="inlineStr">
        <is>
          <t>2025年7月儿童书展</t>
        </is>
      </c>
      <c r="J2" s="392" t="n"/>
      <c r="K2" s="180" t="inlineStr">
        <is>
          <t>8月bb展</t>
        </is>
      </c>
      <c r="L2" s="392" t="n"/>
      <c r="M2" s="180" t="inlineStr">
        <is>
          <t>9月澳门展</t>
        </is>
      </c>
      <c r="N2" s="392" t="n"/>
      <c r="O2" s="180" t="inlineStr">
        <is>
          <t>10月创意文化展（预估）</t>
        </is>
      </c>
      <c r="P2" s="392" t="n"/>
      <c r="Q2" s="180" t="inlineStr">
        <is>
          <t>10月兒童書展（预估）</t>
        </is>
      </c>
      <c r="R2" s="392" t="n"/>
      <c r="S2" s="180" t="inlineStr">
        <is>
          <t>12月兒童書展（预估）</t>
        </is>
      </c>
      <c r="T2" s="392" t="n"/>
      <c r="U2" s="182" t="inlineStr">
        <is>
          <t>8個展位(以此为准）</t>
        </is>
      </c>
      <c r="V2" s="5" t="inlineStr">
        <is>
          <t>12月澳门展</t>
        </is>
      </c>
      <c r="X2" s="5" t="inlineStr">
        <is>
          <t>2026年BB展開支</t>
        </is>
      </c>
      <c r="Z2" s="180" t="inlineStr">
        <is>
          <t>26年4月月澳门展</t>
        </is>
      </c>
      <c r="AA2" s="392" t="n"/>
      <c r="AB2" s="178" t="inlineStr">
        <is>
          <t>2025年5月课外活动展</t>
        </is>
      </c>
      <c r="AC2" s="392" t="n"/>
      <c r="AD2" s="178" t="inlineStr">
        <is>
          <t>2025年5月儿童书展</t>
        </is>
      </c>
      <c r="AE2" s="392" t="n"/>
      <c r="AF2" s="180" t="inlineStr">
        <is>
          <t>6月澳门展</t>
        </is>
      </c>
      <c r="AG2" s="392" t="n"/>
    </row>
    <row r="3" ht="16.5" customHeight="1" s="327">
      <c r="A3" s="183" t="inlineStr">
        <is>
          <t>项目</t>
        </is>
      </c>
      <c r="B3" s="393" t="inlineStr">
        <is>
          <t>费用-HKD</t>
        </is>
      </c>
      <c r="C3" s="394" t="inlineStr">
        <is>
          <t>费用-RMB</t>
        </is>
      </c>
      <c r="D3" s="186" t="inlineStr">
        <is>
          <t>费用-HKD</t>
        </is>
      </c>
      <c r="E3" s="186" t="inlineStr">
        <is>
          <t>费用-RMB</t>
        </is>
      </c>
      <c r="F3" s="186" t="inlineStr">
        <is>
          <t>费用-HKD</t>
        </is>
      </c>
      <c r="G3" s="186" t="inlineStr">
        <is>
          <t>费用-RMB</t>
        </is>
      </c>
      <c r="H3" s="186" t="inlineStr">
        <is>
          <t>费用-RMB</t>
        </is>
      </c>
      <c r="I3" s="186" t="inlineStr">
        <is>
          <t>费用-HKD</t>
        </is>
      </c>
      <c r="J3" s="186" t="inlineStr">
        <is>
          <t>费用-RMB</t>
        </is>
      </c>
      <c r="K3" s="186" t="inlineStr">
        <is>
          <t>费用-HKD</t>
        </is>
      </c>
      <c r="L3" s="186" t="inlineStr">
        <is>
          <t>费用-RMB</t>
        </is>
      </c>
      <c r="M3" s="186" t="inlineStr">
        <is>
          <t>费用-HKD</t>
        </is>
      </c>
      <c r="N3" s="186" t="inlineStr">
        <is>
          <t>费用-RMB</t>
        </is>
      </c>
      <c r="O3" s="186" t="inlineStr">
        <is>
          <t>费用-HKD</t>
        </is>
      </c>
      <c r="P3" s="186" t="inlineStr">
        <is>
          <t>费用-RMB</t>
        </is>
      </c>
      <c r="Q3" s="186" t="inlineStr">
        <is>
          <t>费用-HKD</t>
        </is>
      </c>
      <c r="R3" s="187" t="inlineStr">
        <is>
          <t>费用-RMB</t>
        </is>
      </c>
      <c r="S3" s="186" t="inlineStr">
        <is>
          <t>费用-HKD</t>
        </is>
      </c>
      <c r="T3" s="186" t="inlineStr">
        <is>
          <t>费用-RMB</t>
        </is>
      </c>
      <c r="U3" s="188" t="inlineStr">
        <is>
          <t>费用-RMB</t>
        </is>
      </c>
      <c r="V3" s="186" t="inlineStr">
        <is>
          <t>费用-HKD</t>
        </is>
      </c>
      <c r="W3" s="188" t="inlineStr">
        <is>
          <t>费用-RMB</t>
        </is>
      </c>
      <c r="X3" s="186" t="inlineStr">
        <is>
          <t>费用-HKD</t>
        </is>
      </c>
      <c r="Y3" s="188" t="inlineStr">
        <is>
          <t>费用-RMB</t>
        </is>
      </c>
      <c r="Z3" s="186" t="inlineStr">
        <is>
          <t>费用-HKD</t>
        </is>
      </c>
      <c r="AA3" s="186" t="inlineStr">
        <is>
          <t>费用-RMB</t>
        </is>
      </c>
      <c r="AB3" s="186" t="inlineStr">
        <is>
          <t>费用-HKD</t>
        </is>
      </c>
      <c r="AC3" s="186" t="inlineStr">
        <is>
          <t>费用-RMB</t>
        </is>
      </c>
      <c r="AD3" s="186" t="inlineStr">
        <is>
          <t>费用-HKD</t>
        </is>
      </c>
      <c r="AE3" s="186" t="inlineStr">
        <is>
          <t>费用-RMB</t>
        </is>
      </c>
      <c r="AF3" s="186" t="inlineStr">
        <is>
          <t>费用-HKD</t>
        </is>
      </c>
      <c r="AG3" s="186" t="inlineStr">
        <is>
          <t>费用-RMB</t>
        </is>
      </c>
    </row>
    <row r="4">
      <c r="A4" s="189" t="inlineStr">
        <is>
          <t>展位费</t>
        </is>
      </c>
      <c r="B4" s="395" t="n">
        <v>30000</v>
      </c>
      <c r="C4" s="396">
        <f>B4*$B$1</f>
        <v/>
      </c>
      <c r="D4" s="397" t="n">
        <v>42960</v>
      </c>
      <c r="E4" s="398">
        <f>D4*$D$1</f>
        <v/>
      </c>
      <c r="F4" s="397" t="n">
        <v>50000</v>
      </c>
      <c r="G4" s="396">
        <f>F4*$F$1</f>
        <v/>
      </c>
      <c r="H4" s="399" t="n">
        <v>0</v>
      </c>
      <c r="I4" s="395" t="n">
        <v>112392</v>
      </c>
      <c r="J4" s="396">
        <f>I4*$I$1</f>
        <v/>
      </c>
      <c r="K4" s="395" t="n">
        <v>29000</v>
      </c>
      <c r="L4" s="396">
        <f>K4*$K$1</f>
        <v/>
      </c>
      <c r="M4" s="395" t="n">
        <v>13000</v>
      </c>
      <c r="N4" s="396">
        <f>M4*$K$1</f>
        <v/>
      </c>
      <c r="O4" s="395" t="n">
        <v>21924</v>
      </c>
      <c r="P4" s="396">
        <f>O4*$O$1</f>
        <v/>
      </c>
      <c r="Q4" s="395" t="n">
        <v>29800</v>
      </c>
      <c r="R4" s="400">
        <f>Q4*$K$1</f>
        <v/>
      </c>
      <c r="S4" s="401" t="n">
        <v>29800</v>
      </c>
      <c r="T4" s="396" t="n">
        <v>27714</v>
      </c>
      <c r="U4" s="396" t="n">
        <v>49885.2</v>
      </c>
      <c r="V4" s="401" t="n">
        <v>15000</v>
      </c>
      <c r="W4" s="396">
        <f>V4*$Q$1</f>
        <v/>
      </c>
      <c r="X4" s="401" t="n">
        <v>18000</v>
      </c>
      <c r="Y4" s="396" t="n">
        <v>16380</v>
      </c>
      <c r="Z4" s="395" t="n">
        <v>13000</v>
      </c>
      <c r="AA4" s="396">
        <f>Z4*$K$1</f>
        <v/>
      </c>
      <c r="AB4" s="397" t="n">
        <v>28000</v>
      </c>
      <c r="AC4" s="398">
        <f>AB4*$D$1</f>
        <v/>
      </c>
      <c r="AD4" s="397" t="n">
        <v>29800</v>
      </c>
      <c r="AE4" s="396">
        <f>AD4*$F$1</f>
        <v/>
      </c>
      <c r="AF4" s="395" t="n">
        <v>12000</v>
      </c>
      <c r="AG4" s="396">
        <f>AF4*$K$1</f>
        <v/>
      </c>
    </row>
    <row r="5">
      <c r="A5" s="189" t="inlineStr">
        <is>
          <t>搭建费</t>
        </is>
      </c>
      <c r="B5" s="395" t="n">
        <v>3700</v>
      </c>
      <c r="C5" s="396">
        <f>B5*$B$1</f>
        <v/>
      </c>
      <c r="D5" s="397" t="n">
        <v>5066</v>
      </c>
      <c r="E5" s="398">
        <f>D5*$D$1</f>
        <v/>
      </c>
      <c r="F5" s="397" t="n">
        <v>9486</v>
      </c>
      <c r="G5" s="396">
        <f>F5*$F$1</f>
        <v/>
      </c>
      <c r="H5" s="399" t="n">
        <v>0</v>
      </c>
      <c r="I5" s="395" t="n">
        <v>7324</v>
      </c>
      <c r="J5" s="396">
        <f>I5*$I$1</f>
        <v/>
      </c>
      <c r="K5" s="395" t="n">
        <v>2841</v>
      </c>
      <c r="L5" s="396">
        <f>K5*$K$1</f>
        <v/>
      </c>
      <c r="M5" s="395" t="n">
        <v>3750</v>
      </c>
      <c r="N5" s="396">
        <f>M5*$K$1</f>
        <v/>
      </c>
      <c r="O5" s="395" t="n">
        <v>2103</v>
      </c>
      <c r="P5" s="396">
        <f>O5*$O$1</f>
        <v/>
      </c>
      <c r="Q5" s="395" t="n">
        <v>9486</v>
      </c>
      <c r="R5" s="400">
        <f>Q5*$K$1</f>
        <v/>
      </c>
      <c r="S5" s="401" t="n">
        <v>9486</v>
      </c>
      <c r="T5" s="396" t="n">
        <v>8822</v>
      </c>
      <c r="U5" s="396" t="n">
        <v>12408.9</v>
      </c>
      <c r="V5" s="401" t="n">
        <v>3915</v>
      </c>
      <c r="W5" s="396">
        <f>V5*$Q$1</f>
        <v/>
      </c>
      <c r="X5" s="401" t="n">
        <v>2400</v>
      </c>
      <c r="Y5" s="396" t="n">
        <v>2184</v>
      </c>
      <c r="Z5" s="395" t="n">
        <v>3750</v>
      </c>
      <c r="AA5" s="396">
        <f>Z5*$K$1</f>
        <v/>
      </c>
      <c r="AB5" s="397" t="n">
        <v>5066</v>
      </c>
      <c r="AC5" s="398">
        <f>AB5*$D$1</f>
        <v/>
      </c>
      <c r="AD5" s="397">
        <f>9486/2</f>
        <v/>
      </c>
      <c r="AE5" s="396">
        <f>AD5*$F$1</f>
        <v/>
      </c>
      <c r="AF5" s="395" t="n">
        <v>3000</v>
      </c>
      <c r="AG5" s="396">
        <f>AF5*$K$1</f>
        <v/>
      </c>
    </row>
    <row r="6">
      <c r="A6" s="189" t="inlineStr">
        <is>
          <t>礼品-馬克筆</t>
        </is>
      </c>
      <c r="B6" s="395" t="n">
        <v>3526.88</v>
      </c>
      <c r="C6" s="396">
        <f>B6*$B$1</f>
        <v/>
      </c>
      <c r="D6" s="397" t="n">
        <v>5454</v>
      </c>
      <c r="E6" s="398">
        <f>D6*$D$1</f>
        <v/>
      </c>
      <c r="F6" s="397" t="n">
        <v>7741.94</v>
      </c>
      <c r="G6" s="396">
        <f>F6*$F$1</f>
        <v/>
      </c>
      <c r="H6" s="399" t="n">
        <v>0</v>
      </c>
      <c r="I6" s="395" t="n">
        <v>14464.29</v>
      </c>
      <c r="J6" s="396">
        <f>I6*$I$1</f>
        <v/>
      </c>
      <c r="K6" s="395" t="n">
        <v>2948.03</v>
      </c>
      <c r="L6" s="396">
        <f>K6*$K$1</f>
        <v/>
      </c>
      <c r="M6" s="395" t="n">
        <v>2000</v>
      </c>
      <c r="N6" s="396">
        <f>M6*$K$1</f>
        <v/>
      </c>
      <c r="O6" s="395" t="n">
        <v>5030</v>
      </c>
      <c r="P6" s="396">
        <f>O6*$O$1</f>
        <v/>
      </c>
      <c r="Q6" s="395" t="n">
        <v>6290.32</v>
      </c>
      <c r="R6" s="400">
        <f>Q6*$K$1</f>
        <v/>
      </c>
      <c r="S6" s="401" t="n">
        <v>6290.32</v>
      </c>
      <c r="T6" s="396" t="n">
        <v>5850</v>
      </c>
      <c r="U6" s="396" t="n">
        <v>8775</v>
      </c>
      <c r="V6" s="401">
        <f>12.5*98/0.93</f>
        <v/>
      </c>
      <c r="W6" s="396">
        <f>V6*$Q$1</f>
        <v/>
      </c>
      <c r="X6" s="401" t="n">
        <v>5413.46153846154</v>
      </c>
      <c r="Y6" s="396" t="n">
        <v>4926.25</v>
      </c>
      <c r="Z6" s="395" t="n">
        <v>2000</v>
      </c>
      <c r="AA6" s="396">
        <f>Z6*$K$1</f>
        <v/>
      </c>
      <c r="AB6" s="397">
        <f>12.5*280</f>
        <v/>
      </c>
      <c r="AC6" s="398">
        <f>AB6*$D$1</f>
        <v/>
      </c>
      <c r="AD6" s="397">
        <f>12.5*370</f>
        <v/>
      </c>
      <c r="AE6" s="396">
        <f>AD6*$F$1</f>
        <v/>
      </c>
      <c r="AF6" s="395">
        <f>12.5*120</f>
        <v/>
      </c>
      <c r="AG6" s="396">
        <f>AF6*$K$1</f>
        <v/>
      </c>
    </row>
    <row r="7">
      <c r="A7" s="197" t="inlineStr">
        <is>
          <t>禮品物流費</t>
        </is>
      </c>
      <c r="B7" s="402" t="n"/>
      <c r="C7" s="403" t="n"/>
      <c r="D7" s="197" t="n"/>
      <c r="E7" s="404" t="n"/>
      <c r="F7" s="197" t="n"/>
      <c r="G7" s="403" t="n"/>
      <c r="H7" s="405" t="n"/>
      <c r="I7" s="402" t="n"/>
      <c r="J7" s="403" t="n"/>
      <c r="K7" s="402" t="n"/>
      <c r="L7" s="403" t="n"/>
      <c r="M7" s="402" t="n"/>
      <c r="N7" s="403" t="n"/>
      <c r="O7" s="402" t="n"/>
      <c r="P7" s="403" t="n"/>
      <c r="Q7" s="402" t="n"/>
      <c r="R7" s="406" t="n"/>
      <c r="S7" s="182" t="n"/>
      <c r="T7" s="182" t="n"/>
      <c r="U7" s="182" t="n"/>
      <c r="V7" s="182" t="n"/>
      <c r="W7" s="182" t="n"/>
      <c r="X7" s="182" t="n"/>
      <c r="Y7" s="182" t="n"/>
      <c r="Z7" s="402" t="n"/>
      <c r="AA7" s="403" t="n"/>
      <c r="AB7" s="197" t="n"/>
      <c r="AC7" s="404" t="n"/>
      <c r="AD7" s="197" t="n"/>
      <c r="AE7" s="403" t="n"/>
      <c r="AF7" s="402" t="n"/>
      <c r="AG7" s="403" t="n"/>
    </row>
    <row r="8">
      <c r="A8" s="197" t="inlineStr">
        <is>
          <t>POP制作/打印等</t>
        </is>
      </c>
      <c r="B8" s="407" t="n">
        <v>1140</v>
      </c>
      <c r="C8" s="403">
        <f>B8*$B$1</f>
        <v/>
      </c>
      <c r="D8" s="204" t="n"/>
      <c r="E8" s="404" t="n"/>
      <c r="F8" s="204" t="n"/>
      <c r="G8" s="403" t="n"/>
      <c r="H8" s="405" t="n"/>
      <c r="I8" s="402" t="n">
        <v>540</v>
      </c>
      <c r="J8" s="403">
        <f>I8*$I$1</f>
        <v/>
      </c>
      <c r="K8" s="402" t="n"/>
      <c r="L8" s="403" t="n"/>
      <c r="M8" s="402" t="n"/>
      <c r="N8" s="403" t="n"/>
      <c r="O8" s="402" t="n"/>
      <c r="P8" s="403" t="n"/>
      <c r="Q8" s="402" t="n"/>
      <c r="R8" s="406" t="n"/>
      <c r="S8" s="182" t="n"/>
      <c r="T8" s="182" t="n"/>
      <c r="U8" s="182" t="n"/>
      <c r="V8" s="182" t="n"/>
      <c r="W8" s="182" t="n"/>
      <c r="X8" s="182" t="n"/>
      <c r="Y8" s="182" t="n"/>
      <c r="Z8" s="402" t="n"/>
      <c r="AA8" s="403" t="n"/>
      <c r="AB8" s="204" t="n"/>
      <c r="AC8" s="404" t="n"/>
      <c r="AD8" s="204" t="n"/>
      <c r="AE8" s="403" t="n"/>
      <c r="AF8" s="402" t="n"/>
      <c r="AG8" s="403" t="n"/>
    </row>
    <row r="9">
      <c r="A9" s="197" t="inlineStr">
        <is>
          <t>WIFI 蛋租赁</t>
        </is>
      </c>
      <c r="B9" s="402" t="n">
        <v>580</v>
      </c>
      <c r="C9" s="403">
        <f>B9*$B$1</f>
        <v/>
      </c>
      <c r="D9" s="408" t="n">
        <v>580</v>
      </c>
      <c r="E9" s="404">
        <f>D9*$D$1</f>
        <v/>
      </c>
      <c r="F9" s="408" t="n">
        <v>515</v>
      </c>
      <c r="G9" s="403">
        <f>F9*$F$1</f>
        <v/>
      </c>
      <c r="H9" s="405" t="n">
        <v>0</v>
      </c>
      <c r="I9" s="402" t="n">
        <v>990</v>
      </c>
      <c r="J9" s="403">
        <f>I9*$I$1</f>
        <v/>
      </c>
      <c r="K9" s="402" t="n">
        <v>580</v>
      </c>
      <c r="L9" s="403">
        <f>K9*$K$1</f>
        <v/>
      </c>
      <c r="M9" s="402" t="n">
        <v>580</v>
      </c>
      <c r="N9" s="403">
        <f>M9*$K$1</f>
        <v/>
      </c>
      <c r="O9" s="402" t="n">
        <v>499</v>
      </c>
      <c r="P9" s="403">
        <f>O9*$O$1</f>
        <v/>
      </c>
      <c r="Q9" s="402" t="n">
        <v>515</v>
      </c>
      <c r="R9" s="406">
        <f>Q9*$K$1</f>
        <v/>
      </c>
      <c r="S9" s="409" t="n">
        <v>515</v>
      </c>
      <c r="T9" s="403" t="n">
        <v>479</v>
      </c>
      <c r="U9" s="403" t="n">
        <v>445.4</v>
      </c>
      <c r="V9" s="409" t="n">
        <v>500</v>
      </c>
      <c r="W9" s="403">
        <f>V9*$Q$1</f>
        <v/>
      </c>
      <c r="X9" s="409" t="n"/>
      <c r="Y9" s="403" t="n"/>
      <c r="Z9" s="402" t="n">
        <v>580</v>
      </c>
      <c r="AA9" s="403">
        <f>Z9*$K$1</f>
        <v/>
      </c>
      <c r="AB9" s="408" t="n">
        <v>580</v>
      </c>
      <c r="AC9" s="404">
        <f>AB9*$D$1</f>
        <v/>
      </c>
      <c r="AD9" s="408" t="n">
        <v>515</v>
      </c>
      <c r="AE9" s="403">
        <f>AD9*$F$1</f>
        <v/>
      </c>
      <c r="AF9" s="402" t="n"/>
      <c r="AG9" s="403" t="n"/>
    </row>
    <row r="10">
      <c r="A10" s="207" t="inlineStr">
        <is>
          <t>文具</t>
        </is>
      </c>
      <c r="B10" s="402" t="n">
        <v>77</v>
      </c>
      <c r="C10" s="403">
        <f>B10*$B$1</f>
        <v/>
      </c>
      <c r="D10" s="408" t="n"/>
      <c r="E10" s="404" t="n"/>
      <c r="F10" s="408" t="n"/>
      <c r="G10" s="403" t="n"/>
      <c r="H10" s="405" t="n"/>
      <c r="I10" s="402" t="n"/>
      <c r="J10" s="403" t="n"/>
      <c r="K10" s="402" t="n"/>
      <c r="L10" s="403" t="n"/>
      <c r="M10" s="402" t="n"/>
      <c r="N10" s="403" t="n"/>
      <c r="O10" s="402" t="n"/>
      <c r="P10" s="403" t="n"/>
      <c r="Q10" s="402" t="n"/>
      <c r="R10" s="406" t="n"/>
      <c r="S10" s="182" t="n"/>
      <c r="T10" s="182" t="n"/>
      <c r="U10" s="182" t="n"/>
      <c r="V10" s="182" t="n"/>
      <c r="W10" s="182" t="n"/>
      <c r="X10" s="182" t="n"/>
      <c r="Y10" s="182" t="n"/>
      <c r="Z10" s="402" t="n"/>
      <c r="AA10" s="403" t="n"/>
      <c r="AB10" s="408" t="n"/>
      <c r="AC10" s="404" t="n"/>
      <c r="AD10" s="408" t="n"/>
      <c r="AE10" s="403" t="n"/>
      <c r="AF10" s="402" t="n"/>
      <c r="AG10" s="403" t="n"/>
    </row>
    <row r="11">
      <c r="A11" s="207" t="inlineStr">
        <is>
          <t>电费</t>
        </is>
      </c>
      <c r="B11" s="402" t="n"/>
      <c r="C11" s="403" t="n"/>
      <c r="D11" s="408" t="n"/>
      <c r="E11" s="404" t="n"/>
      <c r="F11" s="408" t="n"/>
      <c r="G11" s="403" t="n"/>
      <c r="H11" s="405" t="n"/>
      <c r="I11" s="402" t="n"/>
      <c r="J11" s="403" t="n"/>
      <c r="K11" s="402" t="n">
        <v>1420</v>
      </c>
      <c r="L11" s="403">
        <f>K11*$K$1</f>
        <v/>
      </c>
      <c r="M11" s="402" t="n"/>
      <c r="N11" s="403" t="n"/>
      <c r="O11" s="402" t="n"/>
      <c r="P11" s="403" t="n"/>
      <c r="Q11" s="402" t="n"/>
      <c r="R11" s="406" t="n"/>
      <c r="S11" s="182" t="n"/>
      <c r="T11" s="182" t="n"/>
      <c r="U11" s="182" t="n"/>
      <c r="V11" s="182" t="n"/>
      <c r="W11" s="182" t="n"/>
      <c r="X11" s="182" t="n"/>
      <c r="Y11" s="182" t="n"/>
      <c r="Z11" s="402" t="n"/>
      <c r="AA11" s="403" t="n"/>
      <c r="AB11" s="408" t="n"/>
      <c r="AC11" s="404" t="n"/>
      <c r="AD11" s="408" t="n"/>
      <c r="AE11" s="403" t="n"/>
      <c r="AF11" s="402" t="n"/>
      <c r="AG11" s="403" t="n"/>
    </row>
    <row r="12">
      <c r="A12" s="207" t="inlineStr">
        <is>
          <t>礼品-氣球</t>
        </is>
      </c>
      <c r="B12" s="402" t="n"/>
      <c r="C12" s="403" t="n"/>
      <c r="D12" s="408" t="n"/>
      <c r="E12" s="404" t="n">
        <v>3174</v>
      </c>
      <c r="F12" s="408" t="n"/>
      <c r="G12" s="403">
        <f>F12*$F$1</f>
        <v/>
      </c>
      <c r="H12" s="405" t="n"/>
      <c r="I12" s="402" t="n">
        <v>1219.78</v>
      </c>
      <c r="J12" s="403">
        <f>I12*$I$1</f>
        <v/>
      </c>
      <c r="K12" s="402" t="n"/>
      <c r="L12" s="403" t="n"/>
      <c r="M12" s="402" t="n"/>
      <c r="N12" s="403" t="n"/>
      <c r="O12" s="402" t="n"/>
      <c r="P12" s="403" t="n"/>
      <c r="Q12" s="402" t="n"/>
      <c r="R12" s="406" t="n"/>
      <c r="S12" s="182" t="n"/>
      <c r="T12" s="182" t="n"/>
      <c r="U12" s="182" t="n"/>
      <c r="V12" s="182" t="n"/>
      <c r="W12" s="182" t="n"/>
      <c r="X12" s="182" t="n"/>
      <c r="Y12" s="182" t="n"/>
      <c r="Z12" s="402" t="n"/>
      <c r="AA12" s="403" t="n"/>
      <c r="AB12" s="408" t="n"/>
      <c r="AC12" s="404" t="n"/>
      <c r="AD12" s="408" t="n"/>
      <c r="AE12" s="403" t="n"/>
      <c r="AF12" s="402" t="n"/>
      <c r="AG12" s="403" t="n"/>
    </row>
    <row r="13">
      <c r="A13" s="197" t="inlineStr">
        <is>
          <t>pad充電線*8</t>
        </is>
      </c>
      <c r="B13" s="402" t="n"/>
      <c r="C13" s="403" t="n"/>
      <c r="D13" s="197" t="n"/>
      <c r="E13" s="404" t="n">
        <v>160</v>
      </c>
      <c r="F13" s="197" t="n"/>
      <c r="G13" s="403" t="n"/>
      <c r="H13" s="405" t="n"/>
      <c r="I13" s="402" t="n"/>
      <c r="J13" s="403" t="n"/>
      <c r="K13" s="402" t="n"/>
      <c r="L13" s="403" t="n"/>
      <c r="M13" s="402" t="n"/>
      <c r="N13" s="403" t="n"/>
      <c r="O13" s="402" t="n"/>
      <c r="P13" s="403" t="n"/>
      <c r="Q13" s="402" t="n"/>
      <c r="R13" s="406" t="n"/>
      <c r="S13" s="182" t="n"/>
      <c r="T13" s="182" t="n"/>
      <c r="U13" s="182" t="n"/>
      <c r="V13" s="182" t="n"/>
      <c r="W13" s="182" t="n"/>
      <c r="X13" s="182" t="n"/>
      <c r="Y13" s="182" t="n"/>
      <c r="Z13" s="402" t="n"/>
      <c r="AA13" s="403" t="n"/>
      <c r="AB13" s="197" t="n"/>
      <c r="AC13" s="404" t="n"/>
      <c r="AD13" s="197" t="n"/>
      <c r="AE13" s="403" t="n"/>
      <c r="AF13" s="402" t="n"/>
      <c r="AG13" s="403" t="n"/>
    </row>
    <row r="14">
      <c r="A14" s="189" t="inlineStr">
        <is>
          <t>香港物流費</t>
        </is>
      </c>
      <c r="B14" s="395" t="n">
        <v>1580</v>
      </c>
      <c r="C14" s="396">
        <f>B14*$B$1</f>
        <v/>
      </c>
      <c r="D14" s="397" t="n">
        <v>1600</v>
      </c>
      <c r="E14" s="398" t="inlineStr">
        <is>
          <t xml:space="preserve">¥1,488.0 </t>
        </is>
      </c>
      <c r="F14" s="397" t="n">
        <v>1600</v>
      </c>
      <c r="G14" s="396">
        <f>F14*$F$1</f>
        <v/>
      </c>
      <c r="H14" s="399" t="n">
        <v>0</v>
      </c>
      <c r="I14" s="395" t="n">
        <v>2350</v>
      </c>
      <c r="J14" s="396">
        <f>I14*$I$1</f>
        <v/>
      </c>
      <c r="K14" s="395" t="n">
        <v>1600</v>
      </c>
      <c r="L14" s="396">
        <f>K14*$K$1</f>
        <v/>
      </c>
      <c r="M14" s="395" t="n">
        <v>2000</v>
      </c>
      <c r="N14" s="396">
        <f>M14*$K$1</f>
        <v/>
      </c>
      <c r="O14" s="395" t="n">
        <v>830</v>
      </c>
      <c r="P14" s="396">
        <f>O14*$O$1</f>
        <v/>
      </c>
      <c r="Q14" s="395" t="n">
        <v>1600</v>
      </c>
      <c r="R14" s="400">
        <f>Q14*$K$1</f>
        <v/>
      </c>
      <c r="S14" s="401" t="n">
        <v>1600</v>
      </c>
      <c r="T14" s="396" t="n">
        <v>2976</v>
      </c>
      <c r="U14" s="396" t="n">
        <v>2767.7</v>
      </c>
      <c r="V14" s="401" t="n">
        <v>1500</v>
      </c>
      <c r="W14" s="396">
        <f>V14*$Q$1</f>
        <v/>
      </c>
      <c r="X14" s="401" t="n">
        <v>1900</v>
      </c>
      <c r="Y14" s="396" t="n">
        <v>1729</v>
      </c>
      <c r="Z14" s="395" t="n">
        <v>2000</v>
      </c>
      <c r="AA14" s="396">
        <f>Z14*$K$1</f>
        <v/>
      </c>
      <c r="AB14" s="397" t="n">
        <v>1600</v>
      </c>
      <c r="AC14" s="398" t="inlineStr">
        <is>
          <t xml:space="preserve">¥1,488.0 </t>
        </is>
      </c>
      <c r="AD14" s="397" t="n">
        <v>1600</v>
      </c>
      <c r="AE14" s="396">
        <f>AD14*$F$1</f>
        <v/>
      </c>
      <c r="AF14" s="395" t="n">
        <v>2000</v>
      </c>
      <c r="AG14" s="396">
        <f>AF14*$K$1</f>
        <v/>
      </c>
    </row>
    <row r="15">
      <c r="A15" s="189" t="inlineStr">
        <is>
          <t>餐費</t>
        </is>
      </c>
      <c r="B15" s="395" t="n">
        <v>3942.2</v>
      </c>
      <c r="C15" s="396">
        <f>B15*$B$1</f>
        <v/>
      </c>
      <c r="D15" s="397" t="n">
        <v>3387.1</v>
      </c>
      <c r="E15" s="398" t="inlineStr">
        <is>
          <t xml:space="preserve">¥3,150.0 </t>
        </is>
      </c>
      <c r="F15" s="397" t="n">
        <v>4351.4</v>
      </c>
      <c r="G15" s="396">
        <f>F15*$F$1</f>
        <v/>
      </c>
      <c r="H15" s="399" t="n">
        <v>0</v>
      </c>
      <c r="I15" s="395" t="n">
        <v>11538.46</v>
      </c>
      <c r="J15" s="396">
        <f>I15*$I$1</f>
        <v/>
      </c>
      <c r="K15" s="395" t="n">
        <v>2628.13</v>
      </c>
      <c r="L15" s="396">
        <f>K15*$K$1</f>
        <v/>
      </c>
      <c r="M15" s="395" t="n">
        <v>2000</v>
      </c>
      <c r="N15" s="396">
        <f>M15*$K$1</f>
        <v/>
      </c>
      <c r="O15" s="395" t="n">
        <v>1800</v>
      </c>
      <c r="P15" s="396">
        <f>O15*$O$1</f>
        <v/>
      </c>
      <c r="Q15" s="395" t="n">
        <v>4351.4</v>
      </c>
      <c r="R15" s="400">
        <f>Q15*$K$1</f>
        <v/>
      </c>
      <c r="S15" s="401" t="n">
        <v>4351.4</v>
      </c>
      <c r="T15" s="396" t="n">
        <v>4046.8</v>
      </c>
      <c r="U15" s="396" t="n">
        <v>4046.8</v>
      </c>
      <c r="V15" s="401" t="n">
        <v>2250</v>
      </c>
      <c r="W15" s="396">
        <f>V15*$Q$1</f>
        <v/>
      </c>
      <c r="X15" s="401" t="n"/>
      <c r="Y15" s="396" t="n"/>
      <c r="Z15" s="395" t="n">
        <v>2000</v>
      </c>
      <c r="AA15" s="396">
        <f>Z15*$K$1</f>
        <v/>
      </c>
      <c r="AB15" s="397" t="n">
        <v>3387.1</v>
      </c>
      <c r="AC15" s="398" t="inlineStr">
        <is>
          <t xml:space="preserve">¥3,150.0 </t>
        </is>
      </c>
      <c r="AD15" s="397" t="n">
        <v>4351.4</v>
      </c>
      <c r="AE15" s="396">
        <f>AD15*$F$1</f>
        <v/>
      </c>
      <c r="AF15" s="395" t="n">
        <v>2000</v>
      </c>
      <c r="AG15" s="396">
        <f>AF15*$K$1</f>
        <v/>
      </c>
    </row>
    <row r="16">
      <c r="A16" s="207" t="inlineStr">
        <is>
          <t>工衣洗衣</t>
        </is>
      </c>
      <c r="B16" s="402" t="n"/>
      <c r="C16" s="405" t="n"/>
      <c r="D16" s="410" t="n"/>
      <c r="E16" s="403" t="n"/>
      <c r="F16" s="410" t="n">
        <v>200</v>
      </c>
      <c r="G16" s="403">
        <f>F16*$F$1</f>
        <v/>
      </c>
      <c r="H16" s="405" t="n"/>
      <c r="I16" s="402" t="n"/>
      <c r="J16" s="405" t="n"/>
      <c r="K16" s="402" t="n"/>
      <c r="L16" s="403" t="n"/>
      <c r="M16" s="402" t="n"/>
      <c r="N16" s="403" t="n"/>
      <c r="O16" s="402" t="n"/>
      <c r="P16" s="403" t="n"/>
      <c r="Q16" s="402" t="n"/>
      <c r="R16" s="406" t="n"/>
      <c r="S16" s="182" t="n"/>
      <c r="T16" s="182" t="n"/>
      <c r="U16" s="182" t="n"/>
      <c r="V16" s="182" t="n"/>
      <c r="W16" s="182" t="n"/>
      <c r="X16" s="182" t="n"/>
      <c r="Y16" s="182" t="n"/>
      <c r="Z16" s="402" t="n"/>
      <c r="AA16" s="403" t="n"/>
      <c r="AB16" s="410" t="n"/>
      <c r="AC16" s="403" t="n"/>
      <c r="AD16" s="410" t="n"/>
      <c r="AE16" s="403" t="n"/>
      <c r="AF16" s="402" t="n"/>
      <c r="AG16" s="403" t="n"/>
    </row>
    <row r="17">
      <c r="A17" s="207" t="inlineStr">
        <is>
          <t>代理CPS费（预估）</t>
        </is>
      </c>
      <c r="B17" s="402" t="n"/>
      <c r="C17" s="405" t="n"/>
      <c r="D17" s="410" t="n"/>
      <c r="E17" s="405" t="n"/>
      <c r="F17" s="410" t="n"/>
      <c r="G17" s="405" t="n"/>
      <c r="H17" s="405">
        <f>60000*35%</f>
        <v/>
      </c>
      <c r="I17" s="402" t="n"/>
      <c r="J17" s="405">
        <f>122*9%*4500*35%</f>
        <v/>
      </c>
      <c r="K17" s="402" t="n"/>
      <c r="L17" s="405">
        <f>(270-140)*9%*4500*30%</f>
        <v/>
      </c>
      <c r="M17" s="402" t="n"/>
      <c r="N17" s="405" t="n"/>
      <c r="O17" s="402" t="n"/>
      <c r="P17" s="405">
        <f>50*9%*4500*35%</f>
        <v/>
      </c>
      <c r="Q17" s="402" t="n"/>
      <c r="R17" s="411">
        <f>90*9%*4500*35%</f>
        <v/>
      </c>
      <c r="S17" s="182" t="n"/>
      <c r="T17" s="182" t="n"/>
      <c r="U17" s="403" t="n"/>
      <c r="V17" s="182" t="n"/>
      <c r="W17" s="403" t="n"/>
      <c r="X17" s="401">
        <f>Y17/0.91</f>
        <v/>
      </c>
      <c r="Y17" s="403">
        <f>85692.541*0.35</f>
        <v/>
      </c>
      <c r="Z17" s="402" t="n"/>
      <c r="AA17" s="405" t="n"/>
      <c r="AB17" s="410" t="n"/>
      <c r="AC17" s="405" t="n"/>
      <c r="AD17" s="410" t="n"/>
      <c r="AE17" s="405" t="n"/>
      <c r="AF17" s="402" t="n"/>
      <c r="AG17" s="405" t="n"/>
    </row>
    <row r="18">
      <c r="A18" s="207" t="inlineStr">
        <is>
          <t>差旅（住宿）（预估）</t>
        </is>
      </c>
      <c r="B18" s="402" t="n"/>
      <c r="C18" s="405">
        <f>800*4*3</f>
        <v/>
      </c>
      <c r="D18" s="410" t="n"/>
      <c r="E18" s="405">
        <f>1200*4*3</f>
        <v/>
      </c>
      <c r="F18" s="410" t="n"/>
      <c r="G18" s="405">
        <f>1200*4*3</f>
        <v/>
      </c>
      <c r="H18" s="405" t="n">
        <v>0</v>
      </c>
      <c r="I18" s="402" t="n"/>
      <c r="J18" s="405">
        <f>1100*4*7</f>
        <v/>
      </c>
      <c r="K18" s="402" t="n"/>
      <c r="L18" s="405">
        <f>1000*3+2000*2</f>
        <v/>
      </c>
      <c r="M18" s="402" t="n"/>
      <c r="N18" s="405">
        <f>700*4</f>
        <v/>
      </c>
      <c r="O18" s="402" t="n"/>
      <c r="P18" s="405">
        <f>750*4</f>
        <v/>
      </c>
      <c r="Q18" s="402" t="n"/>
      <c r="R18" s="411">
        <f>750*8</f>
        <v/>
      </c>
      <c r="S18" s="182" t="n"/>
      <c r="T18" s="182" t="n"/>
      <c r="U18" s="403">
        <f>750*8</f>
        <v/>
      </c>
      <c r="V18" s="182" t="n"/>
      <c r="W18" s="403">
        <f>750*4</f>
        <v/>
      </c>
      <c r="X18" s="182" t="n"/>
      <c r="Y18" s="403" t="n"/>
      <c r="Z18" s="402" t="n"/>
      <c r="AA18" s="405" t="n"/>
      <c r="AB18" s="410" t="n"/>
      <c r="AC18" s="405">
        <f>1200*6*3</f>
        <v/>
      </c>
      <c r="AD18" s="410" t="n"/>
      <c r="AE18" s="405">
        <f>1200*4*3</f>
        <v/>
      </c>
      <c r="AF18" s="402" t="n"/>
      <c r="AG18" s="405">
        <f>700*4</f>
        <v/>
      </c>
    </row>
    <row r="19">
      <c r="A19" s="207" t="inlineStr">
        <is>
          <t>差率（车票）（预估）</t>
        </is>
      </c>
      <c r="B19" s="402" t="n"/>
      <c r="C19" s="405">
        <f>8*430</f>
        <v/>
      </c>
      <c r="D19" s="405" t="n"/>
      <c r="E19" s="405">
        <f>8*430</f>
        <v/>
      </c>
      <c r="F19" s="405" t="n"/>
      <c r="G19" s="405">
        <f>8*430</f>
        <v/>
      </c>
      <c r="H19" s="405" t="n">
        <v>0</v>
      </c>
      <c r="I19" s="402" t="n"/>
      <c r="J19" s="405">
        <f>16*430</f>
        <v/>
      </c>
      <c r="K19" s="402" t="n"/>
      <c r="L19" s="405">
        <f>5*430</f>
        <v/>
      </c>
      <c r="M19" s="402" t="n"/>
      <c r="N19" s="405">
        <f>200*6</f>
        <v/>
      </c>
      <c r="O19" s="402" t="n"/>
      <c r="P19" s="405">
        <f>430*4</f>
        <v/>
      </c>
      <c r="Q19" s="402" t="n"/>
      <c r="R19" s="411">
        <f>430*8</f>
        <v/>
      </c>
      <c r="S19" s="182" t="n"/>
      <c r="T19" s="182" t="n"/>
      <c r="U19" s="403">
        <f>430*8</f>
        <v/>
      </c>
      <c r="V19" s="182" t="n"/>
      <c r="W19" s="403">
        <f>430*4</f>
        <v/>
      </c>
      <c r="X19" s="182" t="n"/>
      <c r="Y19" s="403" t="n"/>
      <c r="Z19" s="402" t="n"/>
      <c r="AA19" s="405" t="n"/>
      <c r="AB19" s="405" t="n"/>
      <c r="AC19" s="405">
        <f>12*430</f>
        <v/>
      </c>
      <c r="AD19" s="405" t="n"/>
      <c r="AE19" s="405">
        <f>8*430</f>
        <v/>
      </c>
      <c r="AF19" s="402" t="n"/>
      <c r="AG19" s="405">
        <f>200*6</f>
        <v/>
      </c>
    </row>
    <row r="20">
      <c r="A20" s="207" t="n"/>
      <c r="B20" s="402" t="n"/>
      <c r="C20" s="405" t="n"/>
      <c r="D20" s="410" t="n"/>
      <c r="E20" s="405" t="n"/>
      <c r="F20" s="410" t="n"/>
      <c r="G20" s="405" t="n"/>
      <c r="H20" s="405" t="n"/>
      <c r="I20" s="402" t="n"/>
      <c r="J20" s="405" t="n"/>
      <c r="K20" s="402" t="n"/>
      <c r="L20" s="405" t="n"/>
      <c r="M20" s="402" t="n"/>
      <c r="N20" s="405" t="n"/>
      <c r="O20" s="402" t="n"/>
      <c r="P20" s="405" t="n"/>
      <c r="Q20" s="402" t="n"/>
      <c r="R20" s="411" t="n"/>
      <c r="S20" s="182" t="n"/>
      <c r="T20" s="182" t="n"/>
      <c r="U20" s="182" t="n"/>
      <c r="V20" s="182" t="n"/>
      <c r="W20" s="182" t="n"/>
      <c r="X20" s="182" t="n"/>
      <c r="Y20" s="182" t="n"/>
      <c r="Z20" s="402" t="n"/>
      <c r="AA20" s="405" t="n"/>
      <c r="AB20" s="410" t="n"/>
      <c r="AC20" s="405" t="n"/>
      <c r="AD20" s="410" t="n"/>
      <c r="AE20" s="405" t="n"/>
      <c r="AF20" s="402" t="n"/>
      <c r="AG20" s="405" t="n"/>
    </row>
    <row r="21">
      <c r="A21" s="186" t="inlineStr">
        <is>
          <t>總開支</t>
        </is>
      </c>
      <c r="B21" s="393">
        <f>SUM(B4:B16)</f>
        <v/>
      </c>
      <c r="C21" s="393">
        <f>SUM(C4:C16)</f>
        <v/>
      </c>
      <c r="D21" s="393">
        <f>SUM(D4:D16)</f>
        <v/>
      </c>
      <c r="E21" s="393">
        <f>SUM(E4:E16)</f>
        <v/>
      </c>
      <c r="F21" s="393">
        <f>SUM(F4:F16)</f>
        <v/>
      </c>
      <c r="G21" s="393">
        <f>SUM(G4:G16)</f>
        <v/>
      </c>
      <c r="H21" s="393" t="n"/>
      <c r="I21" s="393">
        <f>SUM(I4:I16)</f>
        <v/>
      </c>
      <c r="J21" s="393">
        <f>SUM(J4:J16)</f>
        <v/>
      </c>
      <c r="K21" s="393">
        <f>SUM(K4:K16)</f>
        <v/>
      </c>
      <c r="L21" s="393">
        <f>SUM(L4:L16)</f>
        <v/>
      </c>
      <c r="M21" s="393">
        <f>SUM(M4:M16)</f>
        <v/>
      </c>
      <c r="N21" s="393">
        <f>SUM(N4:N16)</f>
        <v/>
      </c>
      <c r="O21" s="393">
        <f>SUM(O4:O16)</f>
        <v/>
      </c>
      <c r="P21" s="393">
        <f>SUM(P4:P16)</f>
        <v/>
      </c>
      <c r="Q21" s="393">
        <f>SUM(Q4:Q16)</f>
        <v/>
      </c>
      <c r="R21" s="411">
        <f>SUM(R4:R16)</f>
        <v/>
      </c>
      <c r="S21" s="412" t="n"/>
      <c r="T21" s="182" t="n"/>
      <c r="U21" s="394">
        <f>SUM(U4:U16)</f>
        <v/>
      </c>
      <c r="V21" s="403" t="n"/>
      <c r="W21" s="394">
        <f>SUM(W4:W16)</f>
        <v/>
      </c>
      <c r="X21" s="403" t="n"/>
      <c r="Y21" s="394">
        <f>SUM(Y4:Y17)</f>
        <v/>
      </c>
      <c r="Z21" s="393">
        <f>SUM(Z4:Z16)</f>
        <v/>
      </c>
      <c r="AA21" s="393">
        <f>SUM(AA4:AA16)</f>
        <v/>
      </c>
      <c r="AB21" s="393">
        <f>SUM(AB4:AB16)</f>
        <v/>
      </c>
      <c r="AC21" s="393">
        <f>SUM(AC4:AC16)</f>
        <v/>
      </c>
      <c r="AD21" s="393">
        <f>SUM(AD4:AD16)</f>
        <v/>
      </c>
      <c r="AE21" s="393">
        <f>SUM(AE4:AE16)</f>
        <v/>
      </c>
      <c r="AF21" s="393">
        <f>SUM(AF4:AF16)</f>
        <v/>
      </c>
      <c r="AG21" s="393">
        <f>SUM(AG4:AG16)</f>
        <v/>
      </c>
    </row>
    <row r="22">
      <c r="A22" s="211" t="inlineStr">
        <is>
          <t>总开支（含差旅）</t>
        </is>
      </c>
      <c r="B22" s="413" t="n"/>
      <c r="C22" s="414">
        <f>C21+C18+C19</f>
        <v/>
      </c>
      <c r="D22" s="414" t="n"/>
      <c r="E22" s="414">
        <f>E21+E18+E19</f>
        <v/>
      </c>
      <c r="F22" s="414" t="n"/>
      <c r="G22" s="414">
        <f>G21+G18+G19</f>
        <v/>
      </c>
      <c r="H22" s="414">
        <f>H21+H18+H19+H17</f>
        <v/>
      </c>
      <c r="I22" s="414" t="n"/>
      <c r="J22" s="414">
        <f>J21+J18+J19+J17</f>
        <v/>
      </c>
      <c r="K22" s="414" t="n"/>
      <c r="L22" s="414">
        <f>L21+L18+L19+L17</f>
        <v/>
      </c>
      <c r="M22" s="414" t="n"/>
      <c r="N22" s="414">
        <f>N21+N18+N19+N17</f>
        <v/>
      </c>
      <c r="O22" s="414" t="n"/>
      <c r="P22" s="414">
        <f>P21+P18+P19+P17</f>
        <v/>
      </c>
      <c r="Q22" s="414" t="n"/>
      <c r="R22" s="415">
        <f>R21+R18+R19+R17</f>
        <v/>
      </c>
      <c r="S22" s="182" t="n"/>
      <c r="T22" s="182" t="n"/>
      <c r="U22" s="414">
        <f>U21+U18+U19+U17</f>
        <v/>
      </c>
      <c r="V22" s="182" t="n"/>
      <c r="W22" s="414">
        <f>W21+W18+W19+W17</f>
        <v/>
      </c>
      <c r="X22" s="182" t="n"/>
      <c r="Y22" s="414">
        <f>Y21</f>
        <v/>
      </c>
      <c r="Z22" s="414" t="n"/>
      <c r="AA22" s="414">
        <f>AA21+AA18+AA19+AA17</f>
        <v/>
      </c>
      <c r="AB22" s="414" t="n"/>
      <c r="AC22" s="414">
        <f>AC21+AC18+AC19</f>
        <v/>
      </c>
      <c r="AD22" s="414" t="n"/>
      <c r="AE22" s="414">
        <f>AE21+AE18+AE19</f>
        <v/>
      </c>
      <c r="AF22" s="414" t="n"/>
      <c r="AG22" s="414">
        <f>AG21+AG18+AG19+AG17</f>
        <v/>
      </c>
    </row>
    <row r="23">
      <c r="A23" s="182" t="n"/>
      <c r="B23" s="416" t="n"/>
      <c r="C23" s="417" t="n"/>
      <c r="D23" s="182" t="n"/>
      <c r="E23" s="182" t="n"/>
      <c r="F23" s="182" t="n"/>
      <c r="G23" s="182" t="n"/>
      <c r="H23" s="182" t="n"/>
      <c r="I23" s="182" t="n"/>
      <c r="J23" s="182" t="n"/>
      <c r="K23" s="182" t="n"/>
      <c r="L23" s="217" t="n"/>
      <c r="M23" s="182" t="n"/>
      <c r="N23" s="217" t="n"/>
      <c r="O23" s="182" t="n"/>
      <c r="P23" s="217" t="n"/>
      <c r="Q23" s="182" t="n"/>
      <c r="R23" s="217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217" t="n"/>
      <c r="AB23" s="182" t="n"/>
      <c r="AC23" s="182" t="n"/>
      <c r="AD23" s="182" t="n"/>
      <c r="AE23" s="182" t="n"/>
      <c r="AF23" s="182" t="n"/>
      <c r="AG23" s="217" t="n"/>
    </row>
    <row r="24" customFormat="1" s="340">
      <c r="A24" s="418" t="inlineStr">
        <is>
          <t>总例子数</t>
        </is>
      </c>
      <c r="B24" s="418" t="n"/>
      <c r="C24" s="418" t="n">
        <v>235</v>
      </c>
      <c r="D24" s="418" t="n"/>
      <c r="E24" s="418" t="n">
        <v>303</v>
      </c>
      <c r="F24" s="418" t="n"/>
      <c r="G24" s="418" t="n">
        <v>301</v>
      </c>
      <c r="H24" s="418" t="n">
        <v>155</v>
      </c>
      <c r="I24" s="418" t="n"/>
      <c r="J24" s="418" t="n">
        <v>587</v>
      </c>
      <c r="K24" s="418" t="n"/>
      <c r="L24" s="419" t="n">
        <v>270</v>
      </c>
      <c r="M24" s="418" t="n"/>
      <c r="N24" s="419" t="n">
        <v>150</v>
      </c>
      <c r="O24" s="418" t="n"/>
      <c r="P24" s="419" t="n">
        <v>200</v>
      </c>
      <c r="Q24" s="418" t="n"/>
      <c r="R24" s="419" t="n">
        <v>400</v>
      </c>
      <c r="S24" s="329" t="n"/>
      <c r="T24" s="329" t="n"/>
      <c r="U24" s="329" t="n">
        <v>450</v>
      </c>
      <c r="V24" s="329" t="n"/>
      <c r="W24" s="329" t="n">
        <v>150</v>
      </c>
      <c r="X24" s="329" t="n"/>
      <c r="Y24" s="329" t="n">
        <v>282</v>
      </c>
      <c r="Z24" s="418" t="n"/>
      <c r="AA24" s="419" t="n">
        <v>110</v>
      </c>
      <c r="AB24" s="418" t="n"/>
      <c r="AC24" s="418" t="n">
        <v>260</v>
      </c>
      <c r="AD24" s="418" t="n"/>
      <c r="AE24" s="418" t="n">
        <v>350</v>
      </c>
      <c r="AF24" s="418" t="n"/>
      <c r="AG24" s="419" t="n">
        <v>100</v>
      </c>
    </row>
    <row r="25" customFormat="1" s="340">
      <c r="A25" s="418" t="n"/>
      <c r="B25" s="418" t="n"/>
      <c r="C25" s="418" t="n"/>
      <c r="D25" s="418" t="n"/>
      <c r="E25" s="418" t="n"/>
      <c r="F25" s="418" t="n"/>
      <c r="G25" s="418" t="n"/>
      <c r="H25" s="418" t="n"/>
      <c r="I25" s="418" t="n"/>
      <c r="J25" s="418" t="n"/>
      <c r="K25" s="418" t="n"/>
      <c r="L25" s="419" t="n"/>
      <c r="M25" s="418" t="n"/>
      <c r="N25" s="419" t="n"/>
      <c r="O25" s="418" t="n"/>
      <c r="P25" s="419" t="n"/>
      <c r="Q25" s="418" t="n"/>
      <c r="R25" s="419" t="n"/>
      <c r="S25" s="329" t="n"/>
      <c r="T25" s="329" t="n"/>
      <c r="U25" s="329" t="n"/>
      <c r="V25" s="329" t="n"/>
      <c r="W25" s="329" t="n"/>
      <c r="X25" s="329" t="n"/>
      <c r="Y25" s="329" t="n"/>
      <c r="Z25" s="418" t="n"/>
      <c r="AA25" s="419" t="n"/>
      <c r="AB25" s="418" t="n"/>
      <c r="AC25" s="418" t="n"/>
      <c r="AD25" s="418" t="n"/>
      <c r="AE25" s="418" t="n"/>
      <c r="AF25" s="418" t="n"/>
      <c r="AG25" s="419" t="n"/>
    </row>
    <row r="26" customFormat="1" s="340">
      <c r="A26" s="420" t="inlineStr">
        <is>
          <t>平均例子成本（总，不含差旅合CPS）</t>
        </is>
      </c>
      <c r="B26" s="420" t="n"/>
      <c r="C26" s="420">
        <f>C21/C24</f>
        <v/>
      </c>
      <c r="D26" s="420" t="n"/>
      <c r="E26" s="420">
        <f>E21/E24</f>
        <v/>
      </c>
      <c r="F26" s="420" t="n"/>
      <c r="G26" s="420">
        <f>G21/G24</f>
        <v/>
      </c>
      <c r="H26" s="420" t="n"/>
      <c r="I26" s="420" t="n"/>
      <c r="J26" s="420">
        <f>J21/J24</f>
        <v/>
      </c>
      <c r="K26" s="420" t="n"/>
      <c r="L26" s="421">
        <f>(L21)/L24</f>
        <v/>
      </c>
      <c r="M26" s="420" t="n"/>
      <c r="N26" s="421">
        <f>(N21)/N24</f>
        <v/>
      </c>
      <c r="O26" s="420" t="n"/>
      <c r="P26" s="421">
        <f>(P21)/P24</f>
        <v/>
      </c>
      <c r="Q26" s="420" t="n"/>
      <c r="R26" s="421">
        <f>(R21)/R24</f>
        <v/>
      </c>
      <c r="S26" s="420" t="n"/>
      <c r="T26" s="420" t="n"/>
      <c r="U26" s="420">
        <f>(U21)/U24</f>
        <v/>
      </c>
      <c r="V26" s="329" t="n"/>
      <c r="W26" s="420">
        <f>(W21)/W24</f>
        <v/>
      </c>
      <c r="X26" s="329" t="n"/>
      <c r="Y26" s="420">
        <f>(Y21)/Y24</f>
        <v/>
      </c>
      <c r="Z26" s="420" t="n"/>
      <c r="AA26" s="421">
        <f>(AA21)/AA24</f>
        <v/>
      </c>
      <c r="AB26" s="420" t="n"/>
      <c r="AC26" s="420">
        <f>AC21/AC24</f>
        <v/>
      </c>
      <c r="AD26" s="420" t="n"/>
      <c r="AE26" s="420">
        <f>AE21/AE24</f>
        <v/>
      </c>
      <c r="AF26" s="420" t="n"/>
      <c r="AG26" s="421">
        <f>(AG21)/AG24</f>
        <v/>
      </c>
    </row>
    <row r="27" customFormat="1" s="340">
      <c r="A27" s="420" t="inlineStr">
        <is>
          <t>平均例子成本（总，含差旅CPS）</t>
        </is>
      </c>
      <c r="B27" s="420" t="n"/>
      <c r="C27" s="420">
        <f>C22/C24</f>
        <v/>
      </c>
      <c r="D27" s="420" t="n"/>
      <c r="E27" s="420">
        <f>E22/E24</f>
        <v/>
      </c>
      <c r="F27" s="420" t="n"/>
      <c r="G27" s="420">
        <f>G22/G24</f>
        <v/>
      </c>
      <c r="H27" s="420">
        <f>H22/H24</f>
        <v/>
      </c>
      <c r="I27" s="420" t="n"/>
      <c r="J27" s="420">
        <f>J22/J24</f>
        <v/>
      </c>
      <c r="K27" s="420" t="n"/>
      <c r="L27" s="421">
        <f>L22/L24</f>
        <v/>
      </c>
      <c r="M27" s="420" t="n"/>
      <c r="N27" s="421">
        <f>N22/N24</f>
        <v/>
      </c>
      <c r="O27" s="420" t="n"/>
      <c r="P27" s="421">
        <f>P22/P24</f>
        <v/>
      </c>
      <c r="Q27" s="420" t="n"/>
      <c r="R27" s="421">
        <f>R22/R24</f>
        <v/>
      </c>
      <c r="S27" s="420" t="n"/>
      <c r="T27" s="420" t="n"/>
      <c r="U27" s="420">
        <f>U22/U24</f>
        <v/>
      </c>
      <c r="V27" s="329" t="n"/>
      <c r="W27" s="420">
        <f>W22/W24</f>
        <v/>
      </c>
      <c r="X27" s="329" t="n"/>
      <c r="Y27" s="420">
        <f>Y22/Y24</f>
        <v/>
      </c>
      <c r="Z27" s="420" t="n"/>
      <c r="AA27" s="421">
        <f>AA22/AA24</f>
        <v/>
      </c>
      <c r="AB27" s="420" t="n"/>
      <c r="AC27" s="420">
        <f>AC22/AC24</f>
        <v/>
      </c>
      <c r="AD27" s="420" t="n"/>
      <c r="AE27" s="420">
        <f>AE22/AE24</f>
        <v/>
      </c>
      <c r="AF27" s="420" t="n"/>
      <c r="AG27" s="421">
        <f>AG22/AG24</f>
        <v/>
      </c>
    </row>
    <row r="28" customFormat="1" s="340"/>
    <row r="29" customFormat="1" s="340"/>
    <row r="30">
      <c r="A30" s="5" t="inlineStr">
        <is>
          <t>成本（展位搭建礼品物流餐费）</t>
        </is>
      </c>
      <c r="C30" s="417">
        <f>C4+C5+C6+C14+C15</f>
        <v/>
      </c>
      <c r="D30" s="417">
        <f>D4+D5+D6+D14+D15</f>
        <v/>
      </c>
      <c r="E30" s="417" t="n">
        <v>53374.3</v>
      </c>
      <c r="F30" s="417" t="n"/>
      <c r="G30" s="417">
        <f>G4+G5+G6+G14+G15</f>
        <v/>
      </c>
      <c r="H30" s="417" t="n"/>
      <c r="I30" s="417" t="n"/>
      <c r="J30" s="417">
        <f>J4+J5+J6+J14+J15</f>
        <v/>
      </c>
      <c r="K30" s="417" t="n"/>
      <c r="L30" s="422">
        <f>L4+L5+L6+L14+L15</f>
        <v/>
      </c>
      <c r="M30" s="422" t="n"/>
      <c r="N30" s="422">
        <f>N4+N5+N6+N14+N15</f>
        <v/>
      </c>
      <c r="O30" s="422" t="n"/>
      <c r="P30" s="422">
        <f>P4+P5+P6+P14+P15</f>
        <v/>
      </c>
      <c r="Q30" s="422" t="n"/>
      <c r="R30" s="422">
        <f>R4+R5+R6+R14+R15</f>
        <v/>
      </c>
      <c r="U30" s="422">
        <f>U4+U5+U6+U14+U15</f>
        <v/>
      </c>
      <c r="Z30" s="422" t="n"/>
      <c r="AA30" s="422">
        <f>AA4+AA5+AA6+AA14+AA15</f>
        <v/>
      </c>
      <c r="AF30" s="422" t="n"/>
      <c r="AG30" s="422">
        <f>AG4+AG5+AG6+AG14+AG15</f>
        <v/>
      </c>
    </row>
    <row r="31">
      <c r="A31" s="329" t="inlineStr">
        <is>
          <t>平均例子成本（展位搭建礼品物流餐费）</t>
        </is>
      </c>
      <c r="C31" s="417">
        <f>C30/C24</f>
        <v/>
      </c>
      <c r="D31" s="417" t="n"/>
      <c r="E31" s="417">
        <f>E30/E24</f>
        <v/>
      </c>
      <c r="F31" s="417" t="n"/>
      <c r="G31" s="417">
        <f>G30/G24</f>
        <v/>
      </c>
      <c r="H31" s="417" t="n"/>
      <c r="I31" s="417" t="n"/>
      <c r="J31" s="417">
        <f>J30/J24</f>
        <v/>
      </c>
      <c r="K31" s="417" t="n"/>
      <c r="L31" s="422">
        <f>L30/L24</f>
        <v/>
      </c>
      <c r="M31" s="422" t="n"/>
      <c r="N31" s="422">
        <f>N30/N24</f>
        <v/>
      </c>
      <c r="O31" s="422" t="n"/>
      <c r="P31" s="422">
        <f>P30/P24</f>
        <v/>
      </c>
      <c r="Q31" s="422" t="n"/>
      <c r="R31" s="422">
        <f>R30/R24</f>
        <v/>
      </c>
      <c r="U31" s="422">
        <f>U30/U24</f>
        <v/>
      </c>
      <c r="Z31" s="422" t="n"/>
      <c r="AA31" s="422">
        <f>AA30/AA24</f>
        <v/>
      </c>
      <c r="AF31" s="422" t="n"/>
      <c r="AG31" s="422">
        <f>AG30/AG24</f>
        <v/>
      </c>
    </row>
    <row r="34">
      <c r="K34" s="5" t="inlineStr">
        <is>
          <t>代理CPS费用</t>
        </is>
      </c>
      <c r="L34" s="5">
        <f>(270-140)*9%*4500*30%</f>
        <v/>
      </c>
    </row>
  </sheetData>
  <mergeCells count="13">
    <mergeCell ref="F2:G2"/>
    <mergeCell ref="M2:N2"/>
    <mergeCell ref="B2:C2"/>
    <mergeCell ref="Q2:R2"/>
    <mergeCell ref="O2:P2"/>
    <mergeCell ref="D2:E2"/>
    <mergeCell ref="S2:T2"/>
    <mergeCell ref="Z2:AA2"/>
    <mergeCell ref="K2:L2"/>
    <mergeCell ref="I2:J2"/>
    <mergeCell ref="AB2:AC2"/>
    <mergeCell ref="AD2:AE2"/>
    <mergeCell ref="AF2:A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00"/>
  <sheetViews>
    <sheetView workbookViewId="0">
      <pane xSplit="1" topLeftCell="B1" activePane="topRight" state="frozen"/>
      <selection activeCell="A1" sqref="A1"/>
      <selection pane="topRight" activeCell="J3" sqref="J3"/>
    </sheetView>
  </sheetViews>
  <sheetFormatPr baseColWidth="8" defaultColWidth="10" defaultRowHeight="16.5" customHeight="1"/>
  <cols>
    <col width="27.3333333333333" customWidth="1" style="170" min="2" max="2"/>
    <col width="10" customWidth="1" style="170" min="8" max="8"/>
    <col width="13.5" customWidth="1" style="170" min="9" max="9"/>
    <col width="16.1666666666667" customWidth="1" style="170" min="10" max="11"/>
    <col width="18.1666666666667" customWidth="1" style="170" min="12" max="12"/>
    <col width="16.1666666666667" customWidth="1" style="170" min="13" max="16"/>
  </cols>
  <sheetData>
    <row r="1" s="327">
      <c r="A1" s="8" t="n"/>
      <c r="B1" s="8" t="n"/>
      <c r="C1" s="8" t="n"/>
      <c r="D1" s="8" t="n"/>
      <c r="E1" s="8" t="n"/>
      <c r="F1" s="9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</row>
    <row r="2" s="327">
      <c r="A2" s="8" t="n"/>
      <c r="B2" s="8" t="n"/>
      <c r="C2" s="8" t="n"/>
      <c r="D2" s="8" t="n"/>
      <c r="E2" s="8" t="n"/>
      <c r="F2" s="12" t="inlineStr">
        <is>
          <t>主投思维</t>
        </is>
      </c>
      <c r="G2" s="8" t="n"/>
      <c r="H2" s="8" t="n"/>
      <c r="I2" s="8" t="inlineStr">
        <is>
          <t>2025/2/14-16日</t>
        </is>
      </c>
      <c r="J2" s="8" t="n"/>
      <c r="K2" s="8" t="inlineStr">
        <is>
          <t>2025年5月3-5日</t>
        </is>
      </c>
      <c r="L2" s="8" t="inlineStr">
        <is>
          <t>2025年5月23-25日</t>
        </is>
      </c>
      <c r="M2" s="171" t="n">
        <v>45689</v>
      </c>
      <c r="N2" s="171" t="n">
        <v>45870</v>
      </c>
      <c r="O2" s="8" t="inlineStr">
        <is>
          <t>2026年2月6-8日</t>
        </is>
      </c>
      <c r="P2" s="8" t="inlineStr">
        <is>
          <t>2026年2月6-8日</t>
        </is>
      </c>
    </row>
    <row r="3" s="327">
      <c r="A3" s="14" t="n"/>
      <c r="B3" s="15" t="inlineStr">
        <is>
          <t>参数：8月初</t>
        </is>
      </c>
      <c r="C3" s="16" t="inlineStr">
        <is>
          <t>益智</t>
        </is>
      </c>
      <c r="D3" s="16" t="inlineStr">
        <is>
          <t>美术</t>
        </is>
      </c>
      <c r="E3" s="14" t="n"/>
      <c r="F3" s="14" t="n"/>
      <c r="G3" s="14" t="n"/>
      <c r="H3" s="14" t="inlineStr">
        <is>
          <t>9月兒童書展</t>
        </is>
      </c>
      <c r="I3" s="14" t="inlineStr">
        <is>
          <t>12月兒童書展</t>
        </is>
      </c>
      <c r="J3" s="14" t="inlineStr">
        <is>
          <t>2月BB展</t>
        </is>
      </c>
      <c r="K3" s="14" t="inlineStr">
        <is>
          <t>課外活動展</t>
        </is>
      </c>
      <c r="L3" s="14" t="inlineStr">
        <is>
          <t>5月兒童展</t>
        </is>
      </c>
      <c r="M3" s="14" t="inlineStr">
        <is>
          <t>2月BB展</t>
        </is>
      </c>
      <c r="N3" s="14" t="inlineStr">
        <is>
          <t>8月BB展</t>
        </is>
      </c>
      <c r="O3" s="14" t="inlineStr">
        <is>
          <t>3月BB展</t>
        </is>
      </c>
      <c r="P3" s="14" t="inlineStr">
        <is>
          <t>3月BB展</t>
        </is>
      </c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</row>
    <row r="4" outlineLevel="1" s="327">
      <c r="A4" s="9" t="n"/>
      <c r="B4" s="423" t="inlineStr">
        <is>
          <t>单例子销售固定人工成本</t>
        </is>
      </c>
      <c r="C4" s="20" t="n">
        <v>89.09</v>
      </c>
      <c r="D4" s="21" t="n">
        <v>83.45</v>
      </c>
      <c r="E4" s="9" t="n"/>
      <c r="F4" s="22" t="inlineStr">
        <is>
          <t>链路合计</t>
        </is>
      </c>
      <c r="G4" s="9" t="inlineStr">
        <is>
          <t>ROI 2</t>
        </is>
      </c>
      <c r="H4" s="424">
        <f>H5/H6</f>
        <v/>
      </c>
      <c r="I4" s="424">
        <f>I5/I6</f>
        <v/>
      </c>
      <c r="J4" s="424">
        <f>J5/J6</f>
        <v/>
      </c>
      <c r="K4" s="424">
        <f>K5/K6</f>
        <v/>
      </c>
      <c r="L4" s="424">
        <f>L5/L6</f>
        <v/>
      </c>
      <c r="M4" s="424">
        <f>M5/M6</f>
        <v/>
      </c>
      <c r="N4" s="424">
        <f>N5/N6</f>
        <v/>
      </c>
      <c r="O4" s="424">
        <f>O5/O6</f>
        <v/>
      </c>
      <c r="P4" s="424">
        <f>P5/P6</f>
        <v/>
      </c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</row>
    <row r="5" s="327">
      <c r="A5" s="9" t="n"/>
      <c r="B5" s="423" t="inlineStr">
        <is>
          <t>单例子TMK人工成本</t>
        </is>
      </c>
      <c r="C5" s="26" t="n">
        <v>8.99</v>
      </c>
      <c r="D5" s="27" t="n">
        <v>8.99</v>
      </c>
      <c r="E5" s="9" t="n"/>
      <c r="F5" s="22" t="inlineStr">
        <is>
          <t>链路合计</t>
        </is>
      </c>
      <c r="G5" s="9" t="inlineStr">
        <is>
          <t>GMV</t>
        </is>
      </c>
      <c r="H5" s="425">
        <f>H17+H35</f>
        <v/>
      </c>
      <c r="I5" s="425">
        <f>I17+I35</f>
        <v/>
      </c>
      <c r="J5" s="425">
        <f>J17+J35</f>
        <v/>
      </c>
      <c r="K5" s="425">
        <f>K17+K35</f>
        <v/>
      </c>
      <c r="L5" s="425">
        <f>L17+L35</f>
        <v/>
      </c>
      <c r="M5" s="425">
        <f>M17+M35</f>
        <v/>
      </c>
      <c r="N5" s="425">
        <f>N17+N35</f>
        <v/>
      </c>
      <c r="O5" s="425">
        <f>O17+O35</f>
        <v/>
      </c>
      <c r="P5" s="425">
        <f>P17+P35</f>
        <v/>
      </c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</row>
    <row r="6" s="327">
      <c r="A6" s="9" t="n"/>
      <c r="B6" s="31" t="inlineStr">
        <is>
          <t>销售提成比例</t>
        </is>
      </c>
      <c r="C6" s="32" t="n">
        <v>0.08939999999999999</v>
      </c>
      <c r="D6" s="33" t="n">
        <v>0.0839</v>
      </c>
      <c r="E6" s="9" t="n"/>
      <c r="F6" s="22" t="inlineStr">
        <is>
          <t>链路合计</t>
        </is>
      </c>
      <c r="G6" s="9" t="inlineStr">
        <is>
          <t>ROI 2成本项</t>
        </is>
      </c>
      <c r="H6" s="426">
        <f>H36+H18</f>
        <v/>
      </c>
      <c r="I6" s="426">
        <f>I36+I18</f>
        <v/>
      </c>
      <c r="J6" s="426">
        <f>J36+J18</f>
        <v/>
      </c>
      <c r="K6" s="426">
        <f>K36+K18</f>
        <v/>
      </c>
      <c r="L6" s="426">
        <f>L36+L18</f>
        <v/>
      </c>
      <c r="M6" s="426">
        <f>M36+M18</f>
        <v/>
      </c>
      <c r="N6" s="426">
        <f>N36+N18</f>
        <v/>
      </c>
      <c r="O6" s="426">
        <f>O36+O18</f>
        <v/>
      </c>
      <c r="P6" s="426">
        <f>P36+P18</f>
        <v/>
      </c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</row>
    <row r="7" s="327">
      <c r="A7" s="9" t="n"/>
      <c r="B7" s="31" t="inlineStr">
        <is>
          <t>礼品及其他费用比例</t>
        </is>
      </c>
      <c r="C7" s="32" t="n">
        <v>0.0132</v>
      </c>
      <c r="D7" s="33" t="n">
        <v>0.0155</v>
      </c>
      <c r="E7" s="9" t="n"/>
      <c r="F7" s="22" t="inlineStr">
        <is>
          <t>链路合计</t>
        </is>
      </c>
      <c r="G7" s="9" t="inlineStr">
        <is>
          <t>渠道预算</t>
        </is>
      </c>
      <c r="H7" s="426" t="n">
        <v>97616</v>
      </c>
      <c r="I7" s="38" t="n">
        <v>145759.8</v>
      </c>
      <c r="J7" s="426" t="n">
        <v>41427.9</v>
      </c>
      <c r="K7" s="426" t="n">
        <v>51452.7</v>
      </c>
      <c r="L7" s="426" t="n">
        <v>60000</v>
      </c>
      <c r="M7" s="426">
        <f>[1]開支總表!C15</f>
        <v/>
      </c>
      <c r="N7" s="426">
        <f>M7</f>
        <v/>
      </c>
      <c r="O7" s="426">
        <f>[1]開支總表!E15</f>
        <v/>
      </c>
      <c r="P7" s="426">
        <f>[1]開支總表!F15</f>
        <v/>
      </c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</row>
    <row r="8" s="327">
      <c r="A8" s="9" t="n"/>
      <c r="B8" s="31" t="inlineStr">
        <is>
          <t>试听课单课时成本</t>
        </is>
      </c>
      <c r="C8" s="20" t="n">
        <v>83.03</v>
      </c>
      <c r="D8" s="21" t="n">
        <v>74.31</v>
      </c>
      <c r="E8" s="9" t="n"/>
      <c r="F8" s="22" t="inlineStr">
        <is>
          <t>入場人數</t>
        </is>
      </c>
      <c r="G8" s="9" t="n"/>
      <c r="H8" s="41" t="n">
        <v>300000</v>
      </c>
      <c r="I8" s="41" t="n">
        <v>380000</v>
      </c>
      <c r="J8" s="41" t="n">
        <v>150000</v>
      </c>
      <c r="K8" s="41" t="n">
        <v>150000</v>
      </c>
      <c r="L8" s="41" t="n">
        <v>300000</v>
      </c>
      <c r="M8" s="41" t="n">
        <v>50000</v>
      </c>
      <c r="N8" s="41" t="n">
        <v>50000</v>
      </c>
      <c r="O8" s="41" t="n">
        <v>50000</v>
      </c>
      <c r="P8" s="41" t="n">
        <v>50000</v>
      </c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</row>
    <row r="9" s="327">
      <c r="A9" s="8" t="n"/>
      <c r="B9" s="423" t="inlineStr">
        <is>
          <t>单例子市场运营人工及日常成本</t>
        </is>
      </c>
      <c r="C9" s="44" t="n">
        <v>100</v>
      </c>
      <c r="D9" s="44" t="n">
        <v>100</v>
      </c>
      <c r="E9" s="8" t="n"/>
      <c r="F9" s="22" t="inlineStr">
        <is>
          <t>主投</t>
        </is>
      </c>
      <c r="G9" s="9" t="inlineStr">
        <is>
          <t>例子数</t>
        </is>
      </c>
      <c r="H9" s="427" t="n">
        <v>420</v>
      </c>
      <c r="I9" s="428" t="n">
        <v>360</v>
      </c>
      <c r="J9" s="428" t="n">
        <v>235</v>
      </c>
      <c r="K9" s="428" t="n">
        <v>303</v>
      </c>
      <c r="L9" s="428" t="n">
        <v>301</v>
      </c>
      <c r="M9" s="428" t="n">
        <v>235</v>
      </c>
      <c r="N9" s="428" t="n">
        <v>328</v>
      </c>
      <c r="O9" s="428">
        <f>(M9+N9)/2</f>
        <v/>
      </c>
      <c r="P9" s="428">
        <f>O9</f>
        <v/>
      </c>
    </row>
    <row r="10" s="327">
      <c r="A10" s="8" t="n"/>
      <c r="B10" s="8" t="n"/>
      <c r="C10" s="8" t="n"/>
      <c r="D10" s="8" t="n"/>
      <c r="E10" s="8" t="n"/>
      <c r="F10" s="22" t="inlineStr">
        <is>
          <t>主投</t>
        </is>
      </c>
      <c r="G10" s="9" t="inlineStr">
        <is>
          <t>例子分发率</t>
        </is>
      </c>
      <c r="H10" s="49">
        <f>H14/H9</f>
        <v/>
      </c>
      <c r="I10" s="49">
        <f>H10</f>
        <v/>
      </c>
      <c r="J10" s="49">
        <f>H10</f>
        <v/>
      </c>
      <c r="K10" s="49">
        <f>I10</f>
        <v/>
      </c>
      <c r="L10" s="49">
        <f>K10</f>
        <v/>
      </c>
      <c r="M10" s="49">
        <f>K10</f>
        <v/>
      </c>
      <c r="N10" s="49">
        <f>L10</f>
        <v/>
      </c>
      <c r="O10" s="49">
        <f>M10</f>
        <v/>
      </c>
      <c r="P10" s="49">
        <f>N10</f>
        <v/>
      </c>
    </row>
    <row r="11" s="327">
      <c r="A11" s="8" t="n"/>
      <c r="B11" s="8" t="n"/>
      <c r="C11" s="8" t="n"/>
      <c r="D11" s="8" t="n"/>
      <c r="E11" s="8" t="n"/>
      <c r="F11" s="22" t="inlineStr">
        <is>
          <t>主投</t>
        </is>
      </c>
      <c r="G11" s="9" t="inlineStr">
        <is>
          <t>例子到课率</t>
        </is>
      </c>
      <c r="H11" s="49">
        <f>H15/H9</f>
        <v/>
      </c>
      <c r="I11" s="52" t="n">
        <v>0.517</v>
      </c>
      <c r="J11" s="52" t="n">
        <v>0.51</v>
      </c>
      <c r="K11" s="52">
        <f>82.8%*86.9%</f>
        <v/>
      </c>
      <c r="L11" s="52">
        <f>77.7%*77.8%</f>
        <v/>
      </c>
      <c r="M11" s="52" t="n">
        <v>0.535</v>
      </c>
      <c r="N11" s="52" t="n">
        <v>0.52</v>
      </c>
      <c r="O11" s="52">
        <f>(M11+N11)/2</f>
        <v/>
      </c>
      <c r="P11" s="52">
        <f>O11</f>
        <v/>
      </c>
    </row>
    <row r="12" s="327">
      <c r="A12" s="8" t="n"/>
      <c r="B12" s="8" t="n"/>
      <c r="C12" s="8" t="n"/>
      <c r="D12" s="8" t="inlineStr"/>
      <c r="E12" s="8" t="n"/>
      <c r="F12" s="22" t="inlineStr">
        <is>
          <t>主投</t>
        </is>
      </c>
      <c r="G12" s="9" t="inlineStr">
        <is>
          <t>滚动转化率</t>
        </is>
      </c>
      <c r="H12" s="56">
        <f>H16/H9</f>
        <v/>
      </c>
      <c r="I12" s="52" t="n">
        <v>0.094</v>
      </c>
      <c r="J12" s="52" t="n">
        <v>0.08500000000000001</v>
      </c>
      <c r="K12" s="52" t="n">
        <v>0.139</v>
      </c>
      <c r="L12" s="52" t="n">
        <v>0.09</v>
      </c>
      <c r="M12" s="52" t="n">
        <v>0.08500000000000001</v>
      </c>
      <c r="N12" s="52" t="n">
        <v>0.052</v>
      </c>
      <c r="O12" s="52">
        <f>(M12+N12)/2</f>
        <v/>
      </c>
      <c r="P12" s="52">
        <f>O12</f>
        <v/>
      </c>
    </row>
    <row r="13" s="327">
      <c r="A13" s="8" t="n"/>
      <c r="B13" s="8" t="n"/>
      <c r="C13" s="8" t="n"/>
      <c r="D13" s="8" t="n"/>
      <c r="E13" s="8" t="n"/>
      <c r="F13" s="22" t="inlineStr">
        <is>
          <t>主投</t>
        </is>
      </c>
      <c r="G13" s="9" t="inlineStr">
        <is>
          <t>ASP</t>
        </is>
      </c>
      <c r="H13" s="429">
        <f>H17/H16</f>
        <v/>
      </c>
      <c r="I13" s="427" t="n">
        <v>3943</v>
      </c>
      <c r="J13" s="427" t="n">
        <v>4444</v>
      </c>
      <c r="K13" s="427" t="n">
        <v>4220</v>
      </c>
      <c r="L13" s="427" t="n">
        <v>4898</v>
      </c>
      <c r="M13" s="427" t="n">
        <v>4444</v>
      </c>
      <c r="N13" s="427" t="n">
        <v>4329</v>
      </c>
      <c r="O13" s="427" t="n">
        <v>4444</v>
      </c>
      <c r="P13" s="427" t="n">
        <v>4444</v>
      </c>
    </row>
    <row r="14" s="327">
      <c r="A14" s="8" t="n"/>
      <c r="B14" s="8" t="n"/>
      <c r="C14" s="8" t="n"/>
      <c r="D14" s="8" t="n"/>
      <c r="E14" s="8" t="n"/>
      <c r="F14" s="22" t="inlineStr">
        <is>
          <t>主投</t>
        </is>
      </c>
      <c r="G14" s="9" t="inlineStr">
        <is>
          <t>分发数</t>
        </is>
      </c>
      <c r="H14" s="430" t="n">
        <v>416</v>
      </c>
      <c r="I14" s="430">
        <f>I$9*I10</f>
        <v/>
      </c>
      <c r="J14" s="430">
        <f>J$9*J10</f>
        <v/>
      </c>
      <c r="K14" s="430">
        <f>K$9*K10</f>
        <v/>
      </c>
      <c r="L14" s="430">
        <f>L$9*L10</f>
        <v/>
      </c>
      <c r="M14" s="430">
        <f>M$9*M10</f>
        <v/>
      </c>
      <c r="N14" s="430">
        <f>N$9*N10</f>
        <v/>
      </c>
      <c r="O14" s="430">
        <f>O$9*O10</f>
        <v/>
      </c>
      <c r="P14" s="430">
        <f>P$9*P10</f>
        <v/>
      </c>
    </row>
    <row r="15" s="327">
      <c r="A15" s="8" t="n"/>
      <c r="B15" s="8" t="n"/>
      <c r="C15" s="8" t="n"/>
      <c r="D15" s="8" t="n"/>
      <c r="E15" s="8" t="n"/>
      <c r="F15" s="22" t="inlineStr">
        <is>
          <t>主投</t>
        </is>
      </c>
      <c r="G15" s="9" t="inlineStr">
        <is>
          <t>到课数</t>
        </is>
      </c>
      <c r="H15" s="430" t="n">
        <v>281</v>
      </c>
      <c r="I15" s="430">
        <f>I$9*I11</f>
        <v/>
      </c>
      <c r="J15" s="430">
        <f>J$9*J11</f>
        <v/>
      </c>
      <c r="K15" s="430">
        <f>K$9*K11</f>
        <v/>
      </c>
      <c r="L15" s="430">
        <f>L$9*L11</f>
        <v/>
      </c>
      <c r="M15" s="430">
        <f>M$9*M11</f>
        <v/>
      </c>
      <c r="N15" s="430">
        <f>N$9*N11</f>
        <v/>
      </c>
      <c r="O15" s="430">
        <f>O$9*O11</f>
        <v/>
      </c>
      <c r="P15" s="430">
        <f>P$9*P11</f>
        <v/>
      </c>
    </row>
    <row r="16" s="327">
      <c r="A16" s="8" t="n"/>
      <c r="B16" s="8" t="n"/>
      <c r="C16" s="8" t="n"/>
      <c r="D16" s="8" t="n"/>
      <c r="E16" s="8" t="n"/>
      <c r="F16" s="22" t="inlineStr">
        <is>
          <t>主投</t>
        </is>
      </c>
      <c r="G16" s="9" t="inlineStr">
        <is>
          <t>转化数</t>
        </is>
      </c>
      <c r="H16" s="430" t="n">
        <v>43</v>
      </c>
      <c r="I16" s="430">
        <f>I$9*I12</f>
        <v/>
      </c>
      <c r="J16" s="430">
        <f>J$9*J12</f>
        <v/>
      </c>
      <c r="K16" s="430">
        <f>K$9*K12</f>
        <v/>
      </c>
      <c r="L16" s="430">
        <f>L$9*L12</f>
        <v/>
      </c>
      <c r="M16" s="430">
        <f>M$9*M12</f>
        <v/>
      </c>
      <c r="N16" s="430">
        <f>N$9*N12</f>
        <v/>
      </c>
      <c r="O16" s="430">
        <f>O$9*O12</f>
        <v/>
      </c>
      <c r="P16" s="430">
        <f>P$9*P12</f>
        <v/>
      </c>
    </row>
    <row r="17" s="327">
      <c r="A17" s="8" t="n"/>
      <c r="B17" s="430" t="n"/>
      <c r="C17" s="8" t="n"/>
      <c r="D17" s="8" t="n"/>
      <c r="E17" s="8" t="n"/>
      <c r="F17" s="22" t="inlineStr">
        <is>
          <t>主投</t>
        </is>
      </c>
      <c r="G17" s="9" t="inlineStr">
        <is>
          <t>GMV</t>
        </is>
      </c>
      <c r="H17" s="430" t="n">
        <v>181744</v>
      </c>
      <c r="I17" s="430">
        <f>I13*I16</f>
        <v/>
      </c>
      <c r="J17" s="430">
        <f>J13*J16</f>
        <v/>
      </c>
      <c r="K17" s="430">
        <f>K13*K16</f>
        <v/>
      </c>
      <c r="L17" s="430">
        <f>L13*L16</f>
        <v/>
      </c>
      <c r="M17" s="430">
        <f>M13*M16</f>
        <v/>
      </c>
      <c r="N17" s="430">
        <f>N13*N16</f>
        <v/>
      </c>
      <c r="O17" s="430">
        <f>O13*O16</f>
        <v/>
      </c>
      <c r="P17" s="430">
        <f>P13*P16</f>
        <v/>
      </c>
    </row>
    <row r="18" s="327">
      <c r="A18" s="8" t="n"/>
      <c r="B18" s="8" t="n"/>
      <c r="C18" s="8" t="n"/>
      <c r="D18" s="8" t="n"/>
      <c r="E18" s="8" t="n"/>
      <c r="F18" s="22" t="inlineStr">
        <is>
          <t>主投</t>
        </is>
      </c>
      <c r="G18" s="9" t="inlineStr">
        <is>
          <t>ROI 2成本项</t>
        </is>
      </c>
      <c r="H18" s="430">
        <f>SUM(H19:H23)+H7</f>
        <v/>
      </c>
      <c r="I18" s="430">
        <f>SUM(I19:I23)+I7</f>
        <v/>
      </c>
      <c r="J18" s="430">
        <f>SUM(J19:J23)+J7</f>
        <v/>
      </c>
      <c r="K18" s="430">
        <f>SUM(K19:K23)+K7</f>
        <v/>
      </c>
      <c r="L18" s="430">
        <f>SUM(L19:L23)+L7</f>
        <v/>
      </c>
      <c r="M18" s="430">
        <f>SUM(M19:M23)+M7</f>
        <v/>
      </c>
      <c r="N18" s="430">
        <f>SUM(N19:N23)+N7</f>
        <v/>
      </c>
      <c r="O18" s="430">
        <f>SUM(O19:O23)+O7</f>
        <v/>
      </c>
      <c r="P18" s="430">
        <f>SUM(P19:P23)+P7</f>
        <v/>
      </c>
    </row>
    <row r="19" s="327">
      <c r="A19" s="8" t="n"/>
      <c r="B19" s="8" t="n"/>
      <c r="C19" s="8" t="n"/>
      <c r="D19" s="8" t="n"/>
      <c r="E19" s="8" t="n"/>
      <c r="F19" s="22" t="inlineStr">
        <is>
          <t>主投</t>
        </is>
      </c>
      <c r="G19" s="9" t="inlineStr">
        <is>
          <t>销售固定成本</t>
        </is>
      </c>
      <c r="H19" s="430">
        <f>H14*$C$4</f>
        <v/>
      </c>
      <c r="I19" s="430">
        <f>I14*$C$4</f>
        <v/>
      </c>
      <c r="J19" s="430">
        <f>J14*$C$4</f>
        <v/>
      </c>
      <c r="K19" s="430">
        <f>K14*$C$4</f>
        <v/>
      </c>
      <c r="L19" s="430">
        <f>L14*$C$4</f>
        <v/>
      </c>
      <c r="M19" s="430">
        <f>M14*$C$4</f>
        <v/>
      </c>
      <c r="N19" s="430">
        <f>N14*$C$4</f>
        <v/>
      </c>
      <c r="O19" s="430">
        <f>O14*$C$4</f>
        <v/>
      </c>
      <c r="P19" s="430">
        <f>P14*$C$4</f>
        <v/>
      </c>
    </row>
    <row r="20" s="327">
      <c r="A20" s="8" t="n"/>
      <c r="B20" s="8" t="n"/>
      <c r="C20" s="8" t="n"/>
      <c r="D20" s="8" t="n"/>
      <c r="E20" s="8" t="n"/>
      <c r="F20" s="22" t="inlineStr">
        <is>
          <t>主投</t>
        </is>
      </c>
      <c r="G20" s="9" t="inlineStr">
        <is>
          <t>销售变动成本</t>
        </is>
      </c>
      <c r="H20" s="430">
        <f>H17*($C$6+$C$7)</f>
        <v/>
      </c>
      <c r="I20" s="430">
        <f>I17*($C$6+$C$7)</f>
        <v/>
      </c>
      <c r="J20" s="430">
        <f>J17*($C$6+$C$7)</f>
        <v/>
      </c>
      <c r="K20" s="430">
        <f>K17*($C$6+$C$7)</f>
        <v/>
      </c>
      <c r="L20" s="430">
        <f>L17*($C$6+$C$7)</f>
        <v/>
      </c>
      <c r="M20" s="430">
        <f>M17*($C$6+$C$7)</f>
        <v/>
      </c>
      <c r="N20" s="430">
        <f>N17*($C$6+$C$7)</f>
        <v/>
      </c>
      <c r="O20" s="430">
        <f>O17*($C$6+$C$7)</f>
        <v/>
      </c>
      <c r="P20" s="430">
        <f>P17*($C$6+$C$7)</f>
        <v/>
      </c>
    </row>
    <row r="21" s="327">
      <c r="A21" s="8" t="n"/>
      <c r="B21" s="8" t="n"/>
      <c r="C21" s="8" t="n"/>
      <c r="D21" s="8" t="n"/>
      <c r="E21" s="8" t="n"/>
      <c r="F21" s="22" t="inlineStr">
        <is>
          <t>主投</t>
        </is>
      </c>
      <c r="G21" s="9" t="inlineStr">
        <is>
          <t>TMK费用</t>
        </is>
      </c>
      <c r="H21" s="430">
        <f>H9*$C$5</f>
        <v/>
      </c>
      <c r="I21" s="430">
        <f>I9*$C$5</f>
        <v/>
      </c>
      <c r="J21" s="430">
        <f>J9*$C$5</f>
        <v/>
      </c>
      <c r="K21" s="430">
        <f>K9*$C$5</f>
        <v/>
      </c>
      <c r="L21" s="430">
        <f>L9*$C$5</f>
        <v/>
      </c>
      <c r="M21" s="430">
        <f>M9*$C$5</f>
        <v/>
      </c>
      <c r="N21" s="430">
        <f>N9*$C$5</f>
        <v/>
      </c>
      <c r="O21" s="430">
        <f>O9*$C$5</f>
        <v/>
      </c>
      <c r="P21" s="430">
        <f>P9*$C$5</f>
        <v/>
      </c>
    </row>
    <row r="22" s="327">
      <c r="A22" s="8" t="n"/>
      <c r="B22" s="8" t="n"/>
      <c r="C22" s="8" t="n"/>
      <c r="D22" s="8" t="n"/>
      <c r="E22" s="8" t="n"/>
      <c r="F22" s="22" t="inlineStr">
        <is>
          <t>主投</t>
        </is>
      </c>
      <c r="G22" s="9" t="inlineStr">
        <is>
          <t>DEMO费用</t>
        </is>
      </c>
      <c r="H22" s="430">
        <f>H14*$C$8</f>
        <v/>
      </c>
      <c r="I22" s="430">
        <f>I15*$C$8</f>
        <v/>
      </c>
      <c r="J22" s="430">
        <f>J15*$C$8</f>
        <v/>
      </c>
      <c r="K22" s="430">
        <f>K15*$C$8</f>
        <v/>
      </c>
      <c r="L22" s="430">
        <f>L15*$C$8</f>
        <v/>
      </c>
      <c r="M22" s="430">
        <f>M15*$C$8</f>
        <v/>
      </c>
      <c r="N22" s="430">
        <f>N15*$C$8</f>
        <v/>
      </c>
      <c r="O22" s="430">
        <f>O15*$C$8</f>
        <v/>
      </c>
      <c r="P22" s="430">
        <f>P15*$C$8</f>
        <v/>
      </c>
    </row>
    <row r="23" s="327">
      <c r="A23" s="8" t="n"/>
      <c r="B23" s="8" t="n"/>
      <c r="C23" s="8" t="n"/>
      <c r="D23" s="8" t="n"/>
      <c r="E23" s="8" t="n"/>
      <c r="F23" s="22" t="inlineStr">
        <is>
          <t>主投</t>
        </is>
      </c>
      <c r="G23" s="9" t="inlineStr">
        <is>
          <t>运营人工成本</t>
        </is>
      </c>
      <c r="H23" s="430">
        <f>H9*$C$9/2</f>
        <v/>
      </c>
      <c r="I23" s="430">
        <f>I9*$C$9/2</f>
        <v/>
      </c>
      <c r="J23" s="430">
        <f>J9*$C$9/2</f>
        <v/>
      </c>
      <c r="K23" s="430">
        <f>K9*$C$9/2</f>
        <v/>
      </c>
      <c r="L23" s="430">
        <f>L9*$C$9/2</f>
        <v/>
      </c>
      <c r="M23" s="430">
        <f>M9*$C$9/2</f>
        <v/>
      </c>
      <c r="N23" s="430">
        <f>N9*$C$9/2</f>
        <v/>
      </c>
      <c r="O23" s="430">
        <f>O9*$C$9/2</f>
        <v/>
      </c>
      <c r="P23" s="430">
        <f>P9*$C$9/2</f>
        <v/>
      </c>
    </row>
    <row r="24" s="327">
      <c r="A24" s="8" t="n"/>
      <c r="B24" s="8" t="n"/>
      <c r="C24" s="8" t="n"/>
      <c r="D24" s="8" t="n"/>
      <c r="E24" s="8" t="n"/>
      <c r="F24" s="22" t="inlineStr">
        <is>
          <t>主投</t>
        </is>
      </c>
      <c r="G24" s="9" t="inlineStr">
        <is>
          <t>ROI 2</t>
        </is>
      </c>
      <c r="H24" s="431">
        <f>H17/H18</f>
        <v/>
      </c>
      <c r="I24" s="431">
        <f>I17/I18</f>
        <v/>
      </c>
      <c r="J24" s="431">
        <f>J17/J18</f>
        <v/>
      </c>
      <c r="K24" s="431">
        <f>K17/K18</f>
        <v/>
      </c>
      <c r="L24" s="431">
        <f>L17/L18</f>
        <v/>
      </c>
      <c r="M24" s="431">
        <f>M17/M18</f>
        <v/>
      </c>
      <c r="N24" s="431">
        <f>N17/N18</f>
        <v/>
      </c>
      <c r="O24" s="431">
        <f>O17/O18</f>
        <v/>
      </c>
      <c r="P24" s="431">
        <f>P17/P18</f>
        <v/>
      </c>
    </row>
    <row r="25" s="327">
      <c r="A25" s="9" t="n"/>
      <c r="B25" s="9" t="n"/>
      <c r="C25" s="9" t="n"/>
      <c r="D25" s="9" t="n"/>
      <c r="E25" s="9" t="n"/>
      <c r="F25" s="22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</row>
    <row r="26" s="327">
      <c r="A26" s="8" t="n"/>
      <c r="B26" s="8" t="n"/>
      <c r="C26" s="8" t="n"/>
      <c r="D26" s="8" t="n"/>
      <c r="E26" s="8" t="n"/>
      <c r="F26" s="22" t="inlineStr">
        <is>
          <t>辅投</t>
        </is>
      </c>
      <c r="G26" s="9" t="inlineStr">
        <is>
          <t>联投率</t>
        </is>
      </c>
      <c r="H26" s="432">
        <f>H27/H9</f>
        <v/>
      </c>
      <c r="I26" s="432" t="n">
        <v>0.85</v>
      </c>
      <c r="J26" s="432" t="n">
        <v>0.85</v>
      </c>
      <c r="K26" s="432" t="n">
        <v>0.85</v>
      </c>
      <c r="L26" s="432" t="n">
        <v>0.85</v>
      </c>
      <c r="M26" s="432" t="n"/>
      <c r="N26" s="432" t="n"/>
      <c r="O26" s="432" t="n"/>
      <c r="P26" s="432" t="n"/>
    </row>
    <row r="27" s="327">
      <c r="A27" s="8" t="n"/>
      <c r="B27" s="8" t="n"/>
      <c r="C27" s="8" t="n"/>
      <c r="D27" s="8" t="n"/>
      <c r="E27" s="8" t="n"/>
      <c r="F27" s="22" t="inlineStr">
        <is>
          <t>辅投</t>
        </is>
      </c>
      <c r="G27" s="9" t="inlineStr">
        <is>
          <t>例子数</t>
        </is>
      </c>
      <c r="H27" s="430" t="n">
        <v>419</v>
      </c>
      <c r="I27" s="430">
        <f>I9*I26</f>
        <v/>
      </c>
      <c r="J27" s="430">
        <f>J9*J26</f>
        <v/>
      </c>
      <c r="K27" s="430">
        <f>K9*K26</f>
        <v/>
      </c>
      <c r="L27" s="430">
        <f>L9*L26</f>
        <v/>
      </c>
      <c r="M27" s="430" t="n"/>
      <c r="N27" s="430" t="n"/>
      <c r="O27" s="430" t="n"/>
      <c r="P27" s="430" t="n"/>
    </row>
    <row r="28" s="327">
      <c r="A28" s="8" t="n"/>
      <c r="B28" s="8" t="n"/>
      <c r="C28" s="8" t="n"/>
      <c r="D28" s="8" t="n"/>
      <c r="E28" s="8" t="n"/>
      <c r="F28" s="22" t="inlineStr">
        <is>
          <t>辅投</t>
        </is>
      </c>
      <c r="G28" s="9" t="inlineStr">
        <is>
          <t>例子分发率</t>
        </is>
      </c>
      <c r="H28" s="67">
        <f>H32/H27</f>
        <v/>
      </c>
      <c r="I28" s="67" t="n">
        <v>0.39</v>
      </c>
      <c r="J28" s="67" t="n">
        <v>0.5</v>
      </c>
      <c r="K28" s="67" t="n">
        <v>0.5</v>
      </c>
      <c r="L28" s="67" t="n">
        <v>0.47</v>
      </c>
      <c r="M28" s="67" t="n"/>
      <c r="N28" s="67" t="n"/>
      <c r="O28" s="67" t="n"/>
      <c r="P28" s="67" t="n"/>
    </row>
    <row r="29" s="327">
      <c r="A29" s="8" t="n"/>
      <c r="B29" s="8" t="n"/>
      <c r="C29" s="8" t="n"/>
      <c r="D29" s="8" t="n"/>
      <c r="E29" s="8" t="n"/>
      <c r="F29" s="22" t="inlineStr">
        <is>
          <t>辅投</t>
        </is>
      </c>
      <c r="G29" s="9" t="inlineStr">
        <is>
          <t>例子到课率</t>
        </is>
      </c>
      <c r="H29" s="67">
        <f>H33/H27</f>
        <v/>
      </c>
      <c r="I29" s="69" t="n">
        <v>0.28</v>
      </c>
      <c r="J29" s="69" t="n">
        <v>0.29</v>
      </c>
      <c r="K29" s="69" t="n">
        <v>0.44</v>
      </c>
      <c r="L29" s="69" t="n">
        <v>0.34</v>
      </c>
      <c r="M29" s="69" t="n"/>
      <c r="N29" s="69" t="n"/>
      <c r="O29" s="69" t="n"/>
      <c r="P29" s="69" t="n"/>
    </row>
    <row r="30" s="327">
      <c r="A30" s="8" t="n"/>
      <c r="B30" s="8" t="n"/>
      <c r="C30" s="8" t="n"/>
      <c r="D30" s="8" t="n"/>
      <c r="E30" s="8" t="n"/>
      <c r="F30" s="22" t="inlineStr">
        <is>
          <t>辅投</t>
        </is>
      </c>
      <c r="G30" s="9" t="inlineStr">
        <is>
          <t>滚动转化率</t>
        </is>
      </c>
      <c r="H30" s="71">
        <f>H34/H27</f>
        <v/>
      </c>
      <c r="I30" s="72">
        <f>H30</f>
        <v/>
      </c>
      <c r="J30" s="72" t="n">
        <v>0.043</v>
      </c>
      <c r="K30" s="72" t="n">
        <v>0.032</v>
      </c>
      <c r="L30" s="72" t="n">
        <v>0.016</v>
      </c>
      <c r="M30" s="72" t="n"/>
      <c r="N30" s="72" t="n"/>
      <c r="O30" s="72" t="n"/>
      <c r="P30" s="72" t="n"/>
    </row>
    <row r="31" s="327">
      <c r="A31" s="8" t="n"/>
      <c r="B31" s="8" t="n"/>
      <c r="C31" s="8" t="n"/>
      <c r="D31" s="8" t="n"/>
      <c r="E31" s="8" t="n"/>
      <c r="F31" s="22" t="inlineStr">
        <is>
          <t>辅投</t>
        </is>
      </c>
      <c r="G31" s="9" t="inlineStr">
        <is>
          <t>ASP</t>
        </is>
      </c>
      <c r="H31" s="433">
        <f>H35/H34</f>
        <v/>
      </c>
      <c r="I31" s="434" t="n">
        <v>3045</v>
      </c>
      <c r="J31" s="434" t="n">
        <v>2837</v>
      </c>
      <c r="K31" s="434" t="n">
        <v>3588</v>
      </c>
      <c r="L31" s="434" t="n">
        <v>4568</v>
      </c>
      <c r="M31" s="434" t="n"/>
      <c r="N31" s="434" t="n"/>
      <c r="O31" s="434" t="n"/>
      <c r="P31" s="434" t="n"/>
    </row>
    <row r="32" s="327">
      <c r="A32" s="8" t="n"/>
      <c r="B32" s="8" t="n"/>
      <c r="C32" s="8" t="n"/>
      <c r="D32" s="8" t="n"/>
      <c r="E32" s="8" t="n"/>
      <c r="F32" s="22" t="inlineStr">
        <is>
          <t>辅投</t>
        </is>
      </c>
      <c r="G32" s="9" t="inlineStr">
        <is>
          <t>分发数</t>
        </is>
      </c>
      <c r="H32" s="430" t="n">
        <v>418</v>
      </c>
      <c r="I32" s="430">
        <f>I$27*I28</f>
        <v/>
      </c>
      <c r="J32" s="430">
        <f>J$27*J28</f>
        <v/>
      </c>
      <c r="K32" s="430">
        <f>K$27*K28</f>
        <v/>
      </c>
      <c r="L32" s="430">
        <f>L$27*L28</f>
        <v/>
      </c>
      <c r="M32" s="430">
        <f>M$27*M28</f>
        <v/>
      </c>
      <c r="N32" s="430">
        <f>N$27*N28</f>
        <v/>
      </c>
      <c r="O32" s="430">
        <f>O$27*O28</f>
        <v/>
      </c>
      <c r="P32" s="430">
        <f>P$27*P28</f>
        <v/>
      </c>
    </row>
    <row r="33" s="327">
      <c r="A33" s="8" t="n"/>
      <c r="B33" s="8" t="n"/>
      <c r="C33" s="8" t="n"/>
      <c r="D33" s="8" t="n"/>
      <c r="E33" s="8" t="n"/>
      <c r="F33" s="22" t="inlineStr">
        <is>
          <t>辅投</t>
        </is>
      </c>
      <c r="G33" s="9" t="inlineStr">
        <is>
          <t>到课数</t>
        </is>
      </c>
      <c r="H33" s="430" t="n">
        <v>161</v>
      </c>
      <c r="I33" s="430">
        <f>I$27*I29</f>
        <v/>
      </c>
      <c r="J33" s="430">
        <f>J$27*J29</f>
        <v/>
      </c>
      <c r="K33" s="430">
        <f>K$27*K29</f>
        <v/>
      </c>
      <c r="L33" s="430">
        <f>L$27*L29</f>
        <v/>
      </c>
      <c r="M33" s="430">
        <f>M$27*M29</f>
        <v/>
      </c>
      <c r="N33" s="430">
        <f>N$27*N29</f>
        <v/>
      </c>
      <c r="O33" s="430">
        <f>O$27*O29</f>
        <v/>
      </c>
      <c r="P33" s="430">
        <f>P$27*P29</f>
        <v/>
      </c>
    </row>
    <row r="34" s="327">
      <c r="A34" s="8" t="n"/>
      <c r="B34" s="8" t="n"/>
      <c r="C34" s="8" t="n"/>
      <c r="D34" s="8" t="n"/>
      <c r="E34" s="8" t="n"/>
      <c r="F34" s="22" t="inlineStr">
        <is>
          <t>辅投</t>
        </is>
      </c>
      <c r="G34" s="9" t="inlineStr">
        <is>
          <t>转化数</t>
        </is>
      </c>
      <c r="H34" s="430" t="n">
        <v>12</v>
      </c>
      <c r="I34" s="430">
        <f>I$27*I30</f>
        <v/>
      </c>
      <c r="J34" s="430">
        <f>J$27*J30</f>
        <v/>
      </c>
      <c r="K34" s="430">
        <f>K$27*K30</f>
        <v/>
      </c>
      <c r="L34" s="430">
        <f>L$27*L30</f>
        <v/>
      </c>
      <c r="M34" s="430">
        <f>M$27*M30</f>
        <v/>
      </c>
      <c r="N34" s="430">
        <f>N$27*N30</f>
        <v/>
      </c>
      <c r="O34" s="430">
        <f>O$27*O30</f>
        <v/>
      </c>
      <c r="P34" s="430">
        <f>P$27*P30</f>
        <v/>
      </c>
    </row>
    <row r="35" s="327">
      <c r="A35" s="8" t="n"/>
      <c r="B35" s="8" t="n"/>
      <c r="C35" s="8" t="n"/>
      <c r="D35" s="8" t="n"/>
      <c r="E35" s="8" t="n"/>
      <c r="F35" s="22" t="inlineStr">
        <is>
          <t>辅投</t>
        </is>
      </c>
      <c r="G35" s="9" t="inlineStr">
        <is>
          <t>GMV</t>
        </is>
      </c>
      <c r="H35" s="430" t="n">
        <v>37457</v>
      </c>
      <c r="I35" s="430">
        <f>I31*I34</f>
        <v/>
      </c>
      <c r="J35" s="430">
        <f>J31*J34</f>
        <v/>
      </c>
      <c r="K35" s="430">
        <f>K31*K34</f>
        <v/>
      </c>
      <c r="L35" s="430">
        <f>L31*L34</f>
        <v/>
      </c>
      <c r="M35" s="430">
        <f>M31*M34</f>
        <v/>
      </c>
      <c r="N35" s="430">
        <f>N31*N34</f>
        <v/>
      </c>
      <c r="O35" s="430">
        <f>O31*O34</f>
        <v/>
      </c>
      <c r="P35" s="430">
        <f>P31*P34</f>
        <v/>
      </c>
    </row>
    <row r="36" s="327">
      <c r="A36" s="8" t="n"/>
      <c r="B36" s="8" t="n"/>
      <c r="C36" s="8" t="n"/>
      <c r="D36" s="8" t="n"/>
      <c r="E36" s="8" t="n"/>
      <c r="F36" s="22" t="inlineStr">
        <is>
          <t>辅投</t>
        </is>
      </c>
      <c r="G36" s="9" t="inlineStr">
        <is>
          <t>ROI 2成本项</t>
        </is>
      </c>
      <c r="H36" s="430">
        <f>SUM(H37:H41)</f>
        <v/>
      </c>
      <c r="I36" s="430">
        <f>SUM(I37:I41)</f>
        <v/>
      </c>
      <c r="J36" s="430">
        <f>SUM(J37:J41)</f>
        <v/>
      </c>
      <c r="K36" s="430">
        <f>SUM(K37:K41)</f>
        <v/>
      </c>
      <c r="L36" s="430">
        <f>SUM(L37:L41)</f>
        <v/>
      </c>
      <c r="M36" s="430">
        <f>SUM(M37:M41)</f>
        <v/>
      </c>
      <c r="N36" s="430">
        <f>SUM(N37:N41)</f>
        <v/>
      </c>
      <c r="O36" s="430">
        <f>SUM(O37:O41)</f>
        <v/>
      </c>
      <c r="P36" s="430">
        <f>SUM(P37:P41)</f>
        <v/>
      </c>
    </row>
    <row r="37" s="327">
      <c r="A37" s="8" t="n"/>
      <c r="B37" s="8" t="n"/>
      <c r="C37" s="8" t="n"/>
      <c r="D37" s="8" t="n"/>
      <c r="E37" s="8" t="n"/>
      <c r="F37" s="22" t="inlineStr">
        <is>
          <t>辅投</t>
        </is>
      </c>
      <c r="G37" s="9" t="inlineStr">
        <is>
          <t>销售固定成本</t>
        </is>
      </c>
      <c r="H37" s="430">
        <f>H32*$D$4</f>
        <v/>
      </c>
      <c r="I37" s="430">
        <f>I32*$D$4</f>
        <v/>
      </c>
      <c r="J37" s="430">
        <f>J32*$D$4</f>
        <v/>
      </c>
      <c r="K37" s="430">
        <f>K32*$D$4</f>
        <v/>
      </c>
      <c r="L37" s="430">
        <f>L32*$D$4</f>
        <v/>
      </c>
      <c r="M37" s="430">
        <f>M32*$D$4</f>
        <v/>
      </c>
      <c r="N37" s="430">
        <f>N32*$D$4</f>
        <v/>
      </c>
      <c r="O37" s="430">
        <f>O32*$D$4</f>
        <v/>
      </c>
      <c r="P37" s="430">
        <f>P32*$D$4</f>
        <v/>
      </c>
    </row>
    <row r="38" s="327">
      <c r="A38" s="8" t="n"/>
      <c r="B38" s="8" t="n"/>
      <c r="C38" s="8" t="n"/>
      <c r="D38" s="8" t="n"/>
      <c r="E38" s="8" t="n"/>
      <c r="F38" s="22" t="inlineStr">
        <is>
          <t>辅投</t>
        </is>
      </c>
      <c r="G38" s="9" t="inlineStr">
        <is>
          <t>销售变动成本</t>
        </is>
      </c>
      <c r="H38" s="430">
        <f>H35*($D$6+$D$7)</f>
        <v/>
      </c>
      <c r="I38" s="430">
        <f>I35*($D$6+$D$7)</f>
        <v/>
      </c>
      <c r="J38" s="430">
        <f>J35*($D$6+$D$7)</f>
        <v/>
      </c>
      <c r="K38" s="430">
        <f>K35*($D$6+$D$7)</f>
        <v/>
      </c>
      <c r="L38" s="430">
        <f>L35*($D$6+$D$7)</f>
        <v/>
      </c>
      <c r="M38" s="430">
        <f>M35*($D$6+$D$7)</f>
        <v/>
      </c>
      <c r="N38" s="430">
        <f>N35*($D$6+$D$7)</f>
        <v/>
      </c>
      <c r="O38" s="430">
        <f>O35*($D$6+$D$7)</f>
        <v/>
      </c>
      <c r="P38" s="430">
        <f>P35*($D$6+$D$7)</f>
        <v/>
      </c>
    </row>
    <row r="39" s="327">
      <c r="A39" s="8" t="n"/>
      <c r="B39" s="8" t="n"/>
      <c r="C39" s="8" t="n"/>
      <c r="D39" s="8" t="n"/>
      <c r="E39" s="8" t="n"/>
      <c r="F39" s="22" t="inlineStr">
        <is>
          <t>辅投</t>
        </is>
      </c>
      <c r="G39" s="9" t="inlineStr">
        <is>
          <t>TMK费用</t>
        </is>
      </c>
      <c r="H39" s="430">
        <f>H27*$D$5</f>
        <v/>
      </c>
      <c r="I39" s="430">
        <f>I27*$D$5</f>
        <v/>
      </c>
      <c r="J39" s="430">
        <f>J27*$D$5</f>
        <v/>
      </c>
      <c r="K39" s="430">
        <f>K27*$D$5</f>
        <v/>
      </c>
      <c r="L39" s="430">
        <f>L27*$D$5</f>
        <v/>
      </c>
      <c r="M39" s="430">
        <f>M27*$D$5</f>
        <v/>
      </c>
      <c r="N39" s="430">
        <f>N27*$D$5</f>
        <v/>
      </c>
      <c r="O39" s="430">
        <f>O27*$D$5</f>
        <v/>
      </c>
      <c r="P39" s="430">
        <f>P27*$D$5</f>
        <v/>
      </c>
    </row>
    <row r="40" s="327">
      <c r="A40" s="8" t="n"/>
      <c r="B40" s="8" t="n"/>
      <c r="C40" s="8" t="n"/>
      <c r="D40" s="8" t="n"/>
      <c r="E40" s="8" t="n"/>
      <c r="F40" s="22" t="inlineStr">
        <is>
          <t>辅投</t>
        </is>
      </c>
      <c r="G40" s="9" t="inlineStr">
        <is>
          <t>DEMO费用</t>
        </is>
      </c>
      <c r="H40" s="430">
        <f>H32*$D$8</f>
        <v/>
      </c>
      <c r="I40" s="430">
        <f>I33*$D$8</f>
        <v/>
      </c>
      <c r="J40" s="430">
        <f>J33*$D$8</f>
        <v/>
      </c>
      <c r="K40" s="430">
        <f>K33*$D$8</f>
        <v/>
      </c>
      <c r="L40" s="430">
        <f>L33*$D$8</f>
        <v/>
      </c>
      <c r="M40" s="430">
        <f>M33*$D$8</f>
        <v/>
      </c>
      <c r="N40" s="430">
        <f>N33*$D$8</f>
        <v/>
      </c>
      <c r="O40" s="430">
        <f>O33*$D$8</f>
        <v/>
      </c>
      <c r="P40" s="430">
        <f>P33*$D$8</f>
        <v/>
      </c>
    </row>
    <row r="41" s="327">
      <c r="A41" s="8" t="n"/>
      <c r="B41" s="8" t="n"/>
      <c r="C41" s="8" t="n"/>
      <c r="D41" s="8" t="n"/>
      <c r="E41" s="8" t="n"/>
      <c r="F41" s="22" t="inlineStr">
        <is>
          <t>辅投</t>
        </is>
      </c>
      <c r="G41" s="9" t="inlineStr">
        <is>
          <t>运营人工成本</t>
        </is>
      </c>
      <c r="H41" s="430">
        <f>H27*$D$9/2</f>
        <v/>
      </c>
      <c r="I41" s="430">
        <f>I27*$D$9/2</f>
        <v/>
      </c>
      <c r="J41" s="430">
        <f>J27*$D$9/2</f>
        <v/>
      </c>
      <c r="K41" s="430">
        <f>K27*$D$9/2</f>
        <v/>
      </c>
      <c r="L41" s="430">
        <f>L27*$D$9/2</f>
        <v/>
      </c>
      <c r="M41" s="430">
        <f>M27*$D$9/2</f>
        <v/>
      </c>
      <c r="N41" s="430">
        <f>N27*$D$9/2</f>
        <v/>
      </c>
      <c r="O41" s="430">
        <f>O27*$D$9/2</f>
        <v/>
      </c>
      <c r="P41" s="430">
        <f>P27*$D$9/2</f>
        <v/>
      </c>
    </row>
    <row r="42" s="327">
      <c r="A42" s="8" t="n"/>
      <c r="B42" s="8" t="n"/>
      <c r="C42" s="8" t="n"/>
      <c r="D42" s="8" t="n"/>
      <c r="E42" s="8" t="n"/>
      <c r="F42" s="22" t="inlineStr">
        <is>
          <t>辅投</t>
        </is>
      </c>
      <c r="G42" s="9" t="inlineStr">
        <is>
          <t>ROI 2</t>
        </is>
      </c>
      <c r="H42" s="431">
        <f>H35/H36</f>
        <v/>
      </c>
      <c r="I42" s="431">
        <f>I35/I36</f>
        <v/>
      </c>
      <c r="J42" s="431">
        <f>J35/J36</f>
        <v/>
      </c>
      <c r="K42" s="431">
        <f>K35/K36</f>
        <v/>
      </c>
      <c r="L42" s="431">
        <f>L35/L36</f>
        <v/>
      </c>
      <c r="M42" s="431">
        <f>M35/M36</f>
        <v/>
      </c>
      <c r="N42" s="431">
        <f>N35/N36</f>
        <v/>
      </c>
      <c r="O42" s="431">
        <f>O35/O36</f>
        <v/>
      </c>
      <c r="P42" s="431">
        <f>P35/P36</f>
        <v/>
      </c>
    </row>
    <row r="43" s="327">
      <c r="A43" s="8" t="n"/>
      <c r="B43" s="8" t="n"/>
      <c r="C43" s="8" t="n"/>
      <c r="D43" s="8" t="n"/>
      <c r="E43" s="8" t="n"/>
      <c r="F43" s="9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 s="327">
      <c r="A44" s="8" t="n"/>
      <c r="B44" s="8" t="n"/>
      <c r="C44" s="8" t="n"/>
      <c r="D44" s="8" t="n"/>
      <c r="E44" s="8" t="n"/>
      <c r="F44" s="9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</row>
    <row r="45" s="327">
      <c r="A45" s="8" t="n"/>
      <c r="B45" s="8" t="n"/>
      <c r="C45" s="8" t="n"/>
      <c r="D45" s="8" t="n"/>
      <c r="E45" s="8" t="n"/>
      <c r="F45" s="9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 s="327">
      <c r="A46" s="8" t="n"/>
      <c r="B46" s="8" t="n"/>
      <c r="C46" s="8" t="n"/>
      <c r="D46" s="8" t="n"/>
      <c r="E46" s="8" t="n"/>
      <c r="F46" s="9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</row>
    <row r="47" s="327">
      <c r="A47" s="8" t="n"/>
      <c r="B47" s="8" t="n"/>
      <c r="C47" s="8" t="n"/>
      <c r="D47" s="8" t="n"/>
      <c r="E47" s="8" t="n"/>
      <c r="F47" s="9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</row>
    <row r="48" s="327">
      <c r="A48" s="8" t="n"/>
      <c r="B48" s="8" t="n"/>
      <c r="C48" s="8" t="n"/>
      <c r="D48" s="8" t="n"/>
      <c r="E48" s="8" t="n"/>
      <c r="F48" s="9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</row>
    <row r="49" s="327">
      <c r="A49" s="8" t="n"/>
      <c r="B49" s="8" t="n"/>
      <c r="C49" s="8" t="n"/>
      <c r="D49" s="8" t="n"/>
      <c r="E49" s="8" t="n"/>
      <c r="F49" s="9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</row>
    <row r="50" s="327">
      <c r="A50" s="8" t="n"/>
      <c r="B50" s="8" t="n"/>
      <c r="C50" s="8" t="n"/>
      <c r="D50" s="8" t="n"/>
      <c r="E50" s="8" t="n"/>
      <c r="F50" s="9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 s="327">
      <c r="A51" s="8" t="n"/>
      <c r="B51" s="8" t="n"/>
      <c r="C51" s="8" t="n"/>
      <c r="D51" s="8" t="n"/>
      <c r="E51" s="8" t="n"/>
      <c r="F51" s="9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 s="327">
      <c r="A52" s="8" t="n"/>
      <c r="B52" s="8" t="n"/>
      <c r="C52" s="8" t="n"/>
      <c r="D52" s="8" t="n"/>
      <c r="E52" s="8" t="n"/>
      <c r="F52" s="9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 s="327">
      <c r="A53" s="8" t="n"/>
      <c r="B53" s="8" t="n"/>
      <c r="C53" s="8" t="n"/>
      <c r="D53" s="8" t="n"/>
      <c r="E53" s="8" t="n"/>
      <c r="F53" s="9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 s="327">
      <c r="A54" s="8" t="n"/>
      <c r="B54" s="8" t="n"/>
      <c r="C54" s="8" t="n"/>
      <c r="D54" s="8" t="n"/>
      <c r="E54" s="8" t="n"/>
      <c r="F54" s="9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</row>
    <row r="55" s="327">
      <c r="A55" s="8" t="n"/>
      <c r="B55" s="8" t="n"/>
      <c r="C55" s="8" t="n"/>
      <c r="D55" s="8" t="n"/>
      <c r="E55" s="8" t="n"/>
      <c r="F55" s="9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 s="327">
      <c r="A56" s="8" t="n"/>
      <c r="B56" s="8" t="n"/>
      <c r="C56" s="8" t="n"/>
      <c r="D56" s="8" t="n"/>
      <c r="E56" s="8" t="n"/>
      <c r="F56" s="9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</row>
    <row r="57" s="327">
      <c r="A57" s="8" t="n"/>
      <c r="B57" s="8" t="n"/>
      <c r="C57" s="8" t="n"/>
      <c r="D57" s="8" t="n"/>
      <c r="E57" s="8" t="n"/>
      <c r="F57" s="9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</row>
    <row r="58" s="327">
      <c r="A58" s="8" t="n"/>
      <c r="B58" s="8" t="n"/>
      <c r="C58" s="8" t="n"/>
      <c r="D58" s="8" t="n"/>
      <c r="E58" s="8" t="n"/>
      <c r="F58" s="9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</row>
    <row r="59" s="327">
      <c r="A59" s="8" t="n"/>
      <c r="B59" s="8" t="n"/>
      <c r="C59" s="8" t="n"/>
      <c r="D59" s="8" t="n"/>
      <c r="E59" s="8" t="n"/>
      <c r="F59" s="9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</row>
    <row r="60" s="327">
      <c r="A60" s="8" t="n"/>
      <c r="B60" s="8" t="n"/>
      <c r="C60" s="8" t="n"/>
      <c r="D60" s="8" t="n"/>
      <c r="E60" s="8" t="n"/>
      <c r="F60" s="9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 s="327">
      <c r="A61" s="8" t="n"/>
      <c r="B61" s="8" t="n"/>
      <c r="C61" s="8" t="n"/>
      <c r="D61" s="8" t="n"/>
      <c r="E61" s="8" t="n"/>
      <c r="F61" s="9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 s="327">
      <c r="A62" s="8" t="n"/>
      <c r="B62" s="8" t="n"/>
      <c r="C62" s="8" t="n"/>
      <c r="D62" s="8" t="n"/>
      <c r="E62" s="8" t="n"/>
      <c r="F62" s="9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 s="327">
      <c r="A63" s="8" t="n"/>
      <c r="B63" s="8" t="n"/>
      <c r="C63" s="8" t="n"/>
      <c r="D63" s="8" t="n"/>
      <c r="E63" s="8" t="n"/>
      <c r="F63" s="9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</row>
    <row r="64" s="327">
      <c r="A64" s="8" t="n"/>
      <c r="B64" s="8" t="n"/>
      <c r="C64" s="8" t="n"/>
      <c r="D64" s="8" t="n"/>
      <c r="E64" s="8" t="n"/>
      <c r="F64" s="9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</row>
    <row r="65" s="327">
      <c r="A65" s="8" t="n"/>
      <c r="B65" s="8" t="n"/>
      <c r="C65" s="8" t="n"/>
      <c r="D65" s="8" t="n"/>
      <c r="E65" s="8" t="n"/>
      <c r="F65" s="9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</row>
    <row r="66" s="327">
      <c r="A66" s="8" t="n"/>
      <c r="B66" s="8" t="n"/>
      <c r="C66" s="8" t="n"/>
      <c r="D66" s="8" t="n"/>
      <c r="E66" s="8" t="n"/>
      <c r="F66" s="9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</row>
    <row r="67" s="327">
      <c r="A67" s="8" t="n"/>
      <c r="B67" s="8" t="n"/>
      <c r="C67" s="8" t="n"/>
      <c r="D67" s="8" t="n"/>
      <c r="E67" s="8" t="n"/>
      <c r="F67" s="9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</row>
    <row r="68" s="327">
      <c r="A68" s="8" t="n"/>
      <c r="B68" s="8" t="n"/>
      <c r="C68" s="8" t="n"/>
      <c r="D68" s="8" t="n"/>
      <c r="E68" s="8" t="n"/>
      <c r="F68" s="9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 s="327">
      <c r="A69" s="8" t="n"/>
      <c r="B69" s="8" t="n"/>
      <c r="C69" s="8" t="n"/>
      <c r="D69" s="8" t="n"/>
      <c r="E69" s="8" t="n"/>
      <c r="F69" s="9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</row>
    <row r="70" s="327">
      <c r="A70" s="8" t="n"/>
      <c r="B70" s="8" t="n"/>
      <c r="C70" s="8" t="n"/>
      <c r="D70" s="8" t="n"/>
      <c r="E70" s="8" t="n"/>
      <c r="F70" s="9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</row>
    <row r="71" s="327">
      <c r="A71" s="8" t="n"/>
      <c r="B71" s="8" t="n"/>
      <c r="C71" s="8" t="n"/>
      <c r="D71" s="8" t="n"/>
      <c r="E71" s="8" t="n"/>
      <c r="F71" s="9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</row>
    <row r="72" s="327">
      <c r="A72" s="8" t="n"/>
      <c r="B72" s="8" t="n"/>
      <c r="C72" s="8" t="n"/>
      <c r="D72" s="8" t="n"/>
      <c r="E72" s="8" t="n"/>
      <c r="F72" s="9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</row>
    <row r="73" s="327">
      <c r="A73" s="8" t="n"/>
      <c r="B73" s="8" t="n"/>
      <c r="C73" s="8" t="n"/>
      <c r="D73" s="8" t="n"/>
      <c r="E73" s="8" t="n"/>
      <c r="F73" s="9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</row>
    <row r="74" s="327">
      <c r="A74" s="8" t="n"/>
      <c r="B74" s="8" t="n"/>
      <c r="C74" s="8" t="n"/>
      <c r="D74" s="8" t="n"/>
      <c r="E74" s="8" t="n"/>
      <c r="F74" s="9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</row>
    <row r="75" s="327">
      <c r="A75" s="8" t="n"/>
      <c r="B75" s="8" t="n"/>
      <c r="C75" s="8" t="n"/>
      <c r="D75" s="8" t="n"/>
      <c r="E75" s="8" t="n"/>
      <c r="F75" s="9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</row>
    <row r="76" s="327">
      <c r="A76" s="8" t="n"/>
      <c r="B76" s="8" t="n"/>
      <c r="C76" s="8" t="n"/>
      <c r="D76" s="8" t="n"/>
      <c r="E76" s="8" t="n"/>
      <c r="F76" s="9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</row>
    <row r="77" s="327">
      <c r="A77" s="8" t="n"/>
      <c r="B77" s="8" t="n"/>
      <c r="C77" s="8" t="n"/>
      <c r="D77" s="8" t="n"/>
      <c r="E77" s="8" t="n"/>
      <c r="F77" s="9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</row>
    <row r="78" s="327">
      <c r="A78" s="8" t="n"/>
      <c r="B78" s="8" t="n"/>
      <c r="C78" s="8" t="n"/>
      <c r="D78" s="8" t="n"/>
      <c r="E78" s="8" t="n"/>
      <c r="F78" s="9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</row>
    <row r="79" s="327">
      <c r="A79" s="8" t="n"/>
      <c r="B79" s="8" t="n"/>
      <c r="C79" s="8" t="n"/>
      <c r="D79" s="8" t="n"/>
      <c r="E79" s="8" t="n"/>
      <c r="F79" s="9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</row>
    <row r="80" s="327">
      <c r="A80" s="8" t="n"/>
      <c r="B80" s="8" t="n"/>
      <c r="C80" s="8" t="n"/>
      <c r="D80" s="8" t="n"/>
      <c r="E80" s="8" t="n"/>
      <c r="F80" s="9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</row>
    <row r="81" s="327">
      <c r="A81" s="8" t="n"/>
      <c r="B81" s="8" t="n"/>
      <c r="C81" s="8" t="n"/>
      <c r="D81" s="8" t="n"/>
      <c r="E81" s="8" t="n"/>
      <c r="F81" s="9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</row>
    <row r="82" s="327">
      <c r="A82" s="8" t="n"/>
      <c r="B82" s="8" t="n"/>
      <c r="C82" s="8" t="n"/>
      <c r="D82" s="8" t="n"/>
      <c r="E82" s="8" t="n"/>
      <c r="F82" s="9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</row>
    <row r="83" s="327">
      <c r="A83" s="8" t="n"/>
      <c r="B83" s="8" t="n"/>
      <c r="C83" s="8" t="n"/>
      <c r="D83" s="8" t="n"/>
      <c r="E83" s="8" t="n"/>
      <c r="F83" s="9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</row>
    <row r="84" s="327">
      <c r="A84" s="8" t="n"/>
      <c r="B84" s="8" t="n"/>
      <c r="C84" s="8" t="n"/>
      <c r="D84" s="8" t="n"/>
      <c r="E84" s="8" t="n"/>
      <c r="F84" s="9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</row>
    <row r="85" s="327">
      <c r="A85" s="8" t="n"/>
      <c r="B85" s="8" t="n"/>
      <c r="C85" s="8" t="n"/>
      <c r="D85" s="8" t="n"/>
      <c r="E85" s="8" t="n"/>
      <c r="F85" s="9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</row>
    <row r="86" s="327">
      <c r="A86" s="8" t="n"/>
      <c r="B86" s="8" t="n"/>
      <c r="C86" s="8" t="n"/>
      <c r="D86" s="8" t="n"/>
      <c r="E86" s="8" t="n"/>
      <c r="F86" s="9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 s="327">
      <c r="A87" s="8" t="n"/>
      <c r="B87" s="8" t="n"/>
      <c r="C87" s="8" t="n"/>
      <c r="D87" s="8" t="n"/>
      <c r="E87" s="8" t="n"/>
      <c r="F87" s="9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 s="327">
      <c r="A88" s="8" t="n"/>
      <c r="B88" s="8" t="n"/>
      <c r="C88" s="8" t="n"/>
      <c r="D88" s="8" t="n"/>
      <c r="E88" s="8" t="n"/>
      <c r="F88" s="9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 s="327">
      <c r="A89" s="8" t="n"/>
      <c r="B89" s="8" t="n"/>
      <c r="C89" s="8" t="n"/>
      <c r="D89" s="8" t="n"/>
      <c r="E89" s="8" t="n"/>
      <c r="F89" s="9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 s="327">
      <c r="A90" s="8" t="n"/>
      <c r="B90" s="8" t="n"/>
      <c r="C90" s="8" t="n"/>
      <c r="D90" s="8" t="n"/>
      <c r="E90" s="8" t="n"/>
      <c r="F90" s="9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 s="327">
      <c r="A91" s="8" t="n"/>
      <c r="B91" s="8" t="n"/>
      <c r="C91" s="8" t="n"/>
      <c r="D91" s="8" t="n"/>
      <c r="E91" s="8" t="n"/>
      <c r="F91" s="9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  <row r="92" s="327">
      <c r="A92" s="8" t="n"/>
      <c r="B92" s="8" t="n"/>
      <c r="C92" s="8" t="n"/>
      <c r="D92" s="8" t="n"/>
      <c r="E92" s="8" t="n"/>
      <c r="F92" s="9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</row>
    <row r="93" s="327">
      <c r="A93" s="8" t="n"/>
      <c r="B93" s="8" t="n"/>
      <c r="C93" s="8" t="n"/>
      <c r="D93" s="8" t="n"/>
      <c r="E93" s="8" t="n"/>
      <c r="F93" s="9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</row>
    <row r="94" s="327">
      <c r="A94" s="8" t="n"/>
      <c r="B94" s="8" t="n"/>
      <c r="C94" s="8" t="n"/>
      <c r="D94" s="8" t="n"/>
      <c r="E94" s="8" t="n"/>
      <c r="F94" s="9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</row>
    <row r="95" s="327">
      <c r="A95" s="8" t="n"/>
      <c r="B95" s="8" t="n"/>
      <c r="C95" s="8" t="n"/>
      <c r="D95" s="8" t="n"/>
      <c r="E95" s="8" t="n"/>
      <c r="F95" s="9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</row>
    <row r="96" s="327">
      <c r="A96" s="8" t="n"/>
      <c r="B96" s="8" t="n"/>
      <c r="C96" s="8" t="n"/>
      <c r="D96" s="8" t="n"/>
      <c r="E96" s="8" t="n"/>
      <c r="F96" s="9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</row>
    <row r="97" s="327">
      <c r="A97" s="8" t="n"/>
      <c r="B97" s="8" t="n"/>
      <c r="C97" s="8" t="n"/>
      <c r="D97" s="8" t="n"/>
      <c r="E97" s="8" t="n"/>
      <c r="F97" s="9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</row>
    <row r="98" s="327">
      <c r="A98" s="8" t="n"/>
      <c r="B98" s="8" t="n"/>
      <c r="C98" s="8" t="n"/>
      <c r="D98" s="8" t="n"/>
      <c r="E98" s="8" t="n"/>
      <c r="F98" s="9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</row>
    <row r="99" s="327">
      <c r="A99" s="8" t="n"/>
      <c r="B99" s="8" t="n"/>
      <c r="C99" s="8" t="n"/>
      <c r="D99" s="8" t="n"/>
      <c r="E99" s="8" t="n"/>
      <c r="F99" s="9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</row>
    <row r="100" s="327">
      <c r="A100" s="8" t="n"/>
      <c r="B100" s="8" t="n"/>
      <c r="C100" s="8" t="n"/>
      <c r="D100" s="8" t="n"/>
      <c r="E100" s="8" t="n"/>
      <c r="F100" s="9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</row>
    <row r="101" s="327">
      <c r="A101" s="8" t="n"/>
      <c r="B101" s="8" t="n"/>
      <c r="C101" s="8" t="n"/>
      <c r="D101" s="8" t="n"/>
      <c r="E101" s="8" t="n"/>
      <c r="F101" s="9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</row>
    <row r="102" s="327">
      <c r="A102" s="8" t="n"/>
      <c r="B102" s="8" t="n"/>
      <c r="C102" s="8" t="n"/>
      <c r="D102" s="8" t="n"/>
      <c r="E102" s="8" t="n"/>
      <c r="F102" s="9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</row>
    <row r="103" s="327">
      <c r="A103" s="8" t="n"/>
      <c r="B103" s="8" t="n"/>
      <c r="C103" s="8" t="n"/>
      <c r="D103" s="8" t="n"/>
      <c r="E103" s="8" t="n"/>
      <c r="F103" s="9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</row>
    <row r="104" s="327">
      <c r="A104" s="8" t="n"/>
      <c r="B104" s="8" t="n"/>
      <c r="C104" s="8" t="n"/>
      <c r="D104" s="8" t="n"/>
      <c r="E104" s="8" t="n"/>
      <c r="F104" s="9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</row>
    <row r="105" s="327">
      <c r="A105" s="8" t="n"/>
      <c r="B105" s="8" t="n"/>
      <c r="C105" s="8" t="n"/>
      <c r="D105" s="8" t="n"/>
      <c r="E105" s="8" t="n"/>
      <c r="F105" s="9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</row>
    <row r="106" s="327">
      <c r="A106" s="8" t="n"/>
      <c r="B106" s="8" t="n"/>
      <c r="C106" s="8" t="n"/>
      <c r="D106" s="8" t="n"/>
      <c r="E106" s="8" t="n"/>
      <c r="F106" s="9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</row>
    <row r="107" s="327">
      <c r="A107" s="8" t="n"/>
      <c r="B107" s="8" t="n"/>
      <c r="C107" s="8" t="n"/>
      <c r="D107" s="8" t="n"/>
      <c r="E107" s="8" t="n"/>
      <c r="F107" s="9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</row>
    <row r="108" s="327">
      <c r="A108" s="8" t="n"/>
      <c r="B108" s="8" t="n"/>
      <c r="C108" s="8" t="n"/>
      <c r="D108" s="8" t="n"/>
      <c r="E108" s="8" t="n"/>
      <c r="F108" s="9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</row>
    <row r="109" s="327">
      <c r="A109" s="8" t="n"/>
      <c r="B109" s="8" t="n"/>
      <c r="C109" s="8" t="n"/>
      <c r="D109" s="8" t="n"/>
      <c r="E109" s="8" t="n"/>
      <c r="F109" s="9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</row>
    <row r="110" s="327">
      <c r="A110" s="8" t="n"/>
      <c r="B110" s="8" t="n"/>
      <c r="C110" s="8" t="n"/>
      <c r="D110" s="8" t="n"/>
      <c r="E110" s="8" t="n"/>
      <c r="F110" s="9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</row>
    <row r="111" s="327">
      <c r="A111" s="8" t="n"/>
      <c r="B111" s="8" t="n"/>
      <c r="C111" s="8" t="n"/>
      <c r="D111" s="8" t="n"/>
      <c r="E111" s="8" t="n"/>
      <c r="F111" s="9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</row>
    <row r="112" s="327">
      <c r="A112" s="8" t="n"/>
      <c r="B112" s="8" t="n"/>
      <c r="C112" s="8" t="n"/>
      <c r="D112" s="8" t="n"/>
      <c r="E112" s="8" t="n"/>
      <c r="F112" s="9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</row>
    <row r="113" s="327">
      <c r="A113" s="8" t="n"/>
      <c r="B113" s="8" t="n"/>
      <c r="C113" s="8" t="n"/>
      <c r="D113" s="8" t="n"/>
      <c r="E113" s="8" t="n"/>
      <c r="F113" s="9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</row>
    <row r="114" s="327">
      <c r="A114" s="8" t="n"/>
      <c r="B114" s="8" t="n"/>
      <c r="C114" s="8" t="n"/>
      <c r="D114" s="8" t="n"/>
      <c r="E114" s="8" t="n"/>
      <c r="F114" s="9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</row>
    <row r="115" s="327">
      <c r="A115" s="8" t="n"/>
      <c r="B115" s="8" t="n"/>
      <c r="C115" s="8" t="n"/>
      <c r="D115" s="8" t="n"/>
      <c r="E115" s="8" t="n"/>
      <c r="F115" s="9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</row>
    <row r="116" s="327">
      <c r="A116" s="8" t="n"/>
      <c r="B116" s="8" t="n"/>
      <c r="C116" s="8" t="n"/>
      <c r="D116" s="8" t="n"/>
      <c r="E116" s="8" t="n"/>
      <c r="F116" s="9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</row>
    <row r="117" s="327">
      <c r="A117" s="8" t="n"/>
      <c r="B117" s="8" t="n"/>
      <c r="C117" s="8" t="n"/>
      <c r="D117" s="8" t="n"/>
      <c r="E117" s="8" t="n"/>
      <c r="F117" s="9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</row>
    <row r="118" s="327">
      <c r="A118" s="8" t="n"/>
      <c r="B118" s="8" t="n"/>
      <c r="C118" s="8" t="n"/>
      <c r="D118" s="8" t="n"/>
      <c r="E118" s="8" t="n"/>
      <c r="F118" s="9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</row>
    <row r="119" s="327">
      <c r="A119" s="8" t="n"/>
      <c r="B119" s="8" t="n"/>
      <c r="C119" s="8" t="n"/>
      <c r="D119" s="8" t="n"/>
      <c r="E119" s="8" t="n"/>
      <c r="F119" s="9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</row>
    <row r="120" s="327">
      <c r="A120" s="8" t="n"/>
      <c r="B120" s="8" t="n"/>
      <c r="C120" s="8" t="n"/>
      <c r="D120" s="8" t="n"/>
      <c r="E120" s="8" t="n"/>
      <c r="F120" s="9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</row>
    <row r="121" s="327">
      <c r="A121" s="8" t="n"/>
      <c r="B121" s="8" t="n"/>
      <c r="C121" s="8" t="n"/>
      <c r="D121" s="8" t="n"/>
      <c r="E121" s="8" t="n"/>
      <c r="F121" s="9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</row>
    <row r="122" s="327">
      <c r="A122" s="8" t="n"/>
      <c r="B122" s="8" t="n"/>
      <c r="C122" s="8" t="n"/>
      <c r="D122" s="8" t="n"/>
      <c r="E122" s="8" t="n"/>
      <c r="F122" s="9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</row>
    <row r="123" s="327">
      <c r="A123" s="8" t="n"/>
      <c r="B123" s="8" t="n"/>
      <c r="C123" s="8" t="n"/>
      <c r="D123" s="8" t="n"/>
      <c r="E123" s="8" t="n"/>
      <c r="F123" s="9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</row>
    <row r="124" s="327">
      <c r="A124" s="8" t="n"/>
      <c r="B124" s="8" t="n"/>
      <c r="C124" s="8" t="n"/>
      <c r="D124" s="8" t="n"/>
      <c r="E124" s="8" t="n"/>
      <c r="F124" s="9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</row>
    <row r="125" s="327">
      <c r="A125" s="8" t="n"/>
      <c r="B125" s="8" t="n"/>
      <c r="C125" s="8" t="n"/>
      <c r="D125" s="8" t="n"/>
      <c r="E125" s="8" t="n"/>
      <c r="F125" s="9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</row>
    <row r="126" s="327">
      <c r="A126" s="8" t="n"/>
      <c r="B126" s="8" t="n"/>
      <c r="C126" s="8" t="n"/>
      <c r="D126" s="8" t="n"/>
      <c r="E126" s="8" t="n"/>
      <c r="F126" s="9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</row>
    <row r="127" s="327">
      <c r="A127" s="8" t="n"/>
      <c r="B127" s="8" t="n"/>
      <c r="C127" s="8" t="n"/>
      <c r="D127" s="8" t="n"/>
      <c r="E127" s="8" t="n"/>
      <c r="F127" s="9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</row>
    <row r="128" s="327">
      <c r="A128" s="8" t="n"/>
      <c r="B128" s="8" t="n"/>
      <c r="C128" s="8" t="n"/>
      <c r="D128" s="8" t="n"/>
      <c r="E128" s="8" t="n"/>
      <c r="F128" s="9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</row>
    <row r="129" s="327">
      <c r="A129" s="8" t="n"/>
      <c r="B129" s="8" t="n"/>
      <c r="C129" s="8" t="n"/>
      <c r="D129" s="8" t="n"/>
      <c r="E129" s="8" t="n"/>
      <c r="F129" s="9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</row>
    <row r="130" s="327">
      <c r="A130" s="8" t="n"/>
      <c r="B130" s="8" t="n"/>
      <c r="C130" s="8" t="n"/>
      <c r="D130" s="8" t="n"/>
      <c r="E130" s="8" t="n"/>
      <c r="F130" s="9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</row>
    <row r="131" s="327">
      <c r="A131" s="8" t="n"/>
      <c r="B131" s="8" t="n"/>
      <c r="C131" s="8" t="n"/>
      <c r="D131" s="8" t="n"/>
      <c r="E131" s="8" t="n"/>
      <c r="F131" s="9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</row>
    <row r="132" s="327">
      <c r="A132" s="8" t="n"/>
      <c r="B132" s="8" t="n"/>
      <c r="C132" s="8" t="n"/>
      <c r="D132" s="8" t="n"/>
      <c r="E132" s="8" t="n"/>
      <c r="F132" s="9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</row>
    <row r="133" s="327">
      <c r="A133" s="8" t="n"/>
      <c r="B133" s="8" t="n"/>
      <c r="C133" s="8" t="n"/>
      <c r="D133" s="8" t="n"/>
      <c r="E133" s="8" t="n"/>
      <c r="F133" s="9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</row>
    <row r="134" s="327">
      <c r="A134" s="8" t="n"/>
      <c r="B134" s="8" t="n"/>
      <c r="C134" s="8" t="n"/>
      <c r="D134" s="8" t="n"/>
      <c r="E134" s="8" t="n"/>
      <c r="F134" s="9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</row>
    <row r="135" s="327">
      <c r="A135" s="8" t="n"/>
      <c r="B135" s="8" t="n"/>
      <c r="C135" s="8" t="n"/>
      <c r="D135" s="8" t="n"/>
      <c r="E135" s="8" t="n"/>
      <c r="F135" s="9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 s="327">
      <c r="A136" s="8" t="n"/>
      <c r="B136" s="8" t="n"/>
      <c r="C136" s="8" t="n"/>
      <c r="D136" s="8" t="n"/>
      <c r="E136" s="8" t="n"/>
      <c r="F136" s="9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 s="327">
      <c r="A137" s="8" t="n"/>
      <c r="B137" s="8" t="n"/>
      <c r="C137" s="8" t="n"/>
      <c r="D137" s="8" t="n"/>
      <c r="E137" s="8" t="n"/>
      <c r="F137" s="9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 s="327">
      <c r="A138" s="8" t="n"/>
      <c r="B138" s="8" t="n"/>
      <c r="C138" s="8" t="n"/>
      <c r="D138" s="8" t="n"/>
      <c r="E138" s="8" t="n"/>
      <c r="F138" s="9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 s="327">
      <c r="A139" s="8" t="n"/>
      <c r="B139" s="8" t="n"/>
      <c r="C139" s="8" t="n"/>
      <c r="D139" s="8" t="n"/>
      <c r="E139" s="8" t="n"/>
      <c r="F139" s="9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 s="327">
      <c r="A140" s="8" t="n"/>
      <c r="B140" s="8" t="n"/>
      <c r="C140" s="8" t="n"/>
      <c r="D140" s="8" t="n"/>
      <c r="E140" s="8" t="n"/>
      <c r="F140" s="9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</row>
    <row r="141" s="327">
      <c r="A141" s="8" t="n"/>
      <c r="B141" s="8" t="n"/>
      <c r="C141" s="8" t="n"/>
      <c r="D141" s="8" t="n"/>
      <c r="E141" s="8" t="n"/>
      <c r="F141" s="9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</row>
    <row r="142" s="327">
      <c r="A142" s="8" t="n"/>
      <c r="B142" s="8" t="n"/>
      <c r="C142" s="8" t="n"/>
      <c r="D142" s="8" t="n"/>
      <c r="E142" s="8" t="n"/>
      <c r="F142" s="9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</row>
    <row r="143" s="327">
      <c r="A143" s="8" t="n"/>
      <c r="B143" s="8" t="n"/>
      <c r="C143" s="8" t="n"/>
      <c r="D143" s="8" t="n"/>
      <c r="E143" s="8" t="n"/>
      <c r="F143" s="9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</row>
    <row r="144" s="327">
      <c r="A144" s="8" t="n"/>
      <c r="B144" s="8" t="n"/>
      <c r="C144" s="8" t="n"/>
      <c r="D144" s="8" t="n"/>
      <c r="E144" s="8" t="n"/>
      <c r="F144" s="9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</row>
    <row r="145" s="327">
      <c r="A145" s="8" t="n"/>
      <c r="B145" s="8" t="n"/>
      <c r="C145" s="8" t="n"/>
      <c r="D145" s="8" t="n"/>
      <c r="E145" s="8" t="n"/>
      <c r="F145" s="9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</row>
    <row r="146" s="327">
      <c r="A146" s="8" t="n"/>
      <c r="B146" s="8" t="n"/>
      <c r="C146" s="8" t="n"/>
      <c r="D146" s="8" t="n"/>
      <c r="E146" s="8" t="n"/>
      <c r="F146" s="9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</row>
    <row r="147" s="327">
      <c r="A147" s="8" t="n"/>
      <c r="B147" s="8" t="n"/>
      <c r="C147" s="8" t="n"/>
      <c r="D147" s="8" t="n"/>
      <c r="E147" s="8" t="n"/>
      <c r="F147" s="9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</row>
    <row r="148" s="327">
      <c r="A148" s="8" t="n"/>
      <c r="B148" s="8" t="n"/>
      <c r="C148" s="8" t="n"/>
      <c r="D148" s="8" t="n"/>
      <c r="E148" s="8" t="n"/>
      <c r="F148" s="9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</row>
    <row r="149" s="327">
      <c r="A149" s="8" t="n"/>
      <c r="B149" s="8" t="n"/>
      <c r="C149" s="8" t="n"/>
      <c r="D149" s="8" t="n"/>
      <c r="E149" s="8" t="n"/>
      <c r="F149" s="9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</row>
    <row r="150" s="327">
      <c r="A150" s="8" t="n"/>
      <c r="B150" s="8" t="n"/>
      <c r="C150" s="8" t="n"/>
      <c r="D150" s="8" t="n"/>
      <c r="E150" s="8" t="n"/>
      <c r="F150" s="9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</row>
    <row r="151" s="327">
      <c r="A151" s="8" t="n"/>
      <c r="B151" s="8" t="n"/>
      <c r="C151" s="8" t="n"/>
      <c r="D151" s="8" t="n"/>
      <c r="E151" s="8" t="n"/>
      <c r="F151" s="9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</row>
    <row r="152" s="327">
      <c r="A152" s="8" t="n"/>
      <c r="B152" s="8" t="n"/>
      <c r="C152" s="8" t="n"/>
      <c r="D152" s="8" t="n"/>
      <c r="E152" s="8" t="n"/>
      <c r="F152" s="9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</row>
    <row r="153" s="327">
      <c r="A153" s="8" t="n"/>
      <c r="B153" s="8" t="n"/>
      <c r="C153" s="8" t="n"/>
      <c r="D153" s="8" t="n"/>
      <c r="E153" s="8" t="n"/>
      <c r="F153" s="9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</row>
    <row r="154" s="327">
      <c r="A154" s="8" t="n"/>
      <c r="B154" s="8" t="n"/>
      <c r="C154" s="8" t="n"/>
      <c r="D154" s="8" t="n"/>
      <c r="E154" s="8" t="n"/>
      <c r="F154" s="9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</row>
    <row r="155" s="327">
      <c r="A155" s="8" t="n"/>
      <c r="B155" s="8" t="n"/>
      <c r="C155" s="8" t="n"/>
      <c r="D155" s="8" t="n"/>
      <c r="E155" s="8" t="n"/>
      <c r="F155" s="9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</row>
    <row r="156" s="327">
      <c r="A156" s="8" t="n"/>
      <c r="B156" s="8" t="n"/>
      <c r="C156" s="8" t="n"/>
      <c r="D156" s="8" t="n"/>
      <c r="E156" s="8" t="n"/>
      <c r="F156" s="9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</row>
    <row r="157" s="327">
      <c r="A157" s="8" t="n"/>
      <c r="B157" s="8" t="n"/>
      <c r="C157" s="8" t="n"/>
      <c r="D157" s="8" t="n"/>
      <c r="E157" s="8" t="n"/>
      <c r="F157" s="9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</row>
    <row r="158" s="327">
      <c r="A158" s="8" t="n"/>
      <c r="B158" s="8" t="n"/>
      <c r="C158" s="8" t="n"/>
      <c r="D158" s="8" t="n"/>
      <c r="E158" s="8" t="n"/>
      <c r="F158" s="9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</row>
    <row r="159" s="327">
      <c r="A159" s="8" t="n"/>
      <c r="B159" s="8" t="n"/>
      <c r="C159" s="8" t="n"/>
      <c r="D159" s="8" t="n"/>
      <c r="E159" s="8" t="n"/>
      <c r="F159" s="9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</row>
    <row r="160" s="327">
      <c r="A160" s="8" t="n"/>
      <c r="B160" s="8" t="n"/>
      <c r="C160" s="8" t="n"/>
      <c r="D160" s="8" t="n"/>
      <c r="E160" s="8" t="n"/>
      <c r="F160" s="9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</row>
    <row r="161" s="327">
      <c r="A161" s="8" t="n"/>
      <c r="B161" s="8" t="n"/>
      <c r="C161" s="8" t="n"/>
      <c r="D161" s="8" t="n"/>
      <c r="E161" s="8" t="n"/>
      <c r="F161" s="9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</row>
    <row r="162" s="327">
      <c r="A162" s="8" t="n"/>
      <c r="B162" s="8" t="n"/>
      <c r="C162" s="8" t="n"/>
      <c r="D162" s="8" t="n"/>
      <c r="E162" s="8" t="n"/>
      <c r="F162" s="9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</row>
    <row r="163" s="327">
      <c r="A163" s="8" t="n"/>
      <c r="B163" s="8" t="n"/>
      <c r="C163" s="8" t="n"/>
      <c r="D163" s="8" t="n"/>
      <c r="E163" s="8" t="n"/>
      <c r="F163" s="9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</row>
    <row r="164" s="327">
      <c r="A164" s="8" t="n"/>
      <c r="B164" s="8" t="n"/>
      <c r="C164" s="8" t="n"/>
      <c r="D164" s="8" t="n"/>
      <c r="E164" s="8" t="n"/>
      <c r="F164" s="9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</row>
    <row r="165" s="327">
      <c r="A165" s="8" t="n"/>
      <c r="B165" s="8" t="n"/>
      <c r="C165" s="8" t="n"/>
      <c r="D165" s="8" t="n"/>
      <c r="E165" s="8" t="n"/>
      <c r="F165" s="9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</row>
    <row r="166" s="327">
      <c r="A166" s="8" t="n"/>
      <c r="B166" s="8" t="n"/>
      <c r="C166" s="8" t="n"/>
      <c r="D166" s="8" t="n"/>
      <c r="E166" s="8" t="n"/>
      <c r="F166" s="9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</row>
    <row r="167" s="327">
      <c r="A167" s="8" t="n"/>
      <c r="B167" s="8" t="n"/>
      <c r="C167" s="8" t="n"/>
      <c r="D167" s="8" t="n"/>
      <c r="E167" s="8" t="n"/>
      <c r="F167" s="9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</row>
    <row r="168" s="327">
      <c r="A168" s="8" t="n"/>
      <c r="B168" s="8" t="n"/>
      <c r="C168" s="8" t="n"/>
      <c r="D168" s="8" t="n"/>
      <c r="E168" s="8" t="n"/>
      <c r="F168" s="9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</row>
    <row r="169" s="327">
      <c r="A169" s="8" t="n"/>
      <c r="B169" s="8" t="n"/>
      <c r="C169" s="8" t="n"/>
      <c r="D169" s="8" t="n"/>
      <c r="E169" s="8" t="n"/>
      <c r="F169" s="9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</row>
    <row r="170" s="327">
      <c r="A170" s="8" t="n"/>
      <c r="B170" s="8" t="n"/>
      <c r="C170" s="8" t="n"/>
      <c r="D170" s="8" t="n"/>
      <c r="E170" s="8" t="n"/>
      <c r="F170" s="9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</row>
    <row r="171" s="327">
      <c r="A171" s="8" t="n"/>
      <c r="B171" s="8" t="n"/>
      <c r="C171" s="8" t="n"/>
      <c r="D171" s="8" t="n"/>
      <c r="E171" s="8" t="n"/>
      <c r="F171" s="9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 s="327">
      <c r="A172" s="8" t="n"/>
      <c r="B172" s="8" t="n"/>
      <c r="C172" s="8" t="n"/>
      <c r="D172" s="8" t="n"/>
      <c r="E172" s="8" t="n"/>
      <c r="F172" s="9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</row>
    <row r="173" s="327">
      <c r="A173" s="8" t="n"/>
      <c r="B173" s="8" t="n"/>
      <c r="C173" s="8" t="n"/>
      <c r="D173" s="8" t="n"/>
      <c r="E173" s="8" t="n"/>
      <c r="F173" s="9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</row>
    <row r="174" s="327">
      <c r="A174" s="8" t="n"/>
      <c r="B174" s="8" t="n"/>
      <c r="C174" s="8" t="n"/>
      <c r="D174" s="8" t="n"/>
      <c r="E174" s="8" t="n"/>
      <c r="F174" s="9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</row>
    <row r="175" s="327">
      <c r="A175" s="8" t="n"/>
      <c r="B175" s="8" t="n"/>
      <c r="C175" s="8" t="n"/>
      <c r="D175" s="8" t="n"/>
      <c r="E175" s="8" t="n"/>
      <c r="F175" s="9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 s="327">
      <c r="A176" s="8" t="n"/>
      <c r="B176" s="8" t="n"/>
      <c r="C176" s="8" t="n"/>
      <c r="D176" s="8" t="n"/>
      <c r="E176" s="8" t="n"/>
      <c r="F176" s="9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 s="327">
      <c r="A177" s="8" t="n"/>
      <c r="B177" s="8" t="n"/>
      <c r="C177" s="8" t="n"/>
      <c r="D177" s="8" t="n"/>
      <c r="E177" s="8" t="n"/>
      <c r="F177" s="9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 s="327">
      <c r="A178" s="8" t="n"/>
      <c r="B178" s="8" t="n"/>
      <c r="C178" s="8" t="n"/>
      <c r="D178" s="8" t="n"/>
      <c r="E178" s="8" t="n"/>
      <c r="F178" s="9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</row>
    <row r="179" s="327">
      <c r="A179" s="8" t="n"/>
      <c r="B179" s="8" t="n"/>
      <c r="C179" s="8" t="n"/>
      <c r="D179" s="8" t="n"/>
      <c r="E179" s="8" t="n"/>
      <c r="F179" s="9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</row>
    <row r="180" s="327">
      <c r="A180" s="8" t="n"/>
      <c r="B180" s="8" t="n"/>
      <c r="C180" s="8" t="n"/>
      <c r="D180" s="8" t="n"/>
      <c r="E180" s="8" t="n"/>
      <c r="F180" s="9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</row>
    <row r="181" s="327">
      <c r="A181" s="8" t="n"/>
      <c r="B181" s="8" t="n"/>
      <c r="C181" s="8" t="n"/>
      <c r="D181" s="8" t="n"/>
      <c r="E181" s="8" t="n"/>
      <c r="F181" s="9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</row>
    <row r="182" s="327">
      <c r="A182" s="8" t="n"/>
      <c r="B182" s="8" t="n"/>
      <c r="C182" s="8" t="n"/>
      <c r="D182" s="8" t="n"/>
      <c r="E182" s="8" t="n"/>
      <c r="F182" s="9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</row>
    <row r="183" s="327">
      <c r="A183" s="8" t="n"/>
      <c r="B183" s="8" t="n"/>
      <c r="C183" s="8" t="n"/>
      <c r="D183" s="8" t="n"/>
      <c r="E183" s="8" t="n"/>
      <c r="F183" s="9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</row>
    <row r="184" s="327">
      <c r="A184" s="8" t="n"/>
      <c r="B184" s="8" t="n"/>
      <c r="C184" s="8" t="n"/>
      <c r="D184" s="8" t="n"/>
      <c r="E184" s="8" t="n"/>
      <c r="F184" s="9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</row>
    <row r="185" s="327">
      <c r="A185" s="8" t="n"/>
      <c r="B185" s="8" t="n"/>
      <c r="C185" s="8" t="n"/>
      <c r="D185" s="8" t="n"/>
      <c r="E185" s="8" t="n"/>
      <c r="F185" s="9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</row>
    <row r="186" s="327">
      <c r="A186" s="8" t="n"/>
      <c r="B186" s="8" t="n"/>
      <c r="C186" s="8" t="n"/>
      <c r="D186" s="8" t="n"/>
      <c r="E186" s="8" t="n"/>
      <c r="F186" s="9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</row>
    <row r="187" s="327">
      <c r="A187" s="8" t="n"/>
      <c r="B187" s="8" t="n"/>
      <c r="C187" s="8" t="n"/>
      <c r="D187" s="8" t="n"/>
      <c r="E187" s="8" t="n"/>
      <c r="F187" s="9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</row>
    <row r="188" s="327">
      <c r="A188" s="8" t="n"/>
      <c r="B188" s="8" t="n"/>
      <c r="C188" s="8" t="n"/>
      <c r="D188" s="8" t="n"/>
      <c r="E188" s="8" t="n"/>
      <c r="F188" s="9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</row>
    <row r="189" s="327">
      <c r="A189" s="8" t="n"/>
      <c r="B189" s="8" t="n"/>
      <c r="C189" s="8" t="n"/>
      <c r="D189" s="8" t="n"/>
      <c r="E189" s="8" t="n"/>
      <c r="F189" s="9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</row>
    <row r="190" s="327">
      <c r="A190" s="8" t="n"/>
      <c r="B190" s="8" t="n"/>
      <c r="C190" s="8" t="n"/>
      <c r="D190" s="8" t="n"/>
      <c r="E190" s="8" t="n"/>
      <c r="F190" s="9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</row>
    <row r="191" s="327">
      <c r="A191" s="8" t="n"/>
      <c r="B191" s="8" t="n"/>
      <c r="C191" s="8" t="n"/>
      <c r="D191" s="8" t="n"/>
      <c r="E191" s="8" t="n"/>
      <c r="F191" s="9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</row>
    <row r="192" s="327">
      <c r="A192" s="8" t="n"/>
      <c r="B192" s="8" t="n"/>
      <c r="C192" s="8" t="n"/>
      <c r="D192" s="8" t="n"/>
      <c r="E192" s="8" t="n"/>
      <c r="F192" s="9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</row>
    <row r="193" s="327">
      <c r="A193" s="8" t="n"/>
      <c r="B193" s="8" t="n"/>
      <c r="C193" s="8" t="n"/>
      <c r="D193" s="8" t="n"/>
      <c r="E193" s="8" t="n"/>
      <c r="F193" s="9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</row>
    <row r="194" s="327">
      <c r="A194" s="8" t="n"/>
      <c r="B194" s="8" t="n"/>
      <c r="C194" s="8" t="n"/>
      <c r="D194" s="8" t="n"/>
      <c r="E194" s="8" t="n"/>
      <c r="F194" s="9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</row>
    <row r="195" s="327">
      <c r="A195" s="8" t="n"/>
      <c r="B195" s="8" t="n"/>
      <c r="C195" s="8" t="n"/>
      <c r="D195" s="8" t="n"/>
      <c r="E195" s="8" t="n"/>
      <c r="F195" s="9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</row>
    <row r="196" s="327">
      <c r="A196" s="8" t="n"/>
      <c r="B196" s="8" t="n"/>
      <c r="C196" s="8" t="n"/>
      <c r="D196" s="8" t="n"/>
      <c r="E196" s="8" t="n"/>
      <c r="F196" s="9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</row>
    <row r="197" s="327">
      <c r="A197" s="8" t="n"/>
      <c r="B197" s="8" t="n"/>
      <c r="C197" s="8" t="n"/>
      <c r="D197" s="8" t="n"/>
      <c r="E197" s="8" t="n"/>
      <c r="F197" s="9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</row>
    <row r="198" s="327">
      <c r="A198" s="8" t="n"/>
      <c r="B198" s="8" t="n"/>
      <c r="C198" s="8" t="n"/>
      <c r="D198" s="8" t="n"/>
      <c r="E198" s="8" t="n"/>
      <c r="F198" s="9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</row>
    <row r="199" s="327">
      <c r="A199" s="8" t="n"/>
      <c r="B199" s="8" t="n"/>
      <c r="C199" s="8" t="n"/>
      <c r="D199" s="8" t="n"/>
      <c r="E199" s="8" t="n"/>
      <c r="F199" s="9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</row>
    <row r="200" s="327">
      <c r="A200" s="8" t="n"/>
      <c r="B200" s="8" t="n"/>
      <c r="C200" s="8" t="n"/>
      <c r="D200" s="8" t="n"/>
      <c r="E200" s="8" t="n"/>
      <c r="F200" s="9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202"/>
  <sheetViews>
    <sheetView workbookViewId="0">
      <pane xSplit="1" topLeftCell="B1" activePane="topRight" state="frozen"/>
      <selection activeCell="A1" sqref="A1"/>
      <selection pane="topRight" activeCell="S13" sqref="S13"/>
    </sheetView>
  </sheetViews>
  <sheetFormatPr baseColWidth="8" defaultColWidth="10" defaultRowHeight="16.5" customHeight="1"/>
  <cols>
    <col width="27.3333333333333" customWidth="1" style="170" min="2" max="2"/>
    <col width="11.1666666666667" customWidth="1" style="327" min="7" max="7"/>
    <col width="8.83333333333333" customWidth="1" style="170" min="8" max="8"/>
  </cols>
  <sheetData>
    <row r="1" s="327">
      <c r="A1" s="8" t="n"/>
      <c r="B1" s="8" t="n"/>
      <c r="C1" s="8" t="n"/>
      <c r="D1" s="8" t="n"/>
      <c r="E1" s="8" t="n"/>
      <c r="F1" s="9" t="n"/>
      <c r="G1" s="8" t="n"/>
      <c r="H1" s="8" t="n"/>
    </row>
    <row r="2" s="327">
      <c r="A2" s="8" t="n"/>
      <c r="B2" s="8" t="n"/>
      <c r="C2" s="8" t="n"/>
      <c r="D2" s="8" t="n"/>
      <c r="E2" s="8" t="n"/>
      <c r="F2" s="12" t="inlineStr">
        <is>
          <t>主投思维</t>
        </is>
      </c>
      <c r="G2" s="8" t="n"/>
      <c r="H2" s="8" t="n"/>
    </row>
    <row r="3" s="327">
      <c r="A3" s="14" t="n"/>
      <c r="B3" s="15" t="inlineStr">
        <is>
          <t>参数：8月初</t>
        </is>
      </c>
      <c r="C3" s="16" t="inlineStr">
        <is>
          <t>益智</t>
        </is>
      </c>
      <c r="D3" s="16" t="inlineStr">
        <is>
          <t>美术</t>
        </is>
      </c>
      <c r="E3" s="14" t="n"/>
      <c r="F3" s="14" t="n"/>
      <c r="G3" s="14" t="n"/>
      <c r="H3" s="14" t="inlineStr">
        <is>
          <t>4月澳門展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 outlineLevel="1" s="327">
      <c r="A4" s="9" t="n"/>
      <c r="B4" s="423" t="inlineStr">
        <is>
          <t>单例子销售固定人工成本</t>
        </is>
      </c>
      <c r="C4" s="20" t="n">
        <v>89.09</v>
      </c>
      <c r="D4" s="21" t="n">
        <v>83.45</v>
      </c>
      <c r="E4" s="9" t="n"/>
      <c r="F4" s="22" t="inlineStr">
        <is>
          <t>链路合计</t>
        </is>
      </c>
      <c r="G4" s="9" t="inlineStr">
        <is>
          <t>ROI 2</t>
        </is>
      </c>
      <c r="H4" s="424">
        <f>H5/H6</f>
        <v/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</row>
    <row r="5" s="327">
      <c r="A5" s="9" t="n"/>
      <c r="B5" s="423" t="inlineStr">
        <is>
          <t>单例子TMK人工成本</t>
        </is>
      </c>
      <c r="C5" s="26" t="n">
        <v>8.99</v>
      </c>
      <c r="D5" s="27" t="n">
        <v>8.99</v>
      </c>
      <c r="E5" s="9" t="n"/>
      <c r="F5" s="22" t="inlineStr">
        <is>
          <t>链路合计</t>
        </is>
      </c>
      <c r="G5" s="9" t="inlineStr">
        <is>
          <t>GMV</t>
        </is>
      </c>
      <c r="H5" s="425">
        <f>H19+H37</f>
        <v/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</row>
    <row r="6" s="327">
      <c r="A6" s="9" t="n"/>
      <c r="B6" s="31" t="inlineStr">
        <is>
          <t>销售提成比例</t>
        </is>
      </c>
      <c r="C6" s="32" t="n">
        <v>0.08939999999999999</v>
      </c>
      <c r="D6" s="33" t="n">
        <v>0.0839</v>
      </c>
      <c r="E6" s="9" t="n"/>
      <c r="F6" s="22" t="inlineStr">
        <is>
          <t>链路合计</t>
        </is>
      </c>
      <c r="G6" s="9" t="inlineStr">
        <is>
          <t>ROI 2成本项</t>
        </is>
      </c>
      <c r="H6" s="426">
        <f>H38+H20</f>
        <v/>
      </c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</row>
    <row r="7" s="327">
      <c r="A7" s="9" t="n"/>
      <c r="B7" s="31" t="inlineStr">
        <is>
          <t>礼品及其他费用比例</t>
        </is>
      </c>
      <c r="C7" s="32" t="n">
        <v>0.0132</v>
      </c>
      <c r="D7" s="33" t="n">
        <v>0.0155</v>
      </c>
      <c r="E7" s="9" t="n"/>
      <c r="F7" s="22" t="inlineStr">
        <is>
          <t>链路合计</t>
        </is>
      </c>
      <c r="G7" s="9" t="inlineStr">
        <is>
          <t>渠道预算</t>
        </is>
      </c>
      <c r="H7" s="426" t="n">
        <v>21696.9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</row>
    <row r="8" s="327">
      <c r="A8" s="9" t="n"/>
      <c r="B8" s="31" t="inlineStr">
        <is>
          <t>试听课单课时成本</t>
        </is>
      </c>
      <c r="C8" s="20" t="n">
        <v>83.03</v>
      </c>
      <c r="D8" s="21" t="n">
        <v>74.31</v>
      </c>
      <c r="E8" s="9" t="n"/>
      <c r="F8" s="22" t="inlineStr">
        <is>
          <t>入場人數</t>
        </is>
      </c>
      <c r="G8" s="9" t="n"/>
      <c r="H8" s="41" t="n">
        <v>300000</v>
      </c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</row>
    <row r="9" s="327">
      <c r="A9" s="8" t="n"/>
      <c r="B9" s="423" t="inlineStr">
        <is>
          <t>单例子市场运营人工及日常成本</t>
        </is>
      </c>
      <c r="C9" s="44" t="n">
        <v>100</v>
      </c>
      <c r="D9" s="44" t="n">
        <v>100</v>
      </c>
      <c r="E9" s="8" t="n"/>
      <c r="F9" s="22" t="inlineStr">
        <is>
          <t>主投</t>
        </is>
      </c>
      <c r="G9" s="9" t="inlineStr">
        <is>
          <t>例子数</t>
        </is>
      </c>
      <c r="H9" s="427" t="n">
        <v>110</v>
      </c>
    </row>
    <row r="10" s="327">
      <c r="A10" s="8" t="n"/>
      <c r="B10" s="8" t="n"/>
      <c r="C10" s="8" t="n"/>
      <c r="D10" s="8" t="n"/>
      <c r="E10" s="8" t="n"/>
      <c r="F10" s="22" t="inlineStr">
        <is>
          <t>主投</t>
        </is>
      </c>
      <c r="G10" s="9" t="inlineStr">
        <is>
          <t>例子分发率</t>
        </is>
      </c>
      <c r="H10" s="49">
        <f>H15/H9</f>
        <v/>
      </c>
    </row>
    <row r="11" s="327">
      <c r="A11" s="8" t="n"/>
      <c r="B11" s="8" t="n"/>
      <c r="C11" s="8" t="n"/>
      <c r="D11" s="8" t="n"/>
      <c r="E11" s="8" t="n"/>
      <c r="F11" s="22" t="inlineStr">
        <is>
          <t>主投</t>
        </is>
      </c>
      <c r="G11" s="9" t="inlineStr">
        <is>
          <t>例子约课率</t>
        </is>
      </c>
      <c r="H11" s="49" t="n">
        <v>0.75</v>
      </c>
    </row>
    <row r="12" s="327">
      <c r="A12" s="8" t="n"/>
      <c r="B12" s="8" t="n"/>
      <c r="C12" s="8" t="n"/>
      <c r="D12" s="8" t="n"/>
      <c r="E12" s="8" t="n"/>
      <c r="F12" s="22" t="inlineStr">
        <is>
          <t>主投</t>
        </is>
      </c>
      <c r="G12" s="9" t="inlineStr">
        <is>
          <t>例子到课率</t>
        </is>
      </c>
      <c r="H12" s="49">
        <f>H17/H9</f>
        <v/>
      </c>
    </row>
    <row r="13" s="327">
      <c r="A13" s="8" t="n"/>
      <c r="B13" s="8" t="n"/>
      <c r="C13" s="8" t="n"/>
      <c r="D13" s="8" t="inlineStr"/>
      <c r="E13" s="8" t="n"/>
      <c r="F13" s="22" t="inlineStr">
        <is>
          <t>主投</t>
        </is>
      </c>
      <c r="G13" s="9" t="inlineStr">
        <is>
          <t>滚动转化率</t>
        </is>
      </c>
      <c r="H13" s="56">
        <f>H18/H9</f>
        <v/>
      </c>
    </row>
    <row r="14" s="327">
      <c r="A14" s="8" t="n"/>
      <c r="B14" s="8" t="n"/>
      <c r="C14" s="8" t="n"/>
      <c r="D14" s="8" t="n"/>
      <c r="E14" s="8" t="n"/>
      <c r="F14" s="22" t="inlineStr">
        <is>
          <t>主投</t>
        </is>
      </c>
      <c r="G14" s="9" t="inlineStr">
        <is>
          <t>ASP</t>
        </is>
      </c>
      <c r="H14" s="429">
        <f>H19/H18</f>
        <v/>
      </c>
    </row>
    <row r="15" s="327">
      <c r="A15" s="8" t="n"/>
      <c r="B15" s="8" t="n"/>
      <c r="C15" s="8" t="n"/>
      <c r="D15" s="8" t="n"/>
      <c r="E15" s="8" t="n"/>
      <c r="F15" s="22" t="inlineStr">
        <is>
          <t>主投</t>
        </is>
      </c>
      <c r="G15" s="9" t="inlineStr">
        <is>
          <t>分发数</t>
        </is>
      </c>
      <c r="H15" s="430" t="n">
        <v>110</v>
      </c>
    </row>
    <row r="16" s="327">
      <c r="A16" s="8" t="n"/>
      <c r="B16" s="8" t="n"/>
      <c r="C16" s="8" t="n"/>
      <c r="D16" s="8" t="n"/>
      <c r="E16" s="8" t="n"/>
      <c r="F16" s="22" t="inlineStr">
        <is>
          <t>主投</t>
        </is>
      </c>
      <c r="G16" s="9" t="inlineStr">
        <is>
          <t>约课数</t>
        </is>
      </c>
      <c r="H16" s="430">
        <f>H9*H11</f>
        <v/>
      </c>
    </row>
    <row r="17" s="327">
      <c r="A17" s="8" t="n"/>
      <c r="B17" s="8" t="n"/>
      <c r="C17" s="8" t="n"/>
      <c r="D17" s="8" t="n"/>
      <c r="E17" s="8" t="n"/>
      <c r="F17" s="22" t="inlineStr">
        <is>
          <t>主投</t>
        </is>
      </c>
      <c r="G17" s="9" t="inlineStr">
        <is>
          <t>到课数</t>
        </is>
      </c>
      <c r="H17" s="430">
        <f>H16*0.8</f>
        <v/>
      </c>
    </row>
    <row r="18" s="327">
      <c r="A18" s="8" t="n"/>
      <c r="B18" s="8" t="n"/>
      <c r="C18" s="8" t="n"/>
      <c r="D18" s="8" t="n"/>
      <c r="E18" s="8" t="n"/>
      <c r="F18" s="22" t="inlineStr">
        <is>
          <t>主投</t>
        </is>
      </c>
      <c r="G18" s="9" t="inlineStr">
        <is>
          <t>转化数</t>
        </is>
      </c>
      <c r="H18" s="430">
        <f>H9*10%</f>
        <v/>
      </c>
    </row>
    <row r="19" s="327">
      <c r="A19" s="8" t="n"/>
      <c r="B19" s="430" t="n"/>
      <c r="C19" s="8" t="n"/>
      <c r="D19" s="8" t="n"/>
      <c r="E19" s="8" t="n"/>
      <c r="F19" s="22" t="inlineStr">
        <is>
          <t>主投</t>
        </is>
      </c>
      <c r="G19" s="9" t="inlineStr">
        <is>
          <t>GMV</t>
        </is>
      </c>
      <c r="H19" s="430">
        <f>H18*4500</f>
        <v/>
      </c>
    </row>
    <row r="20" s="327">
      <c r="A20" s="8" t="n"/>
      <c r="B20" s="8" t="n"/>
      <c r="C20" s="8" t="n"/>
      <c r="D20" s="8" t="n"/>
      <c r="E20" s="8" t="n"/>
      <c r="F20" s="22" t="inlineStr">
        <is>
          <t>主投</t>
        </is>
      </c>
      <c r="G20" s="9" t="inlineStr">
        <is>
          <t>ROI 2成本项</t>
        </is>
      </c>
      <c r="H20" s="430">
        <f>SUM(H21:H25)+H7</f>
        <v/>
      </c>
    </row>
    <row r="21" s="327">
      <c r="A21" s="8" t="n"/>
      <c r="B21" s="8" t="n"/>
      <c r="C21" s="8" t="n"/>
      <c r="D21" s="8" t="n"/>
      <c r="E21" s="8" t="n"/>
      <c r="F21" s="22" t="inlineStr">
        <is>
          <t>主投</t>
        </is>
      </c>
      <c r="G21" s="9" t="inlineStr">
        <is>
          <t>销售固定成本</t>
        </is>
      </c>
      <c r="H21" s="430">
        <f>H15*$C$4</f>
        <v/>
      </c>
    </row>
    <row r="22" s="327">
      <c r="A22" s="8" t="n"/>
      <c r="B22" s="8" t="n"/>
      <c r="C22" s="8" t="n"/>
      <c r="D22" s="8" t="n"/>
      <c r="E22" s="8" t="n"/>
      <c r="F22" s="22" t="inlineStr">
        <is>
          <t>主投</t>
        </is>
      </c>
      <c r="G22" s="9" t="inlineStr">
        <is>
          <t>销售变动成本</t>
        </is>
      </c>
      <c r="H22" s="430">
        <f>H19*($C$6+$C$7)</f>
        <v/>
      </c>
    </row>
    <row r="23" s="327">
      <c r="A23" s="8" t="n"/>
      <c r="B23" s="8" t="n"/>
      <c r="C23" s="8" t="n"/>
      <c r="D23" s="8" t="n"/>
      <c r="E23" s="8" t="n"/>
      <c r="F23" s="22" t="inlineStr">
        <is>
          <t>主投</t>
        </is>
      </c>
      <c r="G23" s="9" t="inlineStr">
        <is>
          <t>TMK费用</t>
        </is>
      </c>
      <c r="H23" s="430">
        <f>H9*$C$5</f>
        <v/>
      </c>
    </row>
    <row r="24" s="327">
      <c r="A24" s="8" t="n"/>
      <c r="B24" s="8" t="n"/>
      <c r="C24" s="8" t="n"/>
      <c r="D24" s="8" t="n"/>
      <c r="E24" s="8" t="n"/>
      <c r="F24" s="22" t="inlineStr">
        <is>
          <t>主投</t>
        </is>
      </c>
      <c r="G24" s="9" t="inlineStr">
        <is>
          <t>DEMO费用</t>
        </is>
      </c>
      <c r="H24" s="430">
        <f>H15*$C$8</f>
        <v/>
      </c>
    </row>
    <row r="25" s="327">
      <c r="A25" s="8" t="n"/>
      <c r="B25" s="8" t="n"/>
      <c r="C25" s="8" t="n"/>
      <c r="D25" s="8" t="n"/>
      <c r="E25" s="8" t="n"/>
      <c r="F25" s="22" t="inlineStr">
        <is>
          <t>主投</t>
        </is>
      </c>
      <c r="G25" s="9" t="inlineStr">
        <is>
          <t>运营人工成本</t>
        </is>
      </c>
      <c r="H25" s="430">
        <f>H9*$C$9/2</f>
        <v/>
      </c>
    </row>
    <row r="26" s="327">
      <c r="A26" s="8" t="n"/>
      <c r="B26" s="8" t="n"/>
      <c r="C26" s="8" t="n"/>
      <c r="D26" s="8" t="n"/>
      <c r="E26" s="8" t="n"/>
      <c r="F26" s="22" t="inlineStr">
        <is>
          <t>主投</t>
        </is>
      </c>
      <c r="G26" s="9" t="inlineStr">
        <is>
          <t>ROI 2</t>
        </is>
      </c>
      <c r="H26" s="431">
        <f>H19/H20</f>
        <v/>
      </c>
    </row>
    <row r="27" s="327">
      <c r="A27" s="9" t="n"/>
      <c r="B27" s="9" t="n"/>
      <c r="C27" s="9" t="n"/>
      <c r="D27" s="9" t="n"/>
      <c r="E27" s="9" t="n"/>
      <c r="F27" s="22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</row>
    <row r="28" s="327">
      <c r="A28" s="8" t="n"/>
      <c r="B28" s="8" t="n"/>
      <c r="C28" s="8" t="n"/>
      <c r="D28" s="8" t="n"/>
      <c r="E28" s="8" t="n"/>
      <c r="F28" s="22" t="n"/>
      <c r="G28" s="9" t="n"/>
      <c r="H28" s="5" t="n"/>
    </row>
    <row r="29" s="327">
      <c r="A29" s="8" t="n"/>
      <c r="B29" s="8" t="n"/>
      <c r="C29" s="8" t="n"/>
      <c r="D29" s="8" t="n"/>
      <c r="E29" s="8" t="n"/>
      <c r="F29" s="22" t="n"/>
      <c r="G29" s="9" t="n"/>
      <c r="H29" s="9" t="n"/>
    </row>
    <row r="30" s="327">
      <c r="A30" s="8" t="n"/>
      <c r="B30" s="8" t="n"/>
      <c r="C30" s="8" t="n"/>
      <c r="D30" s="8" t="n"/>
      <c r="E30" s="8" t="n"/>
      <c r="F30" s="22" t="n"/>
      <c r="G30" s="9" t="n"/>
      <c r="H30" s="5" t="n"/>
    </row>
    <row r="31" s="327">
      <c r="A31" s="8" t="n"/>
      <c r="B31" s="8" t="n"/>
      <c r="C31" s="8" t="n"/>
      <c r="D31" s="8" t="n"/>
      <c r="E31" s="8" t="n"/>
      <c r="F31" s="22" t="n"/>
      <c r="G31" s="9" t="n"/>
      <c r="H31" s="5" t="n"/>
    </row>
    <row r="32" s="327">
      <c r="A32" s="8" t="n"/>
      <c r="B32" s="8" t="n"/>
      <c r="C32" s="8" t="n"/>
      <c r="D32" s="8" t="n"/>
      <c r="E32" s="8" t="n"/>
      <c r="F32" s="22" t="n"/>
      <c r="G32" s="9" t="n"/>
      <c r="H32" s="5" t="n"/>
    </row>
    <row r="33" s="327">
      <c r="A33" s="8" t="n"/>
      <c r="B33" s="8" t="n"/>
      <c r="C33" s="8" t="n"/>
      <c r="D33" s="8" t="n"/>
      <c r="E33" s="8" t="n"/>
      <c r="F33" s="22" t="n"/>
      <c r="G33" s="9" t="n"/>
      <c r="H33" s="5" t="n"/>
    </row>
    <row r="34" s="327">
      <c r="A34" s="8" t="n"/>
      <c r="B34" s="8" t="n"/>
      <c r="C34" s="8" t="n"/>
      <c r="D34" s="8" t="n"/>
      <c r="E34" s="8" t="n"/>
      <c r="F34" s="22" t="n"/>
      <c r="G34" s="9" t="n"/>
      <c r="H34" s="5" t="n"/>
    </row>
    <row r="35" s="327">
      <c r="A35" s="8" t="n"/>
      <c r="B35" s="8" t="n"/>
      <c r="C35" s="8" t="n"/>
      <c r="D35" s="8" t="n"/>
      <c r="E35" s="8" t="n"/>
      <c r="F35" s="22" t="n"/>
      <c r="G35" s="9" t="n"/>
      <c r="H35" s="5" t="n"/>
    </row>
    <row r="36" s="327">
      <c r="A36" s="8" t="n"/>
      <c r="B36" s="8" t="n"/>
      <c r="C36" s="8" t="n"/>
      <c r="D36" s="8" t="n"/>
      <c r="E36" s="8" t="n"/>
      <c r="F36" s="22" t="n"/>
      <c r="G36" s="9" t="n"/>
      <c r="H36" s="430" t="n"/>
    </row>
    <row r="37" s="327">
      <c r="A37" s="8" t="n"/>
      <c r="B37" s="8" t="n"/>
      <c r="C37" s="8" t="n"/>
      <c r="D37" s="8" t="n"/>
      <c r="E37" s="8" t="n"/>
      <c r="F37" s="22" t="n"/>
      <c r="G37" s="9" t="n"/>
      <c r="H37" s="430" t="n"/>
    </row>
    <row r="38" s="327">
      <c r="A38" s="8" t="n"/>
      <c r="B38" s="8" t="n"/>
      <c r="C38" s="8" t="n"/>
      <c r="D38" s="8" t="n"/>
      <c r="E38" s="8" t="n"/>
      <c r="F38" s="22" t="n"/>
      <c r="G38" s="9" t="n"/>
      <c r="H38" s="430" t="n"/>
    </row>
    <row r="39" s="327">
      <c r="A39" s="8" t="n"/>
      <c r="B39" s="8" t="n"/>
      <c r="C39" s="8" t="n"/>
      <c r="D39" s="8" t="n"/>
      <c r="E39" s="8" t="n"/>
      <c r="F39" s="22" t="n"/>
      <c r="G39" s="9" t="n"/>
      <c r="H39" s="430" t="n"/>
    </row>
    <row r="40" s="327">
      <c r="A40" s="8" t="n"/>
      <c r="B40" s="8" t="n"/>
      <c r="C40" s="8" t="n"/>
      <c r="D40" s="8" t="n"/>
      <c r="E40" s="8" t="n"/>
      <c r="F40" s="22" t="n"/>
      <c r="G40" s="9" t="n"/>
      <c r="H40" s="430" t="n"/>
    </row>
    <row r="41" s="327">
      <c r="A41" s="8" t="n"/>
      <c r="B41" s="8" t="n"/>
      <c r="C41" s="8" t="n"/>
      <c r="D41" s="8" t="n"/>
      <c r="E41" s="8" t="n"/>
      <c r="F41" s="22" t="n"/>
      <c r="G41" s="9" t="n"/>
      <c r="H41" s="430" t="n"/>
    </row>
    <row r="42" s="327">
      <c r="A42" s="8" t="n"/>
      <c r="B42" s="8" t="n"/>
      <c r="C42" s="8" t="n"/>
      <c r="D42" s="8" t="n"/>
      <c r="E42" s="8" t="n"/>
      <c r="F42" s="22" t="n"/>
      <c r="G42" s="9" t="n"/>
      <c r="H42" s="430" t="n"/>
    </row>
    <row r="43" s="327">
      <c r="A43" s="8" t="n"/>
      <c r="B43" s="8" t="n"/>
      <c r="C43" s="8" t="n"/>
      <c r="D43" s="8" t="n"/>
      <c r="E43" s="8" t="n"/>
      <c r="F43" s="22" t="n"/>
      <c r="G43" s="9" t="n"/>
      <c r="H43" s="430" t="n"/>
    </row>
    <row r="44" s="327">
      <c r="A44" s="8" t="n"/>
      <c r="B44" s="8" t="n"/>
      <c r="C44" s="8" t="n"/>
      <c r="D44" s="8" t="n"/>
      <c r="E44" s="8" t="n"/>
      <c r="F44" s="22" t="n"/>
      <c r="G44" s="9" t="n"/>
      <c r="H44" s="431" t="n"/>
    </row>
    <row r="45" s="327">
      <c r="A45" s="8" t="n"/>
      <c r="B45" s="8" t="n"/>
      <c r="C45" s="8" t="n"/>
      <c r="D45" s="8" t="n"/>
      <c r="E45" s="8" t="n"/>
      <c r="F45" s="9" t="n"/>
      <c r="G45" s="8" t="n"/>
      <c r="H45" s="8" t="n"/>
    </row>
    <row r="46" s="327">
      <c r="A46" s="8" t="n"/>
      <c r="B46" s="8" t="n"/>
      <c r="C46" s="8" t="n"/>
      <c r="D46" s="8" t="n"/>
      <c r="E46" s="8" t="n"/>
      <c r="F46" s="9" t="n"/>
      <c r="G46" s="8" t="n"/>
      <c r="H46" s="8" t="n"/>
    </row>
    <row r="47" s="327">
      <c r="A47" s="8" t="n"/>
      <c r="B47" s="8" t="n"/>
      <c r="C47" s="8" t="n"/>
      <c r="D47" s="8" t="n"/>
      <c r="E47" s="8" t="n"/>
      <c r="F47" s="9" t="n"/>
      <c r="G47" s="8" t="n"/>
      <c r="H47" s="8" t="n"/>
    </row>
    <row r="48" s="327">
      <c r="A48" s="8" t="n"/>
      <c r="B48" s="8" t="n"/>
      <c r="C48" s="8" t="n"/>
      <c r="D48" s="8" t="n"/>
      <c r="E48" s="8" t="n"/>
      <c r="F48" s="9" t="n"/>
      <c r="G48" s="8" t="n"/>
      <c r="H48" s="8" t="n"/>
    </row>
    <row r="49" s="327">
      <c r="A49" s="8" t="n"/>
      <c r="B49" s="8" t="n"/>
      <c r="C49" s="8" t="n"/>
      <c r="D49" s="8" t="n"/>
      <c r="E49" s="8" t="n"/>
      <c r="F49" s="9" t="n"/>
      <c r="G49" s="8" t="n"/>
      <c r="H49" s="8" t="n"/>
    </row>
    <row r="50" s="327">
      <c r="A50" s="8" t="n"/>
      <c r="B50" s="8" t="n"/>
      <c r="C50" s="8" t="n"/>
      <c r="D50" s="8" t="n"/>
      <c r="E50" s="8" t="n"/>
      <c r="F50" s="9" t="n"/>
      <c r="G50" s="8" t="n"/>
      <c r="H50" s="8" t="n"/>
    </row>
    <row r="51" s="327">
      <c r="A51" s="8" t="n"/>
      <c r="B51" s="8" t="n"/>
      <c r="C51" s="8" t="n"/>
      <c r="D51" s="8" t="n"/>
      <c r="E51" s="8" t="n"/>
      <c r="F51" s="9" t="n"/>
      <c r="G51" s="8" t="n"/>
      <c r="H51" s="8" t="n"/>
    </row>
    <row r="52" s="327">
      <c r="A52" s="8" t="n"/>
      <c r="B52" s="8" t="n"/>
      <c r="C52" s="8" t="n"/>
      <c r="D52" s="8" t="n"/>
      <c r="E52" s="8" t="n"/>
      <c r="F52" s="9" t="n"/>
      <c r="G52" s="8" t="n"/>
      <c r="H52" s="8" t="n"/>
    </row>
    <row r="53" s="327">
      <c r="A53" s="8" t="n"/>
      <c r="B53" s="8" t="n"/>
      <c r="C53" s="8" t="n"/>
      <c r="D53" s="8" t="n"/>
      <c r="E53" s="8" t="n"/>
      <c r="F53" s="9" t="n"/>
      <c r="G53" s="8" t="n"/>
      <c r="H53" s="8" t="n"/>
    </row>
    <row r="54" s="327">
      <c r="A54" s="8" t="n"/>
      <c r="B54" s="8" t="n"/>
      <c r="C54" s="8" t="n"/>
      <c r="D54" s="8" t="n"/>
      <c r="E54" s="8" t="n"/>
      <c r="F54" s="9" t="n"/>
      <c r="G54" s="8" t="n"/>
      <c r="H54" s="8" t="n"/>
    </row>
    <row r="55" s="327">
      <c r="A55" s="8" t="n"/>
      <c r="B55" s="8" t="n"/>
      <c r="C55" s="8" t="n"/>
      <c r="D55" s="8" t="n"/>
      <c r="E55" s="8" t="n"/>
      <c r="F55" s="9" t="n"/>
      <c r="G55" s="8" t="n"/>
      <c r="H55" s="8" t="n"/>
    </row>
    <row r="56" s="327">
      <c r="A56" s="8" t="n"/>
      <c r="B56" s="8" t="n"/>
      <c r="C56" s="8" t="n"/>
      <c r="D56" s="8" t="n"/>
      <c r="E56" s="8" t="n"/>
      <c r="F56" s="9" t="n"/>
      <c r="G56" s="8" t="n"/>
      <c r="H56" s="8" t="n"/>
    </row>
    <row r="57" s="327">
      <c r="A57" s="8" t="n"/>
      <c r="B57" s="8" t="n"/>
      <c r="C57" s="8" t="n"/>
      <c r="D57" s="8" t="n"/>
      <c r="E57" s="8" t="n"/>
      <c r="F57" s="9" t="n"/>
      <c r="G57" s="8" t="n"/>
      <c r="H57" s="8" t="n"/>
    </row>
    <row r="58" s="327">
      <c r="A58" s="8" t="n"/>
      <c r="B58" s="8" t="n"/>
      <c r="C58" s="8" t="n"/>
      <c r="D58" s="8" t="n"/>
      <c r="E58" s="8" t="n"/>
      <c r="F58" s="9" t="n"/>
      <c r="G58" s="8" t="n"/>
      <c r="H58" s="8" t="n"/>
    </row>
    <row r="59" s="327">
      <c r="A59" s="8" t="n"/>
      <c r="B59" s="8" t="n"/>
      <c r="C59" s="8" t="n"/>
      <c r="D59" s="8" t="n"/>
      <c r="E59" s="8" t="n"/>
      <c r="F59" s="9" t="n"/>
      <c r="G59" s="8" t="n"/>
      <c r="H59" s="8" t="n"/>
    </row>
    <row r="60" s="327">
      <c r="A60" s="8" t="n"/>
      <c r="B60" s="8" t="n"/>
      <c r="C60" s="8" t="n"/>
      <c r="D60" s="8" t="n"/>
      <c r="E60" s="8" t="n"/>
      <c r="F60" s="9" t="n"/>
      <c r="G60" s="8" t="n"/>
      <c r="H60" s="8" t="n"/>
    </row>
    <row r="61" s="327">
      <c r="A61" s="8" t="n"/>
      <c r="B61" s="8" t="n"/>
      <c r="C61" s="8" t="n"/>
      <c r="D61" s="8" t="n"/>
      <c r="E61" s="8" t="n"/>
      <c r="F61" s="9" t="n"/>
      <c r="G61" s="8" t="n"/>
      <c r="H61" s="8" t="n"/>
    </row>
    <row r="62" s="327">
      <c r="A62" s="8" t="n"/>
      <c r="B62" s="8" t="n"/>
      <c r="C62" s="8" t="n"/>
      <c r="D62" s="8" t="n"/>
      <c r="E62" s="8" t="n"/>
      <c r="F62" s="9" t="n"/>
      <c r="G62" s="8" t="n"/>
      <c r="H62" s="8" t="n"/>
    </row>
    <row r="63" s="327">
      <c r="A63" s="8" t="n"/>
      <c r="B63" s="8" t="n"/>
      <c r="C63" s="8" t="n"/>
      <c r="D63" s="8" t="n"/>
      <c r="E63" s="8" t="n"/>
      <c r="F63" s="9" t="n"/>
      <c r="G63" s="8" t="n"/>
      <c r="H63" s="8" t="n"/>
    </row>
    <row r="64" s="327">
      <c r="A64" s="8" t="n"/>
      <c r="B64" s="8" t="n"/>
      <c r="C64" s="8" t="n"/>
      <c r="D64" s="8" t="n"/>
      <c r="E64" s="8" t="n"/>
      <c r="F64" s="9" t="n"/>
      <c r="G64" s="8" t="n"/>
      <c r="H64" s="8" t="n"/>
    </row>
    <row r="65" s="327">
      <c r="A65" s="8" t="n"/>
      <c r="B65" s="8" t="n"/>
      <c r="C65" s="8" t="n"/>
      <c r="D65" s="8" t="n"/>
      <c r="E65" s="8" t="n"/>
      <c r="F65" s="9" t="n"/>
      <c r="G65" s="8" t="n"/>
      <c r="H65" s="8" t="n"/>
    </row>
    <row r="66" s="327">
      <c r="A66" s="8" t="n"/>
      <c r="B66" s="8" t="n"/>
      <c r="C66" s="8" t="n"/>
      <c r="D66" s="8" t="n"/>
      <c r="E66" s="8" t="n"/>
      <c r="F66" s="9" t="n"/>
      <c r="G66" s="8" t="n"/>
      <c r="H66" s="8" t="n"/>
    </row>
    <row r="67" s="327">
      <c r="A67" s="8" t="n"/>
      <c r="B67" s="8" t="n"/>
      <c r="C67" s="8" t="n"/>
      <c r="D67" s="8" t="n"/>
      <c r="E67" s="8" t="n"/>
      <c r="F67" s="9" t="n"/>
      <c r="G67" s="8" t="n"/>
      <c r="H67" s="8" t="n"/>
    </row>
    <row r="68" s="327">
      <c r="A68" s="8" t="n"/>
      <c r="B68" s="8" t="n"/>
      <c r="C68" s="8" t="n"/>
      <c r="D68" s="8" t="n"/>
      <c r="E68" s="8" t="n"/>
      <c r="F68" s="9" t="n"/>
      <c r="G68" s="8" t="n"/>
      <c r="H68" s="8" t="n"/>
    </row>
    <row r="69" s="327">
      <c r="A69" s="8" t="n"/>
      <c r="B69" s="8" t="n"/>
      <c r="C69" s="8" t="n"/>
      <c r="D69" s="8" t="n"/>
      <c r="E69" s="8" t="n"/>
      <c r="F69" s="9" t="n"/>
      <c r="G69" s="8" t="n"/>
      <c r="H69" s="8" t="n"/>
    </row>
    <row r="70" s="327">
      <c r="A70" s="8" t="n"/>
      <c r="B70" s="8" t="n"/>
      <c r="C70" s="8" t="n"/>
      <c r="D70" s="8" t="n"/>
      <c r="E70" s="8" t="n"/>
      <c r="F70" s="9" t="n"/>
      <c r="G70" s="8" t="n"/>
      <c r="H70" s="8" t="n"/>
    </row>
    <row r="71" s="327">
      <c r="A71" s="8" t="n"/>
      <c r="B71" s="8" t="n"/>
      <c r="C71" s="8" t="n"/>
      <c r="D71" s="8" t="n"/>
      <c r="E71" s="8" t="n"/>
      <c r="F71" s="9" t="n"/>
      <c r="G71" s="8" t="n"/>
      <c r="H71" s="8" t="n"/>
    </row>
    <row r="72" s="327">
      <c r="A72" s="8" t="n"/>
      <c r="B72" s="8" t="n"/>
      <c r="C72" s="8" t="n"/>
      <c r="D72" s="8" t="n"/>
      <c r="E72" s="8" t="n"/>
      <c r="F72" s="9" t="n"/>
      <c r="G72" s="8" t="n"/>
      <c r="H72" s="8" t="n"/>
    </row>
    <row r="73" s="327">
      <c r="A73" s="8" t="n"/>
      <c r="B73" s="8" t="n"/>
      <c r="C73" s="8" t="n"/>
      <c r="D73" s="8" t="n"/>
      <c r="E73" s="8" t="n"/>
      <c r="F73" s="9" t="n"/>
      <c r="G73" s="8" t="n"/>
      <c r="H73" s="8" t="n"/>
    </row>
    <row r="74" s="327">
      <c r="A74" s="8" t="n"/>
      <c r="B74" s="8" t="n"/>
      <c r="C74" s="8" t="n"/>
      <c r="D74" s="8" t="n"/>
      <c r="E74" s="8" t="n"/>
      <c r="F74" s="9" t="n"/>
      <c r="G74" s="8" t="n"/>
      <c r="H74" s="8" t="n"/>
    </row>
    <row r="75" s="327">
      <c r="A75" s="8" t="n"/>
      <c r="B75" s="8" t="n"/>
      <c r="C75" s="8" t="n"/>
      <c r="D75" s="8" t="n"/>
      <c r="E75" s="8" t="n"/>
      <c r="F75" s="9" t="n"/>
      <c r="G75" s="8" t="n"/>
      <c r="H75" s="8" t="n"/>
    </row>
    <row r="76" s="327">
      <c r="A76" s="8" t="n"/>
      <c r="B76" s="8" t="n"/>
      <c r="C76" s="8" t="n"/>
      <c r="D76" s="8" t="n"/>
      <c r="E76" s="8" t="n"/>
      <c r="F76" s="9" t="n"/>
      <c r="G76" s="8" t="n"/>
      <c r="H76" s="8" t="n"/>
    </row>
    <row r="77" s="327">
      <c r="A77" s="8" t="n"/>
      <c r="B77" s="8" t="n"/>
      <c r="C77" s="8" t="n"/>
      <c r="D77" s="8" t="n"/>
      <c r="E77" s="8" t="n"/>
      <c r="F77" s="9" t="n"/>
      <c r="G77" s="8" t="n"/>
      <c r="H77" s="8" t="n"/>
    </row>
    <row r="78" s="327">
      <c r="A78" s="8" t="n"/>
      <c r="B78" s="8" t="n"/>
      <c r="C78" s="8" t="n"/>
      <c r="D78" s="8" t="n"/>
      <c r="E78" s="8" t="n"/>
      <c r="F78" s="9" t="n"/>
      <c r="G78" s="8" t="n"/>
      <c r="H78" s="8" t="n"/>
    </row>
    <row r="79" s="327">
      <c r="A79" s="8" t="n"/>
      <c r="B79" s="8" t="n"/>
      <c r="C79" s="8" t="n"/>
      <c r="D79" s="8" t="n"/>
      <c r="E79" s="8" t="n"/>
      <c r="F79" s="9" t="n"/>
      <c r="G79" s="8" t="n"/>
      <c r="H79" s="8" t="n"/>
    </row>
    <row r="80" s="327">
      <c r="A80" s="8" t="n"/>
      <c r="B80" s="8" t="n"/>
      <c r="C80" s="8" t="n"/>
      <c r="D80" s="8" t="n"/>
      <c r="E80" s="8" t="n"/>
      <c r="F80" s="9" t="n"/>
      <c r="G80" s="8" t="n"/>
      <c r="H80" s="8" t="n"/>
    </row>
    <row r="81" s="327">
      <c r="A81" s="8" t="n"/>
      <c r="B81" s="8" t="n"/>
      <c r="C81" s="8" t="n"/>
      <c r="D81" s="8" t="n"/>
      <c r="E81" s="8" t="n"/>
      <c r="F81" s="9" t="n"/>
      <c r="G81" s="8" t="n"/>
      <c r="H81" s="8" t="n"/>
    </row>
    <row r="82" s="327">
      <c r="A82" s="8" t="n"/>
      <c r="B82" s="8" t="n"/>
      <c r="C82" s="8" t="n"/>
      <c r="D82" s="8" t="n"/>
      <c r="E82" s="8" t="n"/>
      <c r="F82" s="9" t="n"/>
      <c r="G82" s="8" t="n"/>
      <c r="H82" s="8" t="n"/>
    </row>
    <row r="83" s="327">
      <c r="A83" s="8" t="n"/>
      <c r="B83" s="8" t="n"/>
      <c r="C83" s="8" t="n"/>
      <c r="D83" s="8" t="n"/>
      <c r="E83" s="8" t="n"/>
      <c r="F83" s="9" t="n"/>
      <c r="G83" s="8" t="n"/>
      <c r="H83" s="8" t="n"/>
    </row>
    <row r="84" s="327">
      <c r="A84" s="8" t="n"/>
      <c r="B84" s="8" t="n"/>
      <c r="C84" s="8" t="n"/>
      <c r="D84" s="8" t="n"/>
      <c r="E84" s="8" t="n"/>
      <c r="F84" s="9" t="n"/>
      <c r="G84" s="8" t="n"/>
      <c r="H84" s="8" t="n"/>
    </row>
    <row r="85" s="327">
      <c r="A85" s="8" t="n"/>
      <c r="B85" s="8" t="n"/>
      <c r="C85" s="8" t="n"/>
      <c r="D85" s="8" t="n"/>
      <c r="E85" s="8" t="n"/>
      <c r="F85" s="9" t="n"/>
      <c r="G85" s="8" t="n"/>
      <c r="H85" s="8" t="n"/>
    </row>
    <row r="86" s="327">
      <c r="A86" s="8" t="n"/>
      <c r="B86" s="8" t="n"/>
      <c r="C86" s="8" t="n"/>
      <c r="D86" s="8" t="n"/>
      <c r="E86" s="8" t="n"/>
      <c r="F86" s="9" t="n"/>
      <c r="G86" s="8" t="n"/>
      <c r="H86" s="8" t="n"/>
    </row>
    <row r="87" s="327">
      <c r="A87" s="8" t="n"/>
      <c r="B87" s="8" t="n"/>
      <c r="C87" s="8" t="n"/>
      <c r="D87" s="8" t="n"/>
      <c r="E87" s="8" t="n"/>
      <c r="F87" s="9" t="n"/>
      <c r="G87" s="8" t="n"/>
      <c r="H87" s="8" t="n"/>
    </row>
    <row r="88" s="327">
      <c r="A88" s="8" t="n"/>
      <c r="B88" s="8" t="n"/>
      <c r="C88" s="8" t="n"/>
      <c r="D88" s="8" t="n"/>
      <c r="E88" s="8" t="n"/>
      <c r="F88" s="9" t="n"/>
      <c r="G88" s="8" t="n"/>
      <c r="H88" s="8" t="n"/>
    </row>
    <row r="89" s="327">
      <c r="A89" s="8" t="n"/>
      <c r="B89" s="8" t="n"/>
      <c r="C89" s="8" t="n"/>
      <c r="D89" s="8" t="n"/>
      <c r="E89" s="8" t="n"/>
      <c r="F89" s="9" t="n"/>
      <c r="G89" s="8" t="n"/>
      <c r="H89" s="8" t="n"/>
    </row>
    <row r="90" s="327">
      <c r="A90" s="8" t="n"/>
      <c r="B90" s="8" t="n"/>
      <c r="C90" s="8" t="n"/>
      <c r="D90" s="8" t="n"/>
      <c r="E90" s="8" t="n"/>
      <c r="F90" s="9" t="n"/>
      <c r="G90" s="8" t="n"/>
      <c r="H90" s="8" t="n"/>
    </row>
    <row r="91" s="327">
      <c r="A91" s="8" t="n"/>
      <c r="B91" s="8" t="n"/>
      <c r="C91" s="8" t="n"/>
      <c r="D91" s="8" t="n"/>
      <c r="E91" s="8" t="n"/>
      <c r="F91" s="9" t="n"/>
      <c r="G91" s="8" t="n"/>
      <c r="H91" s="8" t="n"/>
    </row>
    <row r="92" s="327">
      <c r="A92" s="8" t="n"/>
      <c r="B92" s="8" t="n"/>
      <c r="C92" s="8" t="n"/>
      <c r="D92" s="8" t="n"/>
      <c r="E92" s="8" t="n"/>
      <c r="F92" s="9" t="n"/>
      <c r="G92" s="8" t="n"/>
      <c r="H92" s="8" t="n"/>
    </row>
    <row r="93" s="327">
      <c r="A93" s="8" t="n"/>
      <c r="B93" s="8" t="n"/>
      <c r="C93" s="8" t="n"/>
      <c r="D93" s="8" t="n"/>
      <c r="E93" s="8" t="n"/>
      <c r="F93" s="9" t="n"/>
      <c r="G93" s="8" t="n"/>
      <c r="H93" s="8" t="n"/>
    </row>
    <row r="94" s="327">
      <c r="A94" s="8" t="n"/>
      <c r="B94" s="8" t="n"/>
      <c r="C94" s="8" t="n"/>
      <c r="D94" s="8" t="n"/>
      <c r="E94" s="8" t="n"/>
      <c r="F94" s="9" t="n"/>
      <c r="G94" s="8" t="n"/>
      <c r="H94" s="8" t="n"/>
    </row>
    <row r="95" s="327">
      <c r="A95" s="8" t="n"/>
      <c r="B95" s="8" t="n"/>
      <c r="C95" s="8" t="n"/>
      <c r="D95" s="8" t="n"/>
      <c r="E95" s="8" t="n"/>
      <c r="F95" s="9" t="n"/>
      <c r="G95" s="8" t="n"/>
      <c r="H95" s="8" t="n"/>
    </row>
    <row r="96" s="327">
      <c r="A96" s="8" t="n"/>
      <c r="B96" s="8" t="n"/>
      <c r="C96" s="8" t="n"/>
      <c r="D96" s="8" t="n"/>
      <c r="E96" s="8" t="n"/>
      <c r="F96" s="9" t="n"/>
      <c r="G96" s="8" t="n"/>
      <c r="H96" s="8" t="n"/>
    </row>
    <row r="97" s="327">
      <c r="A97" s="8" t="n"/>
      <c r="B97" s="8" t="n"/>
      <c r="C97" s="8" t="n"/>
      <c r="D97" s="8" t="n"/>
      <c r="E97" s="8" t="n"/>
      <c r="F97" s="9" t="n"/>
      <c r="G97" s="8" t="n"/>
      <c r="H97" s="8" t="n"/>
    </row>
    <row r="98" s="327">
      <c r="A98" s="8" t="n"/>
      <c r="B98" s="8" t="n"/>
      <c r="C98" s="8" t="n"/>
      <c r="D98" s="8" t="n"/>
      <c r="E98" s="8" t="n"/>
      <c r="F98" s="9" t="n"/>
      <c r="G98" s="8" t="n"/>
      <c r="H98" s="8" t="n"/>
    </row>
    <row r="99" s="327">
      <c r="A99" s="8" t="n"/>
      <c r="B99" s="8" t="n"/>
      <c r="C99" s="8" t="n"/>
      <c r="D99" s="8" t="n"/>
      <c r="E99" s="8" t="n"/>
      <c r="F99" s="9" t="n"/>
      <c r="G99" s="8" t="n"/>
      <c r="H99" s="8" t="n"/>
    </row>
    <row r="100" s="327">
      <c r="A100" s="8" t="n"/>
      <c r="B100" s="8" t="n"/>
      <c r="C100" s="8" t="n"/>
      <c r="D100" s="8" t="n"/>
      <c r="E100" s="8" t="n"/>
      <c r="F100" s="9" t="n"/>
      <c r="G100" s="8" t="n"/>
      <c r="H100" s="8" t="n"/>
    </row>
    <row r="101" s="327">
      <c r="A101" s="8" t="n"/>
      <c r="B101" s="8" t="n"/>
      <c r="C101" s="8" t="n"/>
      <c r="D101" s="8" t="n"/>
      <c r="E101" s="8" t="n"/>
      <c r="F101" s="9" t="n"/>
      <c r="G101" s="8" t="n"/>
      <c r="H101" s="8" t="n"/>
    </row>
    <row r="102" s="327">
      <c r="A102" s="8" t="n"/>
      <c r="B102" s="8" t="n"/>
      <c r="C102" s="8" t="n"/>
      <c r="D102" s="8" t="n"/>
      <c r="E102" s="8" t="n"/>
      <c r="F102" s="9" t="n"/>
      <c r="G102" s="8" t="n"/>
      <c r="H102" s="8" t="n"/>
    </row>
    <row r="103" s="327">
      <c r="A103" s="8" t="n"/>
      <c r="B103" s="8" t="n"/>
      <c r="C103" s="8" t="n"/>
      <c r="D103" s="8" t="n"/>
      <c r="E103" s="8" t="n"/>
      <c r="F103" s="9" t="n"/>
      <c r="G103" s="8" t="n"/>
      <c r="H103" s="8" t="n"/>
    </row>
    <row r="104" s="327">
      <c r="A104" s="8" t="n"/>
      <c r="B104" s="8" t="n"/>
      <c r="C104" s="8" t="n"/>
      <c r="D104" s="8" t="n"/>
      <c r="E104" s="8" t="n"/>
      <c r="F104" s="9" t="n"/>
      <c r="G104" s="8" t="n"/>
      <c r="H104" s="8" t="n"/>
    </row>
    <row r="105" s="327">
      <c r="A105" s="8" t="n"/>
      <c r="B105" s="8" t="n"/>
      <c r="C105" s="8" t="n"/>
      <c r="D105" s="8" t="n"/>
      <c r="E105" s="8" t="n"/>
      <c r="F105" s="9" t="n"/>
      <c r="G105" s="8" t="n"/>
      <c r="H105" s="8" t="n"/>
    </row>
    <row r="106" s="327">
      <c r="A106" s="8" t="n"/>
      <c r="B106" s="8" t="n"/>
      <c r="C106" s="8" t="n"/>
      <c r="D106" s="8" t="n"/>
      <c r="E106" s="8" t="n"/>
      <c r="F106" s="9" t="n"/>
      <c r="G106" s="8" t="n"/>
      <c r="H106" s="8" t="n"/>
    </row>
    <row r="107" s="327">
      <c r="A107" s="8" t="n"/>
      <c r="B107" s="8" t="n"/>
      <c r="C107" s="8" t="n"/>
      <c r="D107" s="8" t="n"/>
      <c r="E107" s="8" t="n"/>
      <c r="F107" s="9" t="n"/>
      <c r="G107" s="8" t="n"/>
      <c r="H107" s="8" t="n"/>
    </row>
    <row r="108" s="327">
      <c r="A108" s="8" t="n"/>
      <c r="B108" s="8" t="n"/>
      <c r="C108" s="8" t="n"/>
      <c r="D108" s="8" t="n"/>
      <c r="E108" s="8" t="n"/>
      <c r="F108" s="9" t="n"/>
      <c r="G108" s="8" t="n"/>
      <c r="H108" s="8" t="n"/>
    </row>
    <row r="109" s="327">
      <c r="A109" s="8" t="n"/>
      <c r="B109" s="8" t="n"/>
      <c r="C109" s="8" t="n"/>
      <c r="D109" s="8" t="n"/>
      <c r="E109" s="8" t="n"/>
      <c r="F109" s="9" t="n"/>
      <c r="G109" s="8" t="n"/>
      <c r="H109" s="8" t="n"/>
    </row>
    <row r="110" s="327">
      <c r="A110" s="8" t="n"/>
      <c r="B110" s="8" t="n"/>
      <c r="C110" s="8" t="n"/>
      <c r="D110" s="8" t="n"/>
      <c r="E110" s="8" t="n"/>
      <c r="F110" s="9" t="n"/>
      <c r="G110" s="8" t="n"/>
      <c r="H110" s="8" t="n"/>
    </row>
    <row r="111" s="327">
      <c r="A111" s="8" t="n"/>
      <c r="B111" s="8" t="n"/>
      <c r="C111" s="8" t="n"/>
      <c r="D111" s="8" t="n"/>
      <c r="E111" s="8" t="n"/>
      <c r="F111" s="9" t="n"/>
      <c r="G111" s="8" t="n"/>
      <c r="H111" s="8" t="n"/>
    </row>
    <row r="112" s="327">
      <c r="A112" s="8" t="n"/>
      <c r="B112" s="8" t="n"/>
      <c r="C112" s="8" t="n"/>
      <c r="D112" s="8" t="n"/>
      <c r="E112" s="8" t="n"/>
      <c r="F112" s="9" t="n"/>
      <c r="G112" s="8" t="n"/>
      <c r="H112" s="8" t="n"/>
    </row>
    <row r="113" s="327">
      <c r="A113" s="8" t="n"/>
      <c r="B113" s="8" t="n"/>
      <c r="C113" s="8" t="n"/>
      <c r="D113" s="8" t="n"/>
      <c r="E113" s="8" t="n"/>
      <c r="F113" s="9" t="n"/>
      <c r="G113" s="8" t="n"/>
      <c r="H113" s="8" t="n"/>
    </row>
    <row r="114" s="327">
      <c r="A114" s="8" t="n"/>
      <c r="B114" s="8" t="n"/>
      <c r="C114" s="8" t="n"/>
      <c r="D114" s="8" t="n"/>
      <c r="E114" s="8" t="n"/>
      <c r="F114" s="9" t="n"/>
      <c r="G114" s="8" t="n"/>
      <c r="H114" s="8" t="n"/>
    </row>
    <row r="115" s="327">
      <c r="A115" s="8" t="n"/>
      <c r="B115" s="8" t="n"/>
      <c r="C115" s="8" t="n"/>
      <c r="D115" s="8" t="n"/>
      <c r="E115" s="8" t="n"/>
      <c r="F115" s="9" t="n"/>
      <c r="G115" s="8" t="n"/>
      <c r="H115" s="8" t="n"/>
    </row>
    <row r="116" s="327">
      <c r="A116" s="8" t="n"/>
      <c r="B116" s="8" t="n"/>
      <c r="C116" s="8" t="n"/>
      <c r="D116" s="8" t="n"/>
      <c r="E116" s="8" t="n"/>
      <c r="F116" s="9" t="n"/>
      <c r="G116" s="8" t="n"/>
      <c r="H116" s="8" t="n"/>
    </row>
    <row r="117" s="327">
      <c r="A117" s="8" t="n"/>
      <c r="B117" s="8" t="n"/>
      <c r="C117" s="8" t="n"/>
      <c r="D117" s="8" t="n"/>
      <c r="E117" s="8" t="n"/>
      <c r="F117" s="9" t="n"/>
      <c r="G117" s="8" t="n"/>
      <c r="H117" s="8" t="n"/>
    </row>
    <row r="118" s="327">
      <c r="A118" s="8" t="n"/>
      <c r="B118" s="8" t="n"/>
      <c r="C118" s="8" t="n"/>
      <c r="D118" s="8" t="n"/>
      <c r="E118" s="8" t="n"/>
      <c r="F118" s="9" t="n"/>
      <c r="G118" s="8" t="n"/>
      <c r="H118" s="8" t="n"/>
    </row>
    <row r="119" s="327">
      <c r="A119" s="8" t="n"/>
      <c r="B119" s="8" t="n"/>
      <c r="C119" s="8" t="n"/>
      <c r="D119" s="8" t="n"/>
      <c r="E119" s="8" t="n"/>
      <c r="F119" s="9" t="n"/>
      <c r="G119" s="8" t="n"/>
      <c r="H119" s="8" t="n"/>
    </row>
    <row r="120" s="327">
      <c r="A120" s="8" t="n"/>
      <c r="B120" s="8" t="n"/>
      <c r="C120" s="8" t="n"/>
      <c r="D120" s="8" t="n"/>
      <c r="E120" s="8" t="n"/>
      <c r="F120" s="9" t="n"/>
      <c r="G120" s="8" t="n"/>
      <c r="H120" s="8" t="n"/>
    </row>
    <row r="121" s="327">
      <c r="A121" s="8" t="n"/>
      <c r="B121" s="8" t="n"/>
      <c r="C121" s="8" t="n"/>
      <c r="D121" s="8" t="n"/>
      <c r="E121" s="8" t="n"/>
      <c r="F121" s="9" t="n"/>
      <c r="G121" s="8" t="n"/>
      <c r="H121" s="8" t="n"/>
    </row>
    <row r="122" s="327">
      <c r="A122" s="8" t="n"/>
      <c r="B122" s="8" t="n"/>
      <c r="C122" s="8" t="n"/>
      <c r="D122" s="8" t="n"/>
      <c r="E122" s="8" t="n"/>
      <c r="F122" s="9" t="n"/>
      <c r="G122" s="8" t="n"/>
      <c r="H122" s="8" t="n"/>
    </row>
    <row r="123" s="327">
      <c r="A123" s="8" t="n"/>
      <c r="B123" s="8" t="n"/>
      <c r="C123" s="8" t="n"/>
      <c r="D123" s="8" t="n"/>
      <c r="E123" s="8" t="n"/>
      <c r="F123" s="9" t="n"/>
      <c r="G123" s="8" t="n"/>
      <c r="H123" s="8" t="n"/>
    </row>
    <row r="124" s="327">
      <c r="A124" s="8" t="n"/>
      <c r="B124" s="8" t="n"/>
      <c r="C124" s="8" t="n"/>
      <c r="D124" s="8" t="n"/>
      <c r="E124" s="8" t="n"/>
      <c r="F124" s="9" t="n"/>
      <c r="G124" s="8" t="n"/>
      <c r="H124" s="8" t="n"/>
    </row>
    <row r="125" s="327">
      <c r="A125" s="8" t="n"/>
      <c r="B125" s="8" t="n"/>
      <c r="C125" s="8" t="n"/>
      <c r="D125" s="8" t="n"/>
      <c r="E125" s="8" t="n"/>
      <c r="F125" s="9" t="n"/>
      <c r="G125" s="8" t="n"/>
      <c r="H125" s="8" t="n"/>
    </row>
    <row r="126" s="327">
      <c r="A126" s="8" t="n"/>
      <c r="B126" s="8" t="n"/>
      <c r="C126" s="8" t="n"/>
      <c r="D126" s="8" t="n"/>
      <c r="E126" s="8" t="n"/>
      <c r="F126" s="9" t="n"/>
      <c r="G126" s="8" t="n"/>
      <c r="H126" s="8" t="n"/>
    </row>
    <row r="127" s="327">
      <c r="A127" s="8" t="n"/>
      <c r="B127" s="8" t="n"/>
      <c r="C127" s="8" t="n"/>
      <c r="D127" s="8" t="n"/>
      <c r="E127" s="8" t="n"/>
      <c r="F127" s="9" t="n"/>
      <c r="G127" s="8" t="n"/>
      <c r="H127" s="8" t="n"/>
    </row>
    <row r="128" s="327">
      <c r="A128" s="8" t="n"/>
      <c r="B128" s="8" t="n"/>
      <c r="C128" s="8" t="n"/>
      <c r="D128" s="8" t="n"/>
      <c r="E128" s="8" t="n"/>
      <c r="F128" s="9" t="n"/>
      <c r="G128" s="8" t="n"/>
      <c r="H128" s="8" t="n"/>
    </row>
    <row r="129" s="327">
      <c r="A129" s="8" t="n"/>
      <c r="B129" s="8" t="n"/>
      <c r="C129" s="8" t="n"/>
      <c r="D129" s="8" t="n"/>
      <c r="E129" s="8" t="n"/>
      <c r="F129" s="9" t="n"/>
      <c r="G129" s="8" t="n"/>
      <c r="H129" s="8" t="n"/>
    </row>
    <row r="130" s="327">
      <c r="A130" s="8" t="n"/>
      <c r="B130" s="8" t="n"/>
      <c r="C130" s="8" t="n"/>
      <c r="D130" s="8" t="n"/>
      <c r="E130" s="8" t="n"/>
      <c r="F130" s="9" t="n"/>
      <c r="G130" s="8" t="n"/>
      <c r="H130" s="8" t="n"/>
    </row>
    <row r="131" s="327">
      <c r="A131" s="8" t="n"/>
      <c r="B131" s="8" t="n"/>
      <c r="C131" s="8" t="n"/>
      <c r="D131" s="8" t="n"/>
      <c r="E131" s="8" t="n"/>
      <c r="F131" s="9" t="n"/>
      <c r="G131" s="8" t="n"/>
      <c r="H131" s="8" t="n"/>
    </row>
    <row r="132" s="327">
      <c r="A132" s="8" t="n"/>
      <c r="B132" s="8" t="n"/>
      <c r="C132" s="8" t="n"/>
      <c r="D132" s="8" t="n"/>
      <c r="E132" s="8" t="n"/>
      <c r="F132" s="9" t="n"/>
      <c r="G132" s="8" t="n"/>
      <c r="H132" s="8" t="n"/>
    </row>
    <row r="133" s="327">
      <c r="A133" s="8" t="n"/>
      <c r="B133" s="8" t="n"/>
      <c r="C133" s="8" t="n"/>
      <c r="D133" s="8" t="n"/>
      <c r="E133" s="8" t="n"/>
      <c r="F133" s="9" t="n"/>
      <c r="G133" s="8" t="n"/>
      <c r="H133" s="8" t="n"/>
    </row>
    <row r="134" s="327">
      <c r="A134" s="8" t="n"/>
      <c r="B134" s="8" t="n"/>
      <c r="C134" s="8" t="n"/>
      <c r="D134" s="8" t="n"/>
      <c r="E134" s="8" t="n"/>
      <c r="F134" s="9" t="n"/>
      <c r="G134" s="8" t="n"/>
      <c r="H134" s="8" t="n"/>
    </row>
    <row r="135" s="327">
      <c r="A135" s="8" t="n"/>
      <c r="B135" s="8" t="n"/>
      <c r="C135" s="8" t="n"/>
      <c r="D135" s="8" t="n"/>
      <c r="E135" s="8" t="n"/>
      <c r="F135" s="9" t="n"/>
      <c r="G135" s="8" t="n"/>
      <c r="H135" s="8" t="n"/>
    </row>
    <row r="136" s="327">
      <c r="A136" s="8" t="n"/>
      <c r="B136" s="8" t="n"/>
      <c r="C136" s="8" t="n"/>
      <c r="D136" s="8" t="n"/>
      <c r="E136" s="8" t="n"/>
      <c r="F136" s="9" t="n"/>
      <c r="G136" s="8" t="n"/>
      <c r="H136" s="8" t="n"/>
    </row>
    <row r="137" s="327">
      <c r="A137" s="8" t="n"/>
      <c r="B137" s="8" t="n"/>
      <c r="C137" s="8" t="n"/>
      <c r="D137" s="8" t="n"/>
      <c r="E137" s="8" t="n"/>
      <c r="F137" s="9" t="n"/>
      <c r="G137" s="8" t="n"/>
      <c r="H137" s="8" t="n"/>
    </row>
    <row r="138" s="327">
      <c r="A138" s="8" t="n"/>
      <c r="B138" s="8" t="n"/>
      <c r="C138" s="8" t="n"/>
      <c r="D138" s="8" t="n"/>
      <c r="E138" s="8" t="n"/>
      <c r="F138" s="9" t="n"/>
      <c r="G138" s="8" t="n"/>
      <c r="H138" s="8" t="n"/>
    </row>
    <row r="139" s="327">
      <c r="A139" s="8" t="n"/>
      <c r="B139" s="8" t="n"/>
      <c r="C139" s="8" t="n"/>
      <c r="D139" s="8" t="n"/>
      <c r="E139" s="8" t="n"/>
      <c r="F139" s="9" t="n"/>
      <c r="G139" s="8" t="n"/>
      <c r="H139" s="8" t="n"/>
    </row>
    <row r="140" s="327">
      <c r="A140" s="8" t="n"/>
      <c r="B140" s="8" t="n"/>
      <c r="C140" s="8" t="n"/>
      <c r="D140" s="8" t="n"/>
      <c r="E140" s="8" t="n"/>
      <c r="F140" s="9" t="n"/>
      <c r="G140" s="8" t="n"/>
      <c r="H140" s="8" t="n"/>
    </row>
    <row r="141" s="327">
      <c r="A141" s="8" t="n"/>
      <c r="B141" s="8" t="n"/>
      <c r="C141" s="8" t="n"/>
      <c r="D141" s="8" t="n"/>
      <c r="E141" s="8" t="n"/>
      <c r="F141" s="9" t="n"/>
      <c r="G141" s="8" t="n"/>
      <c r="H141" s="8" t="n"/>
    </row>
    <row r="142" s="327">
      <c r="A142" s="8" t="n"/>
      <c r="B142" s="8" t="n"/>
      <c r="C142" s="8" t="n"/>
      <c r="D142" s="8" t="n"/>
      <c r="E142" s="8" t="n"/>
      <c r="F142" s="9" t="n"/>
      <c r="G142" s="8" t="n"/>
      <c r="H142" s="8" t="n"/>
    </row>
    <row r="143" s="327">
      <c r="A143" s="8" t="n"/>
      <c r="B143" s="8" t="n"/>
      <c r="C143" s="8" t="n"/>
      <c r="D143" s="8" t="n"/>
      <c r="E143" s="8" t="n"/>
      <c r="F143" s="9" t="n"/>
      <c r="G143" s="8" t="n"/>
      <c r="H143" s="8" t="n"/>
    </row>
    <row r="144" s="327">
      <c r="A144" s="8" t="n"/>
      <c r="B144" s="8" t="n"/>
      <c r="C144" s="8" t="n"/>
      <c r="D144" s="8" t="n"/>
      <c r="E144" s="8" t="n"/>
      <c r="F144" s="9" t="n"/>
      <c r="G144" s="8" t="n"/>
      <c r="H144" s="8" t="n"/>
    </row>
    <row r="145" s="327">
      <c r="A145" s="8" t="n"/>
      <c r="B145" s="8" t="n"/>
      <c r="C145" s="8" t="n"/>
      <c r="D145" s="8" t="n"/>
      <c r="E145" s="8" t="n"/>
      <c r="F145" s="9" t="n"/>
      <c r="G145" s="8" t="n"/>
      <c r="H145" s="8" t="n"/>
    </row>
    <row r="146" s="327">
      <c r="A146" s="8" t="n"/>
      <c r="B146" s="8" t="n"/>
      <c r="C146" s="8" t="n"/>
      <c r="D146" s="8" t="n"/>
      <c r="E146" s="8" t="n"/>
      <c r="F146" s="9" t="n"/>
      <c r="G146" s="8" t="n"/>
      <c r="H146" s="8" t="n"/>
    </row>
    <row r="147" s="327">
      <c r="A147" s="8" t="n"/>
      <c r="B147" s="8" t="n"/>
      <c r="C147" s="8" t="n"/>
      <c r="D147" s="8" t="n"/>
      <c r="E147" s="8" t="n"/>
      <c r="F147" s="9" t="n"/>
      <c r="G147" s="8" t="n"/>
      <c r="H147" s="8" t="n"/>
    </row>
    <row r="148" s="327">
      <c r="A148" s="8" t="n"/>
      <c r="B148" s="8" t="n"/>
      <c r="C148" s="8" t="n"/>
      <c r="D148" s="8" t="n"/>
      <c r="E148" s="8" t="n"/>
      <c r="F148" s="9" t="n"/>
      <c r="G148" s="8" t="n"/>
      <c r="H148" s="8" t="n"/>
    </row>
    <row r="149" s="327">
      <c r="A149" s="8" t="n"/>
      <c r="B149" s="8" t="n"/>
      <c r="C149" s="8" t="n"/>
      <c r="D149" s="8" t="n"/>
      <c r="E149" s="8" t="n"/>
      <c r="F149" s="9" t="n"/>
      <c r="G149" s="8" t="n"/>
      <c r="H149" s="8" t="n"/>
    </row>
    <row r="150" s="327">
      <c r="A150" s="8" t="n"/>
      <c r="B150" s="8" t="n"/>
      <c r="C150" s="8" t="n"/>
      <c r="D150" s="8" t="n"/>
      <c r="E150" s="8" t="n"/>
      <c r="F150" s="9" t="n"/>
      <c r="G150" s="8" t="n"/>
      <c r="H150" s="8" t="n"/>
    </row>
    <row r="151" s="327">
      <c r="A151" s="8" t="n"/>
      <c r="B151" s="8" t="n"/>
      <c r="C151" s="8" t="n"/>
      <c r="D151" s="8" t="n"/>
      <c r="E151" s="8" t="n"/>
      <c r="F151" s="9" t="n"/>
      <c r="G151" s="8" t="n"/>
      <c r="H151" s="8" t="n"/>
    </row>
    <row r="152" s="327">
      <c r="A152" s="8" t="n"/>
      <c r="B152" s="8" t="n"/>
      <c r="C152" s="8" t="n"/>
      <c r="D152" s="8" t="n"/>
      <c r="E152" s="8" t="n"/>
      <c r="F152" s="9" t="n"/>
      <c r="G152" s="8" t="n"/>
      <c r="H152" s="8" t="n"/>
    </row>
    <row r="153" s="327">
      <c r="A153" s="8" t="n"/>
      <c r="B153" s="8" t="n"/>
      <c r="C153" s="8" t="n"/>
      <c r="D153" s="8" t="n"/>
      <c r="E153" s="8" t="n"/>
      <c r="F153" s="9" t="n"/>
      <c r="G153" s="8" t="n"/>
      <c r="H153" s="8" t="n"/>
    </row>
    <row r="154" s="327">
      <c r="A154" s="8" t="n"/>
      <c r="B154" s="8" t="n"/>
      <c r="C154" s="8" t="n"/>
      <c r="D154" s="8" t="n"/>
      <c r="E154" s="8" t="n"/>
      <c r="F154" s="9" t="n"/>
      <c r="G154" s="8" t="n"/>
      <c r="H154" s="8" t="n"/>
    </row>
    <row r="155" s="327">
      <c r="A155" s="8" t="n"/>
      <c r="B155" s="8" t="n"/>
      <c r="C155" s="8" t="n"/>
      <c r="D155" s="8" t="n"/>
      <c r="E155" s="8" t="n"/>
      <c r="F155" s="9" t="n"/>
      <c r="G155" s="8" t="n"/>
      <c r="H155" s="8" t="n"/>
    </row>
    <row r="156" s="327">
      <c r="A156" s="8" t="n"/>
      <c r="B156" s="8" t="n"/>
      <c r="C156" s="8" t="n"/>
      <c r="D156" s="8" t="n"/>
      <c r="E156" s="8" t="n"/>
      <c r="F156" s="9" t="n"/>
      <c r="G156" s="8" t="n"/>
      <c r="H156" s="8" t="n"/>
    </row>
    <row r="157" s="327">
      <c r="A157" s="8" t="n"/>
      <c r="B157" s="8" t="n"/>
      <c r="C157" s="8" t="n"/>
      <c r="D157" s="8" t="n"/>
      <c r="E157" s="8" t="n"/>
      <c r="F157" s="9" t="n"/>
      <c r="G157" s="8" t="n"/>
      <c r="H157" s="8" t="n"/>
    </row>
    <row r="158" s="327">
      <c r="A158" s="8" t="n"/>
      <c r="B158" s="8" t="n"/>
      <c r="C158" s="8" t="n"/>
      <c r="D158" s="8" t="n"/>
      <c r="E158" s="8" t="n"/>
      <c r="F158" s="9" t="n"/>
      <c r="G158" s="8" t="n"/>
      <c r="H158" s="8" t="n"/>
    </row>
    <row r="159" s="327">
      <c r="A159" s="8" t="n"/>
      <c r="B159" s="8" t="n"/>
      <c r="C159" s="8" t="n"/>
      <c r="D159" s="8" t="n"/>
      <c r="E159" s="8" t="n"/>
      <c r="F159" s="9" t="n"/>
      <c r="G159" s="8" t="n"/>
      <c r="H159" s="8" t="n"/>
    </row>
    <row r="160" s="327">
      <c r="A160" s="8" t="n"/>
      <c r="B160" s="8" t="n"/>
      <c r="C160" s="8" t="n"/>
      <c r="D160" s="8" t="n"/>
      <c r="E160" s="8" t="n"/>
      <c r="F160" s="9" t="n"/>
      <c r="G160" s="8" t="n"/>
      <c r="H160" s="8" t="n"/>
    </row>
    <row r="161" s="327">
      <c r="A161" s="8" t="n"/>
      <c r="B161" s="8" t="n"/>
      <c r="C161" s="8" t="n"/>
      <c r="D161" s="8" t="n"/>
      <c r="E161" s="8" t="n"/>
      <c r="F161" s="9" t="n"/>
      <c r="G161" s="8" t="n"/>
      <c r="H161" s="8" t="n"/>
    </row>
    <row r="162" s="327">
      <c r="A162" s="8" t="n"/>
      <c r="B162" s="8" t="n"/>
      <c r="C162" s="8" t="n"/>
      <c r="D162" s="8" t="n"/>
      <c r="E162" s="8" t="n"/>
      <c r="F162" s="9" t="n"/>
      <c r="G162" s="8" t="n"/>
      <c r="H162" s="8" t="n"/>
    </row>
    <row r="163" s="327">
      <c r="A163" s="8" t="n"/>
      <c r="B163" s="8" t="n"/>
      <c r="C163" s="8" t="n"/>
      <c r="D163" s="8" t="n"/>
      <c r="E163" s="8" t="n"/>
      <c r="F163" s="9" t="n"/>
      <c r="G163" s="8" t="n"/>
      <c r="H163" s="8" t="n"/>
    </row>
    <row r="164" s="327">
      <c r="A164" s="8" t="n"/>
      <c r="B164" s="8" t="n"/>
      <c r="C164" s="8" t="n"/>
      <c r="D164" s="8" t="n"/>
      <c r="E164" s="8" t="n"/>
      <c r="F164" s="9" t="n"/>
      <c r="G164" s="8" t="n"/>
      <c r="H164" s="8" t="n"/>
    </row>
    <row r="165" s="327">
      <c r="A165" s="8" t="n"/>
      <c r="B165" s="8" t="n"/>
      <c r="C165" s="8" t="n"/>
      <c r="D165" s="8" t="n"/>
      <c r="E165" s="8" t="n"/>
      <c r="F165" s="9" t="n"/>
      <c r="G165" s="8" t="n"/>
      <c r="H165" s="8" t="n"/>
    </row>
    <row r="166" s="327">
      <c r="A166" s="8" t="n"/>
      <c r="B166" s="8" t="n"/>
      <c r="C166" s="8" t="n"/>
      <c r="D166" s="8" t="n"/>
      <c r="E166" s="8" t="n"/>
      <c r="F166" s="9" t="n"/>
      <c r="G166" s="8" t="n"/>
      <c r="H166" s="8" t="n"/>
    </row>
    <row r="167" s="327">
      <c r="A167" s="8" t="n"/>
      <c r="B167" s="8" t="n"/>
      <c r="C167" s="8" t="n"/>
      <c r="D167" s="8" t="n"/>
      <c r="E167" s="8" t="n"/>
      <c r="F167" s="9" t="n"/>
      <c r="G167" s="8" t="n"/>
      <c r="H167" s="8" t="n"/>
    </row>
    <row r="168" s="327">
      <c r="A168" s="8" t="n"/>
      <c r="B168" s="8" t="n"/>
      <c r="C168" s="8" t="n"/>
      <c r="D168" s="8" t="n"/>
      <c r="E168" s="8" t="n"/>
      <c r="F168" s="9" t="n"/>
      <c r="G168" s="8" t="n"/>
      <c r="H168" s="8" t="n"/>
    </row>
    <row r="169" s="327">
      <c r="A169" s="8" t="n"/>
      <c r="B169" s="8" t="n"/>
      <c r="C169" s="8" t="n"/>
      <c r="D169" s="8" t="n"/>
      <c r="E169" s="8" t="n"/>
      <c r="F169" s="9" t="n"/>
      <c r="G169" s="8" t="n"/>
      <c r="H169" s="8" t="n"/>
    </row>
    <row r="170" s="327">
      <c r="A170" s="8" t="n"/>
      <c r="B170" s="8" t="n"/>
      <c r="C170" s="8" t="n"/>
      <c r="D170" s="8" t="n"/>
      <c r="E170" s="8" t="n"/>
      <c r="F170" s="9" t="n"/>
      <c r="G170" s="8" t="n"/>
      <c r="H170" s="8" t="n"/>
    </row>
    <row r="171" s="327">
      <c r="A171" s="8" t="n"/>
      <c r="B171" s="8" t="n"/>
      <c r="C171" s="8" t="n"/>
      <c r="D171" s="8" t="n"/>
      <c r="E171" s="8" t="n"/>
      <c r="F171" s="9" t="n"/>
      <c r="G171" s="8" t="n"/>
      <c r="H171" s="8" t="n"/>
    </row>
    <row r="172" s="327">
      <c r="A172" s="8" t="n"/>
      <c r="B172" s="8" t="n"/>
      <c r="C172" s="8" t="n"/>
      <c r="D172" s="8" t="n"/>
      <c r="E172" s="8" t="n"/>
      <c r="F172" s="9" t="n"/>
      <c r="G172" s="8" t="n"/>
      <c r="H172" s="8" t="n"/>
    </row>
    <row r="173" s="327">
      <c r="A173" s="8" t="n"/>
      <c r="B173" s="8" t="n"/>
      <c r="C173" s="8" t="n"/>
      <c r="D173" s="8" t="n"/>
      <c r="E173" s="8" t="n"/>
      <c r="F173" s="9" t="n"/>
      <c r="G173" s="8" t="n"/>
      <c r="H173" s="8" t="n"/>
    </row>
    <row r="174" s="327">
      <c r="A174" s="8" t="n"/>
      <c r="B174" s="8" t="n"/>
      <c r="C174" s="8" t="n"/>
      <c r="D174" s="8" t="n"/>
      <c r="E174" s="8" t="n"/>
      <c r="F174" s="9" t="n"/>
      <c r="G174" s="8" t="n"/>
      <c r="H174" s="8" t="n"/>
    </row>
    <row r="175" s="327">
      <c r="A175" s="8" t="n"/>
      <c r="B175" s="8" t="n"/>
      <c r="C175" s="8" t="n"/>
      <c r="D175" s="8" t="n"/>
      <c r="E175" s="8" t="n"/>
      <c r="F175" s="9" t="n"/>
      <c r="G175" s="8" t="n"/>
      <c r="H175" s="8" t="n"/>
    </row>
    <row r="176" s="327">
      <c r="A176" s="8" t="n"/>
      <c r="B176" s="8" t="n"/>
      <c r="C176" s="8" t="n"/>
      <c r="D176" s="8" t="n"/>
      <c r="E176" s="8" t="n"/>
      <c r="F176" s="9" t="n"/>
      <c r="G176" s="8" t="n"/>
      <c r="H176" s="8" t="n"/>
    </row>
    <row r="177" s="327">
      <c r="A177" s="8" t="n"/>
      <c r="B177" s="8" t="n"/>
      <c r="C177" s="8" t="n"/>
      <c r="D177" s="8" t="n"/>
      <c r="E177" s="8" t="n"/>
      <c r="F177" s="9" t="n"/>
      <c r="G177" s="8" t="n"/>
      <c r="H177" s="8" t="n"/>
    </row>
    <row r="178" s="327">
      <c r="A178" s="8" t="n"/>
      <c r="B178" s="8" t="n"/>
      <c r="C178" s="8" t="n"/>
      <c r="D178" s="8" t="n"/>
      <c r="E178" s="8" t="n"/>
      <c r="F178" s="9" t="n"/>
      <c r="G178" s="8" t="n"/>
      <c r="H178" s="8" t="n"/>
    </row>
    <row r="179" s="327">
      <c r="A179" s="8" t="n"/>
      <c r="B179" s="8" t="n"/>
      <c r="C179" s="8" t="n"/>
      <c r="D179" s="8" t="n"/>
      <c r="E179" s="8" t="n"/>
      <c r="F179" s="9" t="n"/>
      <c r="G179" s="8" t="n"/>
      <c r="H179" s="8" t="n"/>
    </row>
    <row r="180" s="327">
      <c r="A180" s="8" t="n"/>
      <c r="B180" s="8" t="n"/>
      <c r="C180" s="8" t="n"/>
      <c r="D180" s="8" t="n"/>
      <c r="E180" s="8" t="n"/>
      <c r="F180" s="9" t="n"/>
      <c r="G180" s="8" t="n"/>
      <c r="H180" s="8" t="n"/>
    </row>
    <row r="181" s="327">
      <c r="A181" s="8" t="n"/>
      <c r="B181" s="8" t="n"/>
      <c r="C181" s="8" t="n"/>
      <c r="D181" s="8" t="n"/>
      <c r="E181" s="8" t="n"/>
      <c r="F181" s="9" t="n"/>
      <c r="G181" s="8" t="n"/>
      <c r="H181" s="8" t="n"/>
    </row>
    <row r="182" s="327">
      <c r="A182" s="8" t="n"/>
      <c r="B182" s="8" t="n"/>
      <c r="C182" s="8" t="n"/>
      <c r="D182" s="8" t="n"/>
      <c r="E182" s="8" t="n"/>
      <c r="F182" s="9" t="n"/>
      <c r="G182" s="8" t="n"/>
      <c r="H182" s="8" t="n"/>
    </row>
    <row r="183" s="327">
      <c r="A183" s="8" t="n"/>
      <c r="B183" s="8" t="n"/>
      <c r="C183" s="8" t="n"/>
      <c r="D183" s="8" t="n"/>
      <c r="E183" s="8" t="n"/>
      <c r="F183" s="9" t="n"/>
      <c r="G183" s="8" t="n"/>
      <c r="H183" s="8" t="n"/>
    </row>
    <row r="184" s="327">
      <c r="A184" s="8" t="n"/>
      <c r="B184" s="8" t="n"/>
      <c r="C184" s="8" t="n"/>
      <c r="D184" s="8" t="n"/>
      <c r="E184" s="8" t="n"/>
      <c r="F184" s="9" t="n"/>
      <c r="G184" s="8" t="n"/>
      <c r="H184" s="8" t="n"/>
    </row>
    <row r="185" s="327">
      <c r="A185" s="8" t="n"/>
      <c r="B185" s="8" t="n"/>
      <c r="C185" s="8" t="n"/>
      <c r="D185" s="8" t="n"/>
      <c r="E185" s="8" t="n"/>
      <c r="F185" s="9" t="n"/>
      <c r="G185" s="8" t="n"/>
      <c r="H185" s="8" t="n"/>
    </row>
    <row r="186" s="327">
      <c r="A186" s="8" t="n"/>
      <c r="B186" s="8" t="n"/>
      <c r="C186" s="8" t="n"/>
      <c r="D186" s="8" t="n"/>
      <c r="E186" s="8" t="n"/>
      <c r="F186" s="9" t="n"/>
      <c r="G186" s="8" t="n"/>
      <c r="H186" s="8" t="n"/>
    </row>
    <row r="187" s="327">
      <c r="A187" s="8" t="n"/>
      <c r="B187" s="8" t="n"/>
      <c r="C187" s="8" t="n"/>
      <c r="D187" s="8" t="n"/>
      <c r="E187" s="8" t="n"/>
      <c r="F187" s="9" t="n"/>
      <c r="G187" s="8" t="n"/>
      <c r="H187" s="8" t="n"/>
    </row>
    <row r="188" s="327">
      <c r="A188" s="8" t="n"/>
      <c r="B188" s="8" t="n"/>
      <c r="C188" s="8" t="n"/>
      <c r="D188" s="8" t="n"/>
      <c r="E188" s="8" t="n"/>
      <c r="F188" s="9" t="n"/>
      <c r="G188" s="8" t="n"/>
      <c r="H188" s="8" t="n"/>
    </row>
    <row r="189" s="327">
      <c r="A189" s="8" t="n"/>
      <c r="B189" s="8" t="n"/>
      <c r="C189" s="8" t="n"/>
      <c r="D189" s="8" t="n"/>
      <c r="E189" s="8" t="n"/>
      <c r="F189" s="9" t="n"/>
      <c r="G189" s="8" t="n"/>
      <c r="H189" s="8" t="n"/>
    </row>
    <row r="190" s="327">
      <c r="A190" s="8" t="n"/>
      <c r="B190" s="8" t="n"/>
      <c r="C190" s="8" t="n"/>
      <c r="D190" s="8" t="n"/>
      <c r="E190" s="8" t="n"/>
      <c r="F190" s="9" t="n"/>
      <c r="G190" s="8" t="n"/>
      <c r="H190" s="8" t="n"/>
    </row>
    <row r="191" s="327">
      <c r="A191" s="8" t="n"/>
      <c r="B191" s="8" t="n"/>
      <c r="C191" s="8" t="n"/>
      <c r="D191" s="8" t="n"/>
      <c r="E191" s="8" t="n"/>
      <c r="F191" s="9" t="n"/>
      <c r="G191" s="8" t="n"/>
      <c r="H191" s="8" t="n"/>
    </row>
    <row r="192" s="327">
      <c r="A192" s="8" t="n"/>
      <c r="B192" s="8" t="n"/>
      <c r="C192" s="8" t="n"/>
      <c r="D192" s="8" t="n"/>
      <c r="E192" s="8" t="n"/>
      <c r="F192" s="9" t="n"/>
      <c r="G192" s="8" t="n"/>
      <c r="H192" s="8" t="n"/>
    </row>
    <row r="193" s="327">
      <c r="A193" s="8" t="n"/>
      <c r="B193" s="8" t="n"/>
      <c r="C193" s="8" t="n"/>
      <c r="D193" s="8" t="n"/>
      <c r="E193" s="8" t="n"/>
      <c r="F193" s="9" t="n"/>
      <c r="G193" s="8" t="n"/>
      <c r="H193" s="8" t="n"/>
    </row>
    <row r="194" s="327">
      <c r="A194" s="8" t="n"/>
      <c r="B194" s="8" t="n"/>
      <c r="C194" s="8" t="n"/>
      <c r="D194" s="8" t="n"/>
      <c r="E194" s="8" t="n"/>
      <c r="F194" s="9" t="n"/>
      <c r="G194" s="8" t="n"/>
      <c r="H194" s="8" t="n"/>
    </row>
    <row r="195" s="327">
      <c r="A195" s="8" t="n"/>
      <c r="B195" s="8" t="n"/>
      <c r="C195" s="8" t="n"/>
      <c r="D195" s="8" t="n"/>
      <c r="E195" s="8" t="n"/>
      <c r="F195" s="9" t="n"/>
      <c r="G195" s="8" t="n"/>
      <c r="H195" s="8" t="n"/>
    </row>
    <row r="196" s="327">
      <c r="A196" s="8" t="n"/>
      <c r="B196" s="8" t="n"/>
      <c r="C196" s="8" t="n"/>
      <c r="D196" s="8" t="n"/>
      <c r="E196" s="8" t="n"/>
      <c r="F196" s="9" t="n"/>
      <c r="G196" s="8" t="n"/>
      <c r="H196" s="8" t="n"/>
    </row>
    <row r="197" s="327">
      <c r="A197" s="8" t="n"/>
      <c r="B197" s="8" t="n"/>
      <c r="C197" s="8" t="n"/>
      <c r="D197" s="8" t="n"/>
      <c r="E197" s="8" t="n"/>
      <c r="F197" s="9" t="n"/>
      <c r="G197" s="8" t="n"/>
      <c r="H197" s="8" t="n"/>
    </row>
    <row r="198" s="327">
      <c r="A198" s="8" t="n"/>
      <c r="B198" s="8" t="n"/>
      <c r="C198" s="8" t="n"/>
      <c r="D198" s="8" t="n"/>
      <c r="E198" s="8" t="n"/>
      <c r="F198" s="9" t="n"/>
      <c r="G198" s="8" t="n"/>
      <c r="H198" s="8" t="n"/>
    </row>
    <row r="199" s="327">
      <c r="A199" s="8" t="n"/>
      <c r="B199" s="8" t="n"/>
      <c r="C199" s="8" t="n"/>
      <c r="D199" s="8" t="n"/>
      <c r="E199" s="8" t="n"/>
      <c r="F199" s="9" t="n"/>
      <c r="G199" s="8" t="n"/>
      <c r="H199" s="8" t="n"/>
    </row>
    <row r="200" s="327">
      <c r="A200" s="8" t="n"/>
      <c r="B200" s="8" t="n"/>
      <c r="C200" s="8" t="n"/>
      <c r="D200" s="8" t="n"/>
      <c r="E200" s="8" t="n"/>
      <c r="F200" s="9" t="n"/>
      <c r="G200" s="8" t="n"/>
      <c r="H200" s="8" t="n"/>
    </row>
    <row r="201" s="327">
      <c r="A201" s="8" t="n"/>
      <c r="B201" s="8" t="n"/>
      <c r="C201" s="8" t="n"/>
      <c r="D201" s="8" t="n"/>
      <c r="E201" s="8" t="n"/>
      <c r="F201" s="9" t="n"/>
      <c r="G201" s="8" t="n"/>
      <c r="H201" s="8" t="n"/>
    </row>
    <row r="202" s="327">
      <c r="A202" s="8" t="n"/>
      <c r="B202" s="8" t="n"/>
      <c r="C202" s="8" t="n"/>
      <c r="D202" s="8" t="n"/>
      <c r="E202" s="8" t="n"/>
      <c r="F202" s="9" t="n"/>
      <c r="G202" s="8" t="n"/>
      <c r="H202" s="8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0"/>
  <sheetViews>
    <sheetView topLeftCell="B1" workbookViewId="0">
      <selection activeCell="AU3" sqref="AU3:AU7"/>
    </sheetView>
  </sheetViews>
  <sheetFormatPr baseColWidth="8" defaultColWidth="11" defaultRowHeight="15.75"/>
  <cols>
    <col width="10.5" customWidth="1" style="327" min="2" max="4"/>
    <col hidden="1" width="10.5" customWidth="1" style="327" min="5" max="13"/>
    <col width="10.5" customWidth="1" style="327" min="14" max="19"/>
    <col width="10.5" customWidth="1" style="435" min="20" max="20"/>
    <col width="10.5" customWidth="1" style="327" min="21" max="21"/>
    <col width="10.5" customWidth="1" style="435" min="22" max="22"/>
    <col width="10.5" customWidth="1" style="327" min="23" max="23"/>
    <col width="10.5" customWidth="1" style="436" min="24" max="24"/>
    <col width="10.5" customWidth="1" style="327" min="25" max="25"/>
    <col width="10.5" customWidth="1" style="436" min="26" max="28"/>
    <col width="10.5" customWidth="1" style="327" min="29" max="31"/>
  </cols>
  <sheetData>
    <row r="1">
      <c r="A1" s="159" t="inlineStr">
        <is>
          <t>当前消耗月份数</t>
        </is>
      </c>
      <c r="B1" s="160" t="inlineStr">
        <is>
          <t>KOL</t>
        </is>
      </c>
      <c r="C1" s="160" t="inlineStr">
        <is>
          <t>目前总cpt+投放消耗</t>
        </is>
      </c>
      <c r="D1" s="160" t="inlineStr">
        <is>
          <t>剩余cpt</t>
        </is>
      </c>
      <c r="E1" s="160" t="inlineStr">
        <is>
          <t>全额CPT+投放消耗</t>
        </is>
      </c>
      <c r="F1" s="160" t="inlineStr">
        <is>
          <t>投放消耗</t>
        </is>
      </c>
      <c r="G1" s="160" t="inlineStr">
        <is>
          <t>其他截至目前成本</t>
        </is>
      </c>
      <c r="H1" s="160" t="inlineStr">
        <is>
          <t>全额CPT+投放消耗总成本</t>
        </is>
      </c>
      <c r="I1" s="160" t="inlineStr">
        <is>
          <t>投放消耗+其他成本</t>
        </is>
      </c>
      <c r="J1" s="160" t="inlineStr">
        <is>
          <t>总GMV</t>
        </is>
      </c>
      <c r="K1" s="160" t="inlineStr">
        <is>
          <t>ROI2</t>
        </is>
      </c>
      <c r="L1" s="160" t="inlineStr">
        <is>
          <t>ROI2</t>
        </is>
      </c>
      <c r="M1" s="160" t="inlineStr">
        <is>
          <t>ROI1</t>
        </is>
      </c>
      <c r="N1" s="160" t="inlineStr">
        <is>
          <t>成本Gap</t>
        </is>
      </c>
      <c r="O1" s="160" t="inlineStr">
        <is>
          <t>CPT成本/天</t>
        </is>
      </c>
      <c r="P1" s="160" t="inlineStr">
        <is>
          <t>历史单例子成本</t>
        </is>
      </c>
      <c r="Q1" s="160" t="inlineStr">
        <is>
          <t>单例子成本/个</t>
        </is>
      </c>
      <c r="R1" s="160" t="inlineStr">
        <is>
          <t>历史约课率</t>
        </is>
      </c>
      <c r="S1" s="160" t="inlineStr">
        <is>
          <t>约课率预设</t>
        </is>
      </c>
      <c r="T1" s="435" t="inlineStr">
        <is>
          <t>历史出席率</t>
        </is>
      </c>
      <c r="U1" s="160" t="inlineStr">
        <is>
          <t>出席率预设</t>
        </is>
      </c>
      <c r="V1" s="435" t="inlineStr">
        <is>
          <t>历史滚转</t>
        </is>
      </c>
      <c r="W1" s="160" t="inlineStr">
        <is>
          <t>滚转预设</t>
        </is>
      </c>
      <c r="X1" s="436" t="inlineStr">
        <is>
          <t>历史ASP</t>
        </is>
      </c>
      <c r="Y1" s="160" t="inlineStr">
        <is>
          <t>ASP预设</t>
        </is>
      </c>
      <c r="Z1" s="437" t="inlineStr">
        <is>
          <t>单例子链路成本</t>
        </is>
      </c>
      <c r="AA1" s="437" t="inlineStr">
        <is>
          <t>历史ROI2</t>
        </is>
      </c>
      <c r="AB1" s="437" t="inlineStr">
        <is>
          <t>目标ROI2</t>
        </is>
      </c>
      <c r="AC1" s="160" t="inlineStr">
        <is>
          <t>最低ROI2</t>
        </is>
      </c>
      <c r="AD1" s="160" t="inlineStr">
        <is>
          <t>单例子利润</t>
        </is>
      </c>
      <c r="AE1" s="160" t="inlineStr">
        <is>
          <t>例子缺口</t>
        </is>
      </c>
    </row>
    <row r="2">
      <c r="C2" s="160" t="n"/>
      <c r="D2" s="160" t="n"/>
      <c r="K2" s="160" t="inlineStr">
        <is>
          <t>（全额CPT+投放消耗+其他成本）</t>
        </is>
      </c>
      <c r="L2" s="160" t="inlineStr">
        <is>
          <t>（投放消耗+其他成本）</t>
        </is>
      </c>
      <c r="M2" s="160" t="inlineStr">
        <is>
          <t>（仅投放消耗）</t>
        </is>
      </c>
    </row>
    <row r="3" hidden="1" s="327">
      <c r="A3" s="159" t="inlineStr">
        <is>
          <t>92天</t>
        </is>
      </c>
      <c r="B3" s="159" t="inlineStr">
        <is>
          <t>陈琪-汇总</t>
        </is>
      </c>
      <c r="C3" s="162" t="n">
        <v>821009</v>
      </c>
      <c r="D3" s="162" t="n">
        <v>8184</v>
      </c>
      <c r="E3" s="162" t="n">
        <v>829193</v>
      </c>
      <c r="F3" s="162" t="n">
        <v>761853</v>
      </c>
      <c r="G3" s="162" t="n">
        <v>463124</v>
      </c>
      <c r="H3" s="162" t="n">
        <v>1292317</v>
      </c>
      <c r="I3" s="162" t="n">
        <v>1224977</v>
      </c>
      <c r="J3" s="162" t="n">
        <v>1447546</v>
      </c>
      <c r="K3" s="159" t="inlineStr">
        <is>
          <t xml:space="preserve">1.12 </t>
        </is>
      </c>
      <c r="L3" s="159" t="inlineStr">
        <is>
          <t xml:space="preserve">1.18 </t>
        </is>
      </c>
      <c r="M3" s="159" t="n">
        <v>1.9</v>
      </c>
    </row>
    <row r="4" hidden="1" s="327">
      <c r="A4" s="159" t="inlineStr">
        <is>
          <t>90天</t>
        </is>
      </c>
      <c r="B4" s="159" t="inlineStr">
        <is>
          <t>孙慧雪-汇总</t>
        </is>
      </c>
      <c r="C4" s="162" t="n">
        <v>430793</v>
      </c>
      <c r="D4" s="159" t="n">
        <v>0</v>
      </c>
      <c r="E4" s="162" t="n">
        <v>430793</v>
      </c>
      <c r="F4" s="162" t="n">
        <v>365693</v>
      </c>
      <c r="G4" s="162" t="n">
        <v>168630</v>
      </c>
      <c r="H4" s="162" t="n">
        <v>599423</v>
      </c>
      <c r="I4" s="162" t="n">
        <v>534323</v>
      </c>
      <c r="J4" s="162" t="n">
        <v>550196</v>
      </c>
      <c r="K4" s="159" t="inlineStr">
        <is>
          <t xml:space="preserve">0.92 </t>
        </is>
      </c>
      <c r="L4" s="159" t="inlineStr">
        <is>
          <t xml:space="preserve">1.03 </t>
        </is>
      </c>
      <c r="M4" s="159" t="n">
        <v>1.5</v>
      </c>
    </row>
    <row r="5" hidden="1" s="327">
      <c r="A5" s="159" t="n"/>
      <c r="B5" s="159" t="inlineStr">
        <is>
          <t>陈倩扬-汇总</t>
        </is>
      </c>
      <c r="C5" s="162" t="n">
        <v>215431</v>
      </c>
      <c r="D5" s="159" t="n">
        <v>0</v>
      </c>
      <c r="E5" s="162" t="n">
        <v>215431</v>
      </c>
      <c r="F5" s="162" t="n">
        <v>170791</v>
      </c>
      <c r="G5" s="162" t="n">
        <v>90137</v>
      </c>
      <c r="H5" s="162" t="n">
        <v>305568</v>
      </c>
      <c r="I5" s="162" t="n">
        <v>260928</v>
      </c>
      <c r="J5" s="162" t="n">
        <v>292684</v>
      </c>
      <c r="K5" s="159" t="inlineStr">
        <is>
          <t xml:space="preserve">0.96 </t>
        </is>
      </c>
      <c r="L5" s="159" t="inlineStr">
        <is>
          <t xml:space="preserve">1.12 </t>
        </is>
      </c>
      <c r="M5" s="159" t="n">
        <v>1.71</v>
      </c>
    </row>
    <row r="6" hidden="1" s="327">
      <c r="A6" s="159" t="inlineStr">
        <is>
          <t>90天</t>
        </is>
      </c>
      <c r="B6" s="159" t="inlineStr">
        <is>
          <t>Bob-汇总</t>
        </is>
      </c>
      <c r="C6" s="162" t="n">
        <v>363482</v>
      </c>
      <c r="D6" s="159" t="n">
        <v>0</v>
      </c>
      <c r="E6" s="162" t="n">
        <v>363482</v>
      </c>
      <c r="F6" s="162" t="n">
        <v>293732</v>
      </c>
      <c r="G6" s="162" t="n">
        <v>140020</v>
      </c>
      <c r="H6" s="162" t="n">
        <v>503503</v>
      </c>
      <c r="I6" s="162" t="n">
        <v>433753</v>
      </c>
      <c r="J6" s="162" t="n">
        <v>442780</v>
      </c>
      <c r="K6" s="159" t="inlineStr">
        <is>
          <t xml:space="preserve">0.88 </t>
        </is>
      </c>
      <c r="L6" s="159" t="inlineStr">
        <is>
          <t xml:space="preserve">1.02 </t>
        </is>
      </c>
      <c r="M6" s="159" t="n">
        <v>1.51</v>
      </c>
    </row>
    <row r="7" hidden="1" s="327">
      <c r="A7" s="159" t="inlineStr">
        <is>
          <t>110天</t>
        </is>
      </c>
      <c r="B7" s="159" t="inlineStr">
        <is>
          <t>陈山聪-汇总</t>
        </is>
      </c>
      <c r="C7" s="162" t="n">
        <v>372628</v>
      </c>
      <c r="D7" s="162" t="n">
        <v>4883</v>
      </c>
      <c r="E7" s="162" t="n">
        <v>377510</v>
      </c>
      <c r="F7" s="162" t="n">
        <v>318920</v>
      </c>
      <c r="G7" s="162" t="n">
        <v>128442</v>
      </c>
      <c r="H7" s="162" t="n">
        <v>505952</v>
      </c>
      <c r="I7" s="162" t="n">
        <v>447362</v>
      </c>
      <c r="J7" s="162" t="n">
        <v>417480</v>
      </c>
      <c r="K7" s="159" t="inlineStr">
        <is>
          <t xml:space="preserve">0.83 </t>
        </is>
      </c>
      <c r="L7" s="159" t="inlineStr">
        <is>
          <t xml:space="preserve">0.93 </t>
        </is>
      </c>
      <c r="M7" s="159" t="n">
        <v>1.31</v>
      </c>
    </row>
    <row r="8" hidden="1" s="327">
      <c r="A8" s="159" t="inlineStr">
        <is>
          <t>90天</t>
        </is>
      </c>
      <c r="B8" s="159" t="inlineStr">
        <is>
          <t>陈敏之-汇总</t>
        </is>
      </c>
      <c r="C8" s="162" t="n">
        <v>385930</v>
      </c>
      <c r="D8" s="159" t="n">
        <v>0</v>
      </c>
      <c r="E8" s="162" t="n">
        <v>385930</v>
      </c>
      <c r="F8" s="162" t="n">
        <v>318040</v>
      </c>
      <c r="G8" s="162" t="n">
        <v>138038</v>
      </c>
      <c r="H8" s="162" t="n">
        <v>523968</v>
      </c>
      <c r="I8" s="162" t="n">
        <v>456078</v>
      </c>
      <c r="J8" s="162" t="n">
        <v>449736</v>
      </c>
      <c r="K8" s="159" t="inlineStr">
        <is>
          <t xml:space="preserve">0.86 </t>
        </is>
      </c>
      <c r="L8" s="159" t="inlineStr">
        <is>
          <t xml:space="preserve">0.99 </t>
        </is>
      </c>
      <c r="M8" s="159" t="n">
        <v>1.41</v>
      </c>
    </row>
    <row r="9">
      <c r="A9" s="159" t="inlineStr">
        <is>
          <t>90天</t>
        </is>
      </c>
      <c r="B9" s="159" t="inlineStr">
        <is>
          <t>林子善-汇总</t>
        </is>
      </c>
      <c r="C9" s="162" t="n">
        <v>228248</v>
      </c>
      <c r="D9" s="159" t="n">
        <v>0</v>
      </c>
      <c r="E9" s="162" t="n">
        <v>228248</v>
      </c>
      <c r="F9" s="162" t="n">
        <v>186398</v>
      </c>
      <c r="G9" s="162" t="n">
        <v>70148</v>
      </c>
      <c r="H9" s="162" t="n">
        <v>298396</v>
      </c>
      <c r="I9" s="162" t="n">
        <v>256546</v>
      </c>
      <c r="J9" s="162" t="n">
        <v>197777</v>
      </c>
      <c r="K9" s="159" t="inlineStr">
        <is>
          <t xml:space="preserve">0.66 </t>
        </is>
      </c>
      <c r="L9" s="159" t="inlineStr">
        <is>
          <t xml:space="preserve">0.77 </t>
        </is>
      </c>
      <c r="M9" s="159" t="n">
        <v>1.06</v>
      </c>
      <c r="N9" s="5">
        <f>(J9-H9)*AC9</f>
        <v/>
      </c>
      <c r="O9" s="163">
        <f>(E9-F9)/90</f>
        <v/>
      </c>
      <c r="P9" s="163" t="n">
        <v>741</v>
      </c>
      <c r="Q9" s="5" t="n">
        <v>700</v>
      </c>
      <c r="R9" s="164" t="n">
        <v>0.474</v>
      </c>
      <c r="S9" s="165" t="n">
        <v>0.5</v>
      </c>
      <c r="T9" s="435" t="n">
        <v>0.367</v>
      </c>
      <c r="U9" s="165" t="n">
        <v>0.38</v>
      </c>
      <c r="V9" s="435" t="n">
        <v>0.1364</v>
      </c>
      <c r="W9" s="165" t="n">
        <v>0.18</v>
      </c>
      <c r="X9" s="436" t="n">
        <v>4709</v>
      </c>
      <c r="Y9" s="436" t="n">
        <v>5000</v>
      </c>
      <c r="Z9" s="436" t="n">
        <v>535</v>
      </c>
      <c r="AA9" s="436" t="n">
        <v>0.65</v>
      </c>
      <c r="AB9" s="436" t="n">
        <v>1.04</v>
      </c>
      <c r="AC9" s="436" t="n">
        <v>0.8</v>
      </c>
      <c r="AD9" s="436">
        <f>W9*Y9*(AB9-AC9)</f>
        <v/>
      </c>
      <c r="AE9" s="166">
        <f>N9/AD9</f>
        <v/>
      </c>
    </row>
    <row r="10">
      <c r="A10" s="159" t="inlineStr">
        <is>
          <t>80天</t>
        </is>
      </c>
      <c r="B10" s="159" t="inlineStr">
        <is>
          <t>mamidaily-汇总</t>
        </is>
      </c>
      <c r="C10" s="162" t="n">
        <v>117328</v>
      </c>
      <c r="D10" s="162" t="n">
        <v>6148</v>
      </c>
      <c r="E10" s="162" t="n">
        <v>123476</v>
      </c>
      <c r="F10" s="162" t="n">
        <v>68141</v>
      </c>
      <c r="G10" s="162" t="n">
        <v>22947</v>
      </c>
      <c r="H10" s="162" t="n">
        <v>146422</v>
      </c>
      <c r="I10" s="162" t="n">
        <v>91087</v>
      </c>
      <c r="J10" s="162" t="n">
        <v>79620</v>
      </c>
      <c r="K10" s="159" t="inlineStr">
        <is>
          <t xml:space="preserve">0.54 </t>
        </is>
      </c>
      <c r="L10" s="159" t="inlineStr">
        <is>
          <t xml:space="preserve">0.87 </t>
        </is>
      </c>
      <c r="M10" s="159" t="n">
        <v>1.17</v>
      </c>
      <c r="N10" s="5">
        <f>(J10-H10)*AC10</f>
        <v/>
      </c>
      <c r="O10" s="163">
        <f>(E10-F10)/90</f>
        <v/>
      </c>
      <c r="P10" s="163" t="n">
        <v>1333</v>
      </c>
      <c r="Q10" s="5" t="n">
        <v>700</v>
      </c>
      <c r="R10" s="164" t="n">
        <v>0.5679999999999999</v>
      </c>
      <c r="S10" s="165" t="n">
        <v>0.55</v>
      </c>
      <c r="T10" s="435" t="n">
        <v>0.488</v>
      </c>
      <c r="U10" s="165" t="n">
        <v>0.45</v>
      </c>
      <c r="V10" s="435" t="n">
        <v>0.1705</v>
      </c>
      <c r="W10" s="165" t="n">
        <v>0.2</v>
      </c>
      <c r="X10" s="436" t="n">
        <v>5308</v>
      </c>
      <c r="Y10" s="436" t="n">
        <v>5000</v>
      </c>
      <c r="Z10" s="436" t="n">
        <v>632</v>
      </c>
      <c r="AA10" s="436" t="n">
        <v>0.5600000000000001</v>
      </c>
      <c r="AB10" s="436" t="n">
        <v>1.06</v>
      </c>
      <c r="AC10" s="436" t="n">
        <v>0.8</v>
      </c>
      <c r="AD10" s="436">
        <f>W10*Y10*(AB10-AC10)</f>
        <v/>
      </c>
      <c r="AE10" s="166">
        <f>N10/AD10</f>
        <v/>
      </c>
    </row>
    <row r="11">
      <c r="A11" s="159" t="inlineStr">
        <is>
          <t>62天</t>
        </is>
      </c>
      <c r="B11" s="159" t="inlineStr">
        <is>
          <t>吴若希-汇总</t>
        </is>
      </c>
      <c r="C11" s="162" t="n">
        <v>107349</v>
      </c>
      <c r="D11" s="162" t="n">
        <v>19675</v>
      </c>
      <c r="E11" s="162" t="n">
        <v>127023</v>
      </c>
      <c r="F11" s="162" t="n">
        <v>63783</v>
      </c>
      <c r="G11" s="162" t="n">
        <v>16145</v>
      </c>
      <c r="H11" s="162" t="n">
        <v>143168</v>
      </c>
      <c r="I11" s="162" t="n">
        <v>79928</v>
      </c>
      <c r="J11" s="162" t="n">
        <v>30116</v>
      </c>
      <c r="K11" s="159" t="inlineStr">
        <is>
          <t xml:space="preserve">0.21 </t>
        </is>
      </c>
      <c r="L11" s="159" t="inlineStr">
        <is>
          <t xml:space="preserve">0.38 </t>
        </is>
      </c>
      <c r="M11" s="167" t="inlineStr">
        <is>
          <t xml:space="preserve">0.47 </t>
        </is>
      </c>
      <c r="N11" s="5">
        <f>(J11-H11)*AC11</f>
        <v/>
      </c>
      <c r="O11" s="163">
        <f>(E11-F11)/90</f>
        <v/>
      </c>
      <c r="P11" s="163" t="n">
        <v>1278</v>
      </c>
      <c r="Q11" s="5" t="n">
        <v>700</v>
      </c>
      <c r="R11" s="164" t="n">
        <v>0.4643</v>
      </c>
      <c r="S11" s="165" t="n">
        <v>0.5</v>
      </c>
      <c r="T11" s="435" t="n">
        <v>0.369</v>
      </c>
      <c r="U11" s="165" t="n">
        <v>0.38</v>
      </c>
      <c r="V11" s="435" t="n">
        <v>0.0833</v>
      </c>
      <c r="W11" s="165" t="n">
        <v>0.15</v>
      </c>
      <c r="X11" s="436" t="n">
        <v>4302</v>
      </c>
      <c r="Y11" s="436" t="n">
        <v>4500</v>
      </c>
      <c r="Z11" s="436" t="n">
        <v>535</v>
      </c>
      <c r="AA11" s="436" t="n">
        <v>0.24</v>
      </c>
      <c r="AB11" s="436" t="n">
        <v>0.65</v>
      </c>
      <c r="AC11" s="436" t="n">
        <v>0.8</v>
      </c>
      <c r="AD11" s="436">
        <f>W11*Y11*(AB11-AC11)</f>
        <v/>
      </c>
      <c r="AE11" s="166" t="inlineStr">
        <is>
          <t>无限，回不了</t>
        </is>
      </c>
    </row>
    <row r="12">
      <c r="A12" s="159" t="inlineStr">
        <is>
          <t>40天</t>
        </is>
      </c>
      <c r="B12" s="159" t="inlineStr">
        <is>
          <t>张美妮-汇总</t>
        </is>
      </c>
      <c r="C12" s="162" t="n">
        <v>35855</v>
      </c>
      <c r="D12" s="162" t="n">
        <v>13950</v>
      </c>
      <c r="E12" s="162" t="n">
        <v>49805</v>
      </c>
      <c r="F12" s="162" t="n">
        <v>24695</v>
      </c>
      <c r="G12" s="162" t="n">
        <v>5368</v>
      </c>
      <c r="H12" s="162" t="n">
        <v>55173</v>
      </c>
      <c r="I12" s="162" t="n">
        <v>30063</v>
      </c>
      <c r="J12" s="162" t="n">
        <v>3588</v>
      </c>
      <c r="K12" s="168" t="n">
        <v>0.07000000000000001</v>
      </c>
      <c r="L12" s="159" t="inlineStr">
        <is>
          <t xml:space="preserve">0.12 </t>
        </is>
      </c>
      <c r="M12" s="159" t="n">
        <v>0.15</v>
      </c>
      <c r="N12" s="5">
        <f>(J12-H12)*AC12</f>
        <v/>
      </c>
      <c r="O12" s="163">
        <f>(E12-F12)/90</f>
        <v/>
      </c>
      <c r="P12" s="163" t="n">
        <v>1019</v>
      </c>
      <c r="Q12" s="5" t="n">
        <v>700</v>
      </c>
      <c r="R12" s="164" t="n">
        <v>0.3143</v>
      </c>
      <c r="S12" s="165" t="n">
        <v>0.45</v>
      </c>
      <c r="T12" s="435" t="n">
        <v>0.379</v>
      </c>
      <c r="U12" s="165" t="n">
        <v>0.38</v>
      </c>
      <c r="V12" s="435" t="n">
        <v>0.0286</v>
      </c>
      <c r="W12" s="165" t="n">
        <v>0.15</v>
      </c>
      <c r="X12" s="436" t="n">
        <v>3588</v>
      </c>
      <c r="Y12" s="436" t="n">
        <v>4500</v>
      </c>
      <c r="Z12" s="436" t="n">
        <v>632</v>
      </c>
      <c r="AA12" s="436" t="n">
        <v>0.22</v>
      </c>
      <c r="AB12" s="436" t="n">
        <v>0.76</v>
      </c>
      <c r="AC12" s="436" t="n">
        <v>0.8</v>
      </c>
      <c r="AD12" s="436">
        <f>W12*Y12*(AB12-AC12)</f>
        <v/>
      </c>
      <c r="AE12" s="166" t="inlineStr">
        <is>
          <t>无限，回不了</t>
        </is>
      </c>
    </row>
    <row r="13">
      <c r="A13" s="159" t="inlineStr">
        <is>
          <t>31天</t>
        </is>
      </c>
      <c r="B13" s="159" t="inlineStr">
        <is>
          <t>钟嘉欣-汇总</t>
        </is>
      </c>
      <c r="C13" s="162" t="n">
        <v>193227</v>
      </c>
      <c r="D13" s="162" t="n">
        <v>341000</v>
      </c>
      <c r="E13" s="162" t="n">
        <v>534227</v>
      </c>
      <c r="F13" s="162" t="n">
        <v>162227</v>
      </c>
      <c r="G13" s="162" t="n">
        <v>79003</v>
      </c>
      <c r="H13" s="162" t="n">
        <v>613230</v>
      </c>
      <c r="I13" s="162" t="n">
        <v>241230</v>
      </c>
      <c r="J13" s="162" t="n">
        <v>168804</v>
      </c>
      <c r="K13" s="168" t="n">
        <v>0.28</v>
      </c>
      <c r="L13" s="159" t="inlineStr">
        <is>
          <t xml:space="preserve">0.70 </t>
        </is>
      </c>
      <c r="M13" s="159" t="n">
        <v>1.04</v>
      </c>
    </row>
    <row r="14">
      <c r="A14" s="159" t="inlineStr">
        <is>
          <t>10天</t>
        </is>
      </c>
      <c r="B14" s="159" t="inlineStr">
        <is>
          <t>蔡雪莹-汇总</t>
        </is>
      </c>
      <c r="C14" s="162" t="n">
        <v>12336</v>
      </c>
      <c r="D14" s="162" t="n">
        <v>23147</v>
      </c>
      <c r="E14" s="162" t="n">
        <v>35482</v>
      </c>
      <c r="F14" s="162" t="n">
        <v>9442</v>
      </c>
      <c r="G14" s="162" t="n">
        <v>5909</v>
      </c>
      <c r="H14" s="162" t="n">
        <v>41391</v>
      </c>
      <c r="I14" s="162" t="n">
        <v>15351</v>
      </c>
      <c r="J14" s="159" t="n">
        <v>0</v>
      </c>
      <c r="K14" s="168" t="n">
        <v>0</v>
      </c>
      <c r="L14" s="159" t="inlineStr">
        <is>
          <t xml:space="preserve">0.00 </t>
        </is>
      </c>
      <c r="M14" s="159" t="n">
        <v>0</v>
      </c>
    </row>
    <row r="15">
      <c r="A15" s="159" t="n"/>
      <c r="B15" s="159" t="inlineStr">
        <is>
          <t>汇总</t>
        </is>
      </c>
      <c r="C15" s="162" t="n">
        <v>3413150</v>
      </c>
      <c r="D15" s="162" t="n">
        <v>416986</v>
      </c>
      <c r="E15" s="162" t="n">
        <v>3830136</v>
      </c>
      <c r="F15" s="162" t="n">
        <v>2822101</v>
      </c>
      <c r="G15" s="162" t="n">
        <v>1353477</v>
      </c>
      <c r="H15" s="162" t="n">
        <v>5183613</v>
      </c>
      <c r="I15" s="162" t="n">
        <v>4175578</v>
      </c>
      <c r="J15" s="162" t="n">
        <v>4136648</v>
      </c>
      <c r="K15" s="168" t="n">
        <v>0.8</v>
      </c>
      <c r="L15" s="159" t="n">
        <v>0.99</v>
      </c>
      <c r="M15" s="159" t="n">
        <v>1.47</v>
      </c>
    </row>
    <row r="16">
      <c r="P16" s="5" t="inlineStr">
        <is>
          <t>本月分摊</t>
        </is>
      </c>
      <c r="AF16" s="5" t="inlineStr">
        <is>
          <t>定标</t>
        </is>
      </c>
    </row>
    <row r="17">
      <c r="A17" s="5" t="inlineStr">
        <is>
          <t>180天</t>
        </is>
      </c>
      <c r="B17" s="159" t="inlineStr">
        <is>
          <t>陈琪（直播）</t>
        </is>
      </c>
      <c r="D17" s="5">
        <f>70000*0.93</f>
        <v/>
      </c>
      <c r="N17" s="5">
        <f>0-D17</f>
        <v/>
      </c>
      <c r="P17" s="5">
        <f>N17*0.5</f>
        <v/>
      </c>
      <c r="Q17" s="5" t="n">
        <v>600</v>
      </c>
      <c r="S17" s="165" t="n">
        <v>0.5</v>
      </c>
      <c r="U17" s="165" t="n">
        <v>0.38</v>
      </c>
      <c r="W17" s="435" t="n">
        <v>0.18</v>
      </c>
      <c r="Y17" s="5" t="n">
        <v>5000</v>
      </c>
      <c r="AB17" s="436" t="n">
        <v>0.97</v>
      </c>
      <c r="AC17" s="5" t="n">
        <v>0.8</v>
      </c>
      <c r="AD17" s="436">
        <f>W17*Y17*(AB17-AC17)</f>
        <v/>
      </c>
      <c r="AE17" s="5">
        <f>P17/AD17</f>
        <v/>
      </c>
      <c r="AF17" s="169" t="n">
        <v>240</v>
      </c>
    </row>
    <row r="18">
      <c r="A18" s="159" t="inlineStr">
        <is>
          <t>90天</t>
        </is>
      </c>
      <c r="B18" s="159" t="inlineStr">
        <is>
          <t>陈展鹏</t>
        </is>
      </c>
      <c r="D18" s="5">
        <f>100000*0.93</f>
        <v/>
      </c>
      <c r="N18" s="5">
        <f>0-D18</f>
        <v/>
      </c>
      <c r="P18" s="5">
        <f>N18*0.5*0.5</f>
        <v/>
      </c>
      <c r="Q18" s="5" t="n">
        <v>600</v>
      </c>
      <c r="S18" s="165" t="n">
        <v>0.5</v>
      </c>
      <c r="U18" s="165" t="n">
        <v>0.38</v>
      </c>
      <c r="W18" s="435" t="n">
        <v>0.18</v>
      </c>
      <c r="Y18" s="5" t="n">
        <v>5000</v>
      </c>
      <c r="AB18" s="436" t="n">
        <v>0.98</v>
      </c>
      <c r="AC18" s="5" t="n">
        <v>0.8</v>
      </c>
      <c r="AD18" s="436">
        <f>W18*Y18*(AB18-AC18)</f>
        <v/>
      </c>
      <c r="AE18" s="5">
        <f>P18/AD18</f>
        <v/>
      </c>
      <c r="AF18" s="169" t="n">
        <v>170</v>
      </c>
    </row>
    <row r="19">
      <c r="A19" s="159" t="inlineStr">
        <is>
          <t>90天</t>
        </is>
      </c>
      <c r="B19" s="159" t="inlineStr">
        <is>
          <t>鄧明儀</t>
        </is>
      </c>
      <c r="D19" s="5">
        <f>18000*0.93</f>
        <v/>
      </c>
      <c r="N19" s="5">
        <f>0-D19</f>
        <v/>
      </c>
      <c r="P19" s="5">
        <f>N19*0.5*0.5</f>
        <v/>
      </c>
      <c r="Q19" s="5" t="n">
        <v>600</v>
      </c>
      <c r="S19" s="165" t="n">
        <v>0.5</v>
      </c>
      <c r="U19" s="165" t="n">
        <v>0.38</v>
      </c>
      <c r="W19" s="435" t="n">
        <v>0.18</v>
      </c>
      <c r="Y19" s="5" t="n">
        <v>5000</v>
      </c>
      <c r="AB19" s="436" t="n">
        <v>0.98</v>
      </c>
      <c r="AC19" s="5" t="n">
        <v>0.8</v>
      </c>
      <c r="AD19" s="436">
        <f>W19*Y19*(AB19-AC19)</f>
        <v/>
      </c>
      <c r="AE19" s="5">
        <f>P19/AD19</f>
        <v/>
      </c>
      <c r="AF19" s="169" t="n">
        <v>35</v>
      </c>
    </row>
    <row r="20">
      <c r="A20" s="159" t="inlineStr">
        <is>
          <t>90天</t>
        </is>
      </c>
      <c r="B20" s="159" t="inlineStr">
        <is>
          <t>陳凱琳</t>
        </is>
      </c>
      <c r="D20" s="5">
        <f>200000*0.93</f>
        <v/>
      </c>
      <c r="N20" s="5">
        <f>0-D20</f>
        <v/>
      </c>
      <c r="P20" s="5">
        <f>N20*0.5*0.5</f>
        <v/>
      </c>
      <c r="Q20" s="5" t="n">
        <v>600</v>
      </c>
      <c r="S20" s="165" t="n">
        <v>0.5</v>
      </c>
      <c r="U20" s="165" t="n">
        <v>0.38</v>
      </c>
      <c r="W20" s="435" t="n">
        <v>0.18</v>
      </c>
      <c r="Y20" s="5" t="n">
        <v>5000</v>
      </c>
      <c r="AB20" s="436" t="n">
        <v>0.98</v>
      </c>
      <c r="AC20" s="5" t="n">
        <v>0.8</v>
      </c>
      <c r="AD20" s="436">
        <f>W20*Y20*(AB20-AC20)</f>
        <v/>
      </c>
      <c r="AE20" s="5">
        <f>P20/AD20</f>
        <v/>
      </c>
      <c r="AF20" s="169" t="n">
        <v>300</v>
      </c>
    </row>
  </sheetData>
  <mergeCells count="8">
    <mergeCell ref="B1:B2"/>
    <mergeCell ref="G1:G2"/>
    <mergeCell ref="F1:F2"/>
    <mergeCell ref="E1:E2"/>
    <mergeCell ref="I1:I2"/>
    <mergeCell ref="J1:J2"/>
    <mergeCell ref="H1:H2"/>
    <mergeCell ref="A1:A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F103"/>
  <sheetViews>
    <sheetView topLeftCell="A16" zoomScale="101" zoomScaleNormal="101" workbookViewId="0">
      <selection activeCell="AU3" sqref="AU3:AU7"/>
    </sheetView>
  </sheetViews>
  <sheetFormatPr baseColWidth="8" defaultColWidth="11" defaultRowHeight="15.75"/>
  <cols>
    <col width="20.6666666666667" customWidth="1" style="327" min="1" max="1"/>
    <col hidden="1" width="11" customWidth="1" style="327" min="2" max="5"/>
    <col hidden="1" width="10.8333333333333" customWidth="1" style="327" min="6" max="8"/>
    <col width="10.8333333333333" customWidth="1" style="327" min="9" max="16"/>
  </cols>
  <sheetData>
    <row r="1" s="327">
      <c r="A1" s="83" t="n"/>
      <c r="B1" s="84" t="n"/>
      <c r="C1" s="84" t="n"/>
      <c r="D1" s="84" t="n"/>
      <c r="E1" s="84" t="n"/>
      <c r="F1" s="84" t="n"/>
      <c r="G1" s="85" t="n"/>
      <c r="H1" s="86" t="n"/>
      <c r="I1" s="86" t="n"/>
      <c r="J1" s="86" t="inlineStr">
        <is>
          <t>主投</t>
        </is>
      </c>
      <c r="K1" s="438" t="n"/>
      <c r="L1" s="438" t="n"/>
      <c r="M1" s="438" t="n"/>
      <c r="N1" s="438" t="n"/>
      <c r="O1" s="438" t="n"/>
      <c r="P1" s="438" t="n"/>
      <c r="Q1" s="438" t="n"/>
      <c r="R1" s="438" t="n"/>
      <c r="S1" s="438" t="n"/>
      <c r="T1" s="438" t="n"/>
      <c r="U1" s="438" t="n"/>
      <c r="V1" s="438" t="n"/>
      <c r="W1" s="438" t="n"/>
      <c r="X1" s="438" t="n"/>
      <c r="Y1" s="438" t="n"/>
      <c r="Z1" s="438" t="n"/>
      <c r="AA1" s="438" t="n"/>
      <c r="AB1" s="438" t="n"/>
      <c r="AC1" s="438" t="n"/>
      <c r="AD1" s="438" t="n"/>
      <c r="AE1" s="438" t="n"/>
      <c r="AF1" s="438" t="n"/>
      <c r="AG1" s="439" t="n"/>
      <c r="AH1" s="87" t="n"/>
      <c r="AI1" s="87" t="n"/>
      <c r="AJ1" s="87" t="n"/>
      <c r="AK1" s="87" t="n"/>
      <c r="AL1" s="87" t="n"/>
      <c r="AM1" s="87" t="n"/>
      <c r="AN1" s="87" t="n"/>
      <c r="AO1" s="87" t="n"/>
      <c r="AP1" s="88" t="inlineStr">
        <is>
          <t>辅投</t>
        </is>
      </c>
      <c r="AQ1" s="438" t="n"/>
      <c r="AR1" s="438" t="n"/>
      <c r="AS1" s="438" t="n"/>
      <c r="AT1" s="438" t="n"/>
      <c r="AU1" s="438" t="n"/>
      <c r="AV1" s="438" t="n"/>
      <c r="AW1" s="438" t="n"/>
      <c r="AX1" s="438" t="n"/>
      <c r="AY1" s="438" t="n"/>
      <c r="AZ1" s="438" t="n"/>
      <c r="BA1" s="438" t="n"/>
      <c r="BB1" s="438" t="n"/>
      <c r="BC1" s="438" t="n"/>
      <c r="BD1" s="438" t="n"/>
      <c r="BE1" s="438" t="n"/>
      <c r="BF1" s="438" t="n"/>
      <c r="BG1" s="438" t="n"/>
      <c r="BH1" s="438" t="n"/>
      <c r="BI1" s="440" t="n"/>
      <c r="BJ1" s="87" t="n"/>
      <c r="BK1" s="87" t="n"/>
      <c r="BL1" s="87" t="n"/>
      <c r="BM1" s="87" t="n"/>
      <c r="BN1" s="87" t="n"/>
      <c r="BO1" s="87" t="n"/>
      <c r="BP1" s="87" t="n"/>
      <c r="BQ1" s="89" t="n"/>
      <c r="BR1" s="90" t="inlineStr">
        <is>
          <t>汇总</t>
        </is>
      </c>
      <c r="BS1" s="438" t="n"/>
      <c r="BT1" s="438" t="n"/>
      <c r="BU1" s="438" t="n"/>
      <c r="BV1" s="438" t="n"/>
      <c r="BW1" s="438" t="n"/>
      <c r="BX1" s="438" t="n"/>
      <c r="BY1" s="438" t="n"/>
      <c r="BZ1" s="438" t="n"/>
      <c r="CA1" s="438" t="n"/>
      <c r="CB1" s="438" t="n"/>
      <c r="CC1" s="438" t="n"/>
      <c r="CD1" s="438" t="n"/>
      <c r="CE1" s="438" t="n"/>
      <c r="CF1" s="439" t="n"/>
    </row>
    <row r="2">
      <c r="A2" s="83" t="n"/>
      <c r="B2" s="91" t="inlineStr">
        <is>
          <t>渠道组</t>
        </is>
      </c>
      <c r="C2" s="92" t="inlineStr">
        <is>
          <t>供应商</t>
        </is>
      </c>
      <c r="D2" s="92" t="inlineStr">
        <is>
          <t>渠道名称</t>
        </is>
      </c>
      <c r="E2" s="92" t="inlineStr">
        <is>
          <t>主投</t>
        </is>
      </c>
      <c r="F2" s="92" t="inlineStr">
        <is>
          <t>辅投</t>
        </is>
      </c>
      <c r="G2" s="92" t="inlineStr">
        <is>
          <t>结算方式</t>
        </is>
      </c>
      <c r="H2" s="92" t="inlineStr">
        <is>
          <t>当月CPT金额</t>
        </is>
      </c>
      <c r="I2" s="92" t="inlineStr">
        <is>
          <t>滚动消耗</t>
        </is>
      </c>
      <c r="J2" s="92" t="inlineStr">
        <is>
          <t>滚动消耗(不含赠课成本)</t>
        </is>
      </c>
      <c r="K2" s="92" t="inlineStr">
        <is>
          <t>单例子成本</t>
        </is>
      </c>
      <c r="L2" s="92" t="inlineStr">
        <is>
          <t>例子数</t>
        </is>
      </c>
      <c r="M2" s="92" t="inlineStr">
        <is>
          <t>分发数</t>
        </is>
      </c>
      <c r="N2" s="92" t="inlineStr">
        <is>
          <t>剔除毛例子
分发数</t>
        </is>
      </c>
      <c r="O2" s="92" t="inlineStr">
        <is>
          <t>约课数</t>
        </is>
      </c>
      <c r="P2" s="92" t="inlineStr">
        <is>
          <t>到课数</t>
        </is>
      </c>
      <c r="Q2" s="92" t="inlineStr">
        <is>
          <t>滚动到课数</t>
        </is>
      </c>
      <c r="R2" s="92" t="inlineStr">
        <is>
          <t>当月成交数</t>
        </is>
      </c>
      <c r="S2" s="92" t="inlineStr">
        <is>
          <t>滚动成交数</t>
        </is>
      </c>
      <c r="T2" s="92" t="inlineStr">
        <is>
          <t>当月GMV</t>
        </is>
      </c>
      <c r="U2" s="92" t="inlineStr">
        <is>
          <t>滚动GMV</t>
        </is>
      </c>
      <c r="V2" s="92" t="inlineStr">
        <is>
          <t>海外GMV占比</t>
        </is>
      </c>
      <c r="W2" s="92" t="inlineStr">
        <is>
          <t>滚动ASP</t>
        </is>
      </c>
      <c r="X2" s="92" t="inlineStr">
        <is>
          <t>例子分发率</t>
        </is>
      </c>
      <c r="Y2" s="92" t="inlineStr">
        <is>
          <t>分发约课率</t>
        </is>
      </c>
      <c r="Z2" s="92" t="inlineStr">
        <is>
          <t>例子约课率</t>
        </is>
      </c>
      <c r="AA2" s="92" t="inlineStr">
        <is>
          <t>约课到课率</t>
        </is>
      </c>
      <c r="AB2" s="92" t="inlineStr">
        <is>
          <t>滚动应到课率</t>
        </is>
      </c>
      <c r="AC2" s="92" t="inlineStr">
        <is>
          <t>到课转化率</t>
        </is>
      </c>
      <c r="AD2" s="92" t="inlineStr">
        <is>
          <t>注册转化率</t>
        </is>
      </c>
      <c r="AE2" s="92" t="inlineStr">
        <is>
          <t>滚动转化率</t>
        </is>
      </c>
      <c r="AF2" s="92" t="inlineStr">
        <is>
          <t>滚动ROI2总成本</t>
        </is>
      </c>
      <c r="AG2" s="92" t="inlineStr">
        <is>
          <t>滚动ROI2</t>
        </is>
      </c>
      <c r="AH2" s="92" t="inlineStr">
        <is>
          <t>滚动应到课人数</t>
        </is>
      </c>
      <c r="AI2" s="92" t="inlineStr">
        <is>
          <t>滚动到课人数</t>
        </is>
      </c>
      <c r="AJ2" s="92" t="inlineStr">
        <is>
          <t>滚动到课人次</t>
        </is>
      </c>
      <c r="AK2" s="92" t="inlineStr">
        <is>
          <t>运营成本</t>
        </is>
      </c>
      <c r="AL2" s="92" t="inlineStr">
        <is>
          <t>销售固定成本</t>
        </is>
      </c>
      <c r="AM2" s="92" t="inlineStr">
        <is>
          <t>销售变动成本</t>
        </is>
      </c>
      <c r="AN2" s="92" t="inlineStr">
        <is>
          <t>TMK费用</t>
        </is>
      </c>
      <c r="AO2" s="92" t="inlineStr">
        <is>
          <t>DEMO费用</t>
        </is>
      </c>
      <c r="AP2" s="92" t="inlineStr">
        <is>
          <t>例子数</t>
        </is>
      </c>
      <c r="AQ2" s="92" t="inlineStr">
        <is>
          <t>分发数</t>
        </is>
      </c>
      <c r="AR2" s="92" t="inlineStr">
        <is>
          <t>剔除毛例子分发数</t>
        </is>
      </c>
      <c r="AS2" s="92" t="inlineStr">
        <is>
          <t>约课数</t>
        </is>
      </c>
      <c r="AT2" s="92" t="inlineStr">
        <is>
          <t>到课数</t>
        </is>
      </c>
      <c r="AU2" s="92" t="inlineStr">
        <is>
          <t>滚动到课数</t>
        </is>
      </c>
      <c r="AV2" s="92" t="inlineStr">
        <is>
          <t>当月成交</t>
        </is>
      </c>
      <c r="AW2" s="92" t="inlineStr">
        <is>
          <t>滚动成交数</t>
        </is>
      </c>
      <c r="AX2" s="92" t="inlineStr">
        <is>
          <t>当月GMV</t>
        </is>
      </c>
      <c r="AY2" s="92" t="inlineStr">
        <is>
          <t>滚动GMV</t>
        </is>
      </c>
      <c r="AZ2" s="92" t="inlineStr">
        <is>
          <t>海外GMV占比</t>
        </is>
      </c>
      <c r="BA2" s="92" t="inlineStr">
        <is>
          <t>滚动ASP</t>
        </is>
      </c>
      <c r="BB2" s="92" t="inlineStr">
        <is>
          <t>例子分发率</t>
        </is>
      </c>
      <c r="BC2" s="92" t="inlineStr">
        <is>
          <t>分发约课率</t>
        </is>
      </c>
      <c r="BD2" s="92" t="inlineStr">
        <is>
          <t>例子约课率</t>
        </is>
      </c>
      <c r="BE2" s="92" t="inlineStr">
        <is>
          <t>约课到课率</t>
        </is>
      </c>
      <c r="BF2" s="92" t="inlineStr">
        <is>
          <t>滚动应到课率</t>
        </is>
      </c>
      <c r="BG2" s="92" t="inlineStr">
        <is>
          <t>到课转化率</t>
        </is>
      </c>
      <c r="BH2" s="92" t="inlineStr">
        <is>
          <t>注册转化率</t>
        </is>
      </c>
      <c r="BI2" s="92" t="inlineStr">
        <is>
          <t>滚动转化率</t>
        </is>
      </c>
      <c r="BJ2" s="92" t="inlineStr">
        <is>
          <t>滚动应到课人数</t>
        </is>
      </c>
      <c r="BK2" s="92" t="inlineStr">
        <is>
          <t>滚动到课人数</t>
        </is>
      </c>
      <c r="BL2" s="92" t="inlineStr">
        <is>
          <t>滚动到课人次</t>
        </is>
      </c>
      <c r="BM2" s="92" t="inlineStr">
        <is>
          <t>运营成本</t>
        </is>
      </c>
      <c r="BN2" s="92" t="inlineStr">
        <is>
          <t>销售固定成本</t>
        </is>
      </c>
      <c r="BO2" s="92" t="inlineStr">
        <is>
          <t>销售变动成本</t>
        </is>
      </c>
      <c r="BP2" s="92" t="inlineStr">
        <is>
          <t>TMK费用</t>
        </is>
      </c>
      <c r="BQ2" s="92" t="inlineStr">
        <is>
          <t>DEMO费用</t>
        </is>
      </c>
      <c r="BR2" s="92" t="inlineStr">
        <is>
          <t>当月GMV</t>
        </is>
      </c>
      <c r="BS2" s="92" t="inlineStr">
        <is>
          <t>滚动GMV</t>
        </is>
      </c>
      <c r="BT2" s="92" t="inlineStr">
        <is>
          <t>海外GMV占比</t>
        </is>
      </c>
      <c r="BU2" s="92" t="inlineStr">
        <is>
          <t>滚动其他成本</t>
        </is>
      </c>
      <c r="BV2" s="92" t="inlineStr">
        <is>
          <t>同源其他成本</t>
        </is>
      </c>
      <c r="BW2" s="92" t="inlineStr">
        <is>
          <t>运营成本</t>
        </is>
      </c>
      <c r="BX2" s="92" t="inlineStr">
        <is>
          <t>滚动消耗</t>
        </is>
      </c>
      <c r="BY2" s="92" t="inlineStr">
        <is>
          <t>同源消耗</t>
        </is>
      </c>
      <c r="BZ2" s="92" t="inlineStr">
        <is>
          <t>当月ROI2总成本</t>
        </is>
      </c>
      <c r="CA2" s="92" t="inlineStr">
        <is>
          <t>当月ROI2</t>
        </is>
      </c>
      <c r="CB2" s="92" t="inlineStr">
        <is>
          <t>滚动赠课成本</t>
        </is>
      </c>
      <c r="CC2" s="92" t="inlineStr">
        <is>
          <t>滚动ROI2总成本</t>
        </is>
      </c>
      <c r="CD2" s="92" t="inlineStr">
        <is>
          <t>滚动ROI2</t>
        </is>
      </c>
      <c r="CE2" s="92" t="inlineStr">
        <is>
          <t>O-ROI总成本</t>
        </is>
      </c>
      <c r="CF2" s="92" t="inlineStr">
        <is>
          <t>O-ROI</t>
        </is>
      </c>
    </row>
    <row r="3">
      <c r="A3" s="93" t="inlineStr">
        <is>
          <t>2024年-12月陈琪</t>
        </is>
      </c>
      <c r="B3" s="94" t="n"/>
      <c r="C3" s="95" t="inlineStr">
        <is>
          <t>陈琪</t>
        </is>
      </c>
      <c r="D3" s="95" t="inlineStr">
        <is>
          <t>KOLHK-香港-陈琪-Shukei-思维&amp;美术</t>
        </is>
      </c>
      <c r="E3" s="95" t="inlineStr">
        <is>
          <t>思维</t>
        </is>
      </c>
      <c r="F3" s="95" t="inlineStr">
        <is>
          <t>美术</t>
        </is>
      </c>
      <c r="G3" s="95" t="inlineStr">
        <is>
          <t>CPT</t>
        </is>
      </c>
      <c r="H3" s="95" t="n"/>
      <c r="I3" s="96" t="n">
        <v>33739</v>
      </c>
      <c r="J3" s="96" t="n">
        <v>33739</v>
      </c>
      <c r="K3" s="95" t="n">
        <v>177</v>
      </c>
      <c r="L3" s="95" t="n">
        <v>191</v>
      </c>
      <c r="M3" s="95" t="n">
        <v>138</v>
      </c>
      <c r="N3" s="95" t="n">
        <v>139</v>
      </c>
      <c r="O3" s="95" t="n">
        <v>91</v>
      </c>
      <c r="P3" s="95" t="n">
        <v>63</v>
      </c>
      <c r="Q3" s="95" t="n">
        <v>63</v>
      </c>
      <c r="R3" s="95" t="n">
        <v>15</v>
      </c>
      <c r="S3" s="95" t="n">
        <v>15</v>
      </c>
      <c r="T3" s="96" t="n">
        <v>59520</v>
      </c>
      <c r="U3" s="96" t="n">
        <v>59520</v>
      </c>
      <c r="V3" s="97" t="n">
        <v>1</v>
      </c>
      <c r="W3" s="96" t="n">
        <v>3968</v>
      </c>
      <c r="X3" s="97" t="n">
        <v>0.723</v>
      </c>
      <c r="Y3" s="97" t="n">
        <v>0.659</v>
      </c>
      <c r="Z3" s="97" t="n">
        <v>0.476</v>
      </c>
      <c r="AA3" s="97" t="n">
        <v>0.6919999999999999</v>
      </c>
      <c r="AB3" s="97" t="n">
        <v>0.955</v>
      </c>
      <c r="AC3" s="97" t="n">
        <v>0.238</v>
      </c>
      <c r="AD3" s="97" t="n">
        <v>0.079</v>
      </c>
      <c r="AE3" s="97" t="n">
        <v>0.079</v>
      </c>
      <c r="AF3" s="96" t="n">
        <v>50678</v>
      </c>
      <c r="AG3" s="95" t="n">
        <v>1.17</v>
      </c>
      <c r="AH3" s="95" t="n">
        <v>66</v>
      </c>
      <c r="AI3" s="95" t="n">
        <v>63</v>
      </c>
      <c r="AJ3" s="95" t="n">
        <v>69</v>
      </c>
      <c r="AK3" s="96" t="n">
        <v>11247</v>
      </c>
      <c r="AL3" s="96" t="n">
        <v>16717</v>
      </c>
      <c r="AM3" s="96" t="n">
        <v>6655</v>
      </c>
      <c r="AN3" s="96" t="n">
        <v>1781</v>
      </c>
      <c r="AO3" s="96" t="n">
        <v>5844</v>
      </c>
      <c r="AP3" s="95" t="n">
        <v>190</v>
      </c>
      <c r="AQ3" s="95" t="n">
        <v>26</v>
      </c>
      <c r="AR3" s="95" t="n">
        <v>26</v>
      </c>
      <c r="AS3" s="95" t="n">
        <v>31</v>
      </c>
      <c r="AT3" s="95" t="n">
        <v>23</v>
      </c>
      <c r="AU3" s="95" t="n">
        <v>23</v>
      </c>
      <c r="AV3" s="95" t="n">
        <v>3</v>
      </c>
      <c r="AW3" s="95" t="n">
        <v>3</v>
      </c>
      <c r="AX3" s="96" t="n">
        <v>12498</v>
      </c>
      <c r="AY3" s="95" t="n">
        <v>12498</v>
      </c>
      <c r="AZ3" s="97" t="n">
        <v>1</v>
      </c>
      <c r="BA3" s="95" t="n">
        <v>4166</v>
      </c>
      <c r="BB3" s="97" t="n">
        <v>0.137</v>
      </c>
      <c r="BC3" s="97" t="n">
        <v>1.192</v>
      </c>
      <c r="BD3" s="97" t="n">
        <v>0.163</v>
      </c>
      <c r="BE3" s="97" t="n">
        <v>0.742</v>
      </c>
      <c r="BF3" s="97" t="n">
        <v>0.767</v>
      </c>
      <c r="BG3" s="97" t="n">
        <v>0.13</v>
      </c>
      <c r="BH3" s="97" t="n">
        <v>0.016</v>
      </c>
      <c r="BI3" s="97" t="n">
        <v>0.016</v>
      </c>
      <c r="BJ3" s="95" t="n">
        <v>30</v>
      </c>
      <c r="BK3" s="95" t="n">
        <v>23</v>
      </c>
      <c r="BL3" s="95" t="n">
        <v>23</v>
      </c>
      <c r="BM3" s="96" t="n">
        <v>8938</v>
      </c>
      <c r="BN3" s="96" t="n">
        <v>4012</v>
      </c>
      <c r="BO3" s="96" t="n">
        <v>1313</v>
      </c>
      <c r="BP3" s="96" t="n">
        <v>1853</v>
      </c>
      <c r="BQ3" s="96" t="n">
        <v>1980</v>
      </c>
      <c r="BR3" s="96" t="n">
        <v>72018</v>
      </c>
      <c r="BS3" s="96" t="n">
        <v>72018</v>
      </c>
      <c r="BT3" s="97" t="n">
        <v>1</v>
      </c>
      <c r="BU3" s="96" t="n">
        <v>40155</v>
      </c>
      <c r="BV3" s="96" t="n">
        <v>40035</v>
      </c>
      <c r="BW3" s="96" t="n">
        <v>20185</v>
      </c>
      <c r="BX3" s="96" t="n">
        <v>33739</v>
      </c>
      <c r="BY3" s="96" t="n">
        <v>33739</v>
      </c>
      <c r="BZ3" s="96" t="n">
        <v>93959</v>
      </c>
      <c r="CA3" s="95" t="n">
        <v>0.77</v>
      </c>
      <c r="CB3" s="95" t="n"/>
      <c r="CC3" s="96" t="n">
        <v>94080</v>
      </c>
      <c r="CD3" s="95" t="n">
        <v>0.77</v>
      </c>
      <c r="CE3" s="96" t="n">
        <v>77472</v>
      </c>
      <c r="CF3" s="95" t="n">
        <v>0.93</v>
      </c>
    </row>
    <row r="4">
      <c r="A4" s="98" t="inlineStr">
        <is>
          <t>2025年-1月陈琪</t>
        </is>
      </c>
      <c r="B4" s="99" t="n"/>
      <c r="C4" s="100" t="inlineStr">
        <is>
          <t>陈琪</t>
        </is>
      </c>
      <c r="D4" s="100" t="inlineStr">
        <is>
          <t>KOLHK-香港-陈琪-Shukei-思维&amp;美术</t>
        </is>
      </c>
      <c r="E4" s="100" t="inlineStr">
        <is>
          <t>思维</t>
        </is>
      </c>
      <c r="F4" s="100" t="inlineStr">
        <is>
          <t>美术</t>
        </is>
      </c>
      <c r="G4" s="100" t="inlineStr">
        <is>
          <t>CPT</t>
        </is>
      </c>
      <c r="H4" s="100" t="n"/>
      <c r="I4" s="101" t="n">
        <v>40592</v>
      </c>
      <c r="J4" s="101" t="n">
        <v>40592</v>
      </c>
      <c r="K4" s="100" t="n">
        <v>344</v>
      </c>
      <c r="L4" s="100" t="n">
        <v>118</v>
      </c>
      <c r="M4" s="100" t="n">
        <v>45</v>
      </c>
      <c r="N4" s="100" t="n">
        <v>48</v>
      </c>
      <c r="O4" s="100" t="n">
        <v>48</v>
      </c>
      <c r="P4" s="100" t="n">
        <v>40</v>
      </c>
      <c r="Q4" s="100" t="n">
        <v>51</v>
      </c>
      <c r="R4" s="100" t="n">
        <v>14</v>
      </c>
      <c r="S4" s="100" t="n">
        <v>15</v>
      </c>
      <c r="T4" s="101" t="n">
        <v>69532</v>
      </c>
      <c r="U4" s="101" t="n">
        <v>73220</v>
      </c>
      <c r="V4" s="102" t="n">
        <v>1</v>
      </c>
      <c r="W4" s="101" t="n">
        <v>4881</v>
      </c>
      <c r="X4" s="102" t="n">
        <v>0.381</v>
      </c>
      <c r="Y4" s="102" t="n">
        <v>1.067</v>
      </c>
      <c r="Z4" s="102" t="n">
        <v>0.407</v>
      </c>
      <c r="AA4" s="102" t="n">
        <v>0.833</v>
      </c>
      <c r="AB4" s="102" t="n">
        <v>0.962</v>
      </c>
      <c r="AC4" s="102" t="n">
        <v>0.35</v>
      </c>
      <c r="AD4" s="102" t="n">
        <v>0.119</v>
      </c>
      <c r="AE4" s="102" t="n">
        <v>0.127</v>
      </c>
      <c r="AF4" s="101" t="n">
        <v>73894</v>
      </c>
      <c r="AG4" s="100" t="n">
        <v>0.99</v>
      </c>
      <c r="AH4" s="100" t="n">
        <v>53</v>
      </c>
      <c r="AI4" s="100" t="n">
        <v>51</v>
      </c>
      <c r="AJ4" s="100" t="n">
        <v>57</v>
      </c>
      <c r="AK4" s="101" t="n">
        <v>14458</v>
      </c>
      <c r="AL4" s="101" t="n">
        <v>6862</v>
      </c>
      <c r="AM4" s="101" t="n">
        <v>6046</v>
      </c>
      <c r="AN4" s="101" t="n">
        <v>1311</v>
      </c>
      <c r="AO4" s="101" t="n">
        <v>4627</v>
      </c>
      <c r="AP4" s="100" t="n">
        <v>118</v>
      </c>
      <c r="AQ4" s="100" t="n">
        <v>30</v>
      </c>
      <c r="AR4" s="100" t="n">
        <v>36</v>
      </c>
      <c r="AS4" s="100" t="n">
        <v>29</v>
      </c>
      <c r="AT4" s="100" t="n">
        <v>17</v>
      </c>
      <c r="AU4" s="100" t="n">
        <v>19</v>
      </c>
      <c r="AV4" s="100" t="n">
        <v>2</v>
      </c>
      <c r="AW4" s="100" t="n">
        <v>2</v>
      </c>
      <c r="AX4" s="101" t="n">
        <v>6529</v>
      </c>
      <c r="AY4" s="100" t="n">
        <v>6529</v>
      </c>
      <c r="AZ4" s="102" t="n">
        <v>1</v>
      </c>
      <c r="BA4" s="100" t="n">
        <v>3265</v>
      </c>
      <c r="BB4" s="102" t="n">
        <v>0.254</v>
      </c>
      <c r="BC4" s="102" t="n">
        <v>0.967</v>
      </c>
      <c r="BD4" s="102" t="n">
        <v>0.246</v>
      </c>
      <c r="BE4" s="102" t="n">
        <v>0.586</v>
      </c>
      <c r="BF4" s="102" t="n">
        <v>0.5590000000000001</v>
      </c>
      <c r="BG4" s="102" t="n">
        <v>0.118</v>
      </c>
      <c r="BH4" s="102" t="n">
        <v>0.017</v>
      </c>
      <c r="BI4" s="102" t="n">
        <v>0.017</v>
      </c>
      <c r="BJ4" s="100" t="n">
        <v>34</v>
      </c>
      <c r="BK4" s="100" t="n">
        <v>19</v>
      </c>
      <c r="BL4" s="100" t="n">
        <v>20</v>
      </c>
      <c r="BM4" s="101" t="n">
        <v>13720</v>
      </c>
      <c r="BN4" s="101" t="n">
        <v>3869</v>
      </c>
      <c r="BO4" s="100" t="n">
        <v>610</v>
      </c>
      <c r="BP4" s="101" t="n">
        <v>1311</v>
      </c>
      <c r="BQ4" s="101" t="n">
        <v>1631</v>
      </c>
      <c r="BR4" s="101" t="n">
        <v>76061</v>
      </c>
      <c r="BS4" s="101" t="n">
        <v>79749</v>
      </c>
      <c r="BT4" s="102" t="n">
        <v>1</v>
      </c>
      <c r="BU4" s="101" t="n">
        <v>26266</v>
      </c>
      <c r="BV4" s="103" t="n">
        <v>23751</v>
      </c>
      <c r="BW4" s="103" t="n">
        <v>28178</v>
      </c>
      <c r="BX4" s="103" t="n">
        <v>40592</v>
      </c>
      <c r="BY4" s="103" t="n">
        <v>40592</v>
      </c>
      <c r="BZ4" s="101" t="n">
        <v>92520</v>
      </c>
      <c r="CA4" s="100" t="n">
        <v>0.82</v>
      </c>
      <c r="CB4" s="100" t="n"/>
      <c r="CC4" s="101" t="n">
        <v>95035</v>
      </c>
      <c r="CD4" s="100" t="n">
        <v>0.84</v>
      </c>
      <c r="CE4" s="101" t="n">
        <v>84558</v>
      </c>
      <c r="CF4" s="100" t="n">
        <v>0.9399999999999999</v>
      </c>
    </row>
    <row r="5">
      <c r="A5" s="104" t="inlineStr">
        <is>
          <t>2025年-2月陈琪</t>
        </is>
      </c>
      <c r="B5" s="105" t="n"/>
      <c r="C5" s="105" t="inlineStr">
        <is>
          <t>陈琪</t>
        </is>
      </c>
      <c r="D5" s="100" t="inlineStr">
        <is>
          <t>KOLHK-香港-陈琪-Shukei-思维&amp;美术</t>
        </is>
      </c>
      <c r="E5" s="100" t="inlineStr">
        <is>
          <t>思维</t>
        </is>
      </c>
      <c r="F5" s="100" t="inlineStr">
        <is>
          <t>美术</t>
        </is>
      </c>
      <c r="G5" s="100" t="inlineStr">
        <is>
          <t>CPT</t>
        </is>
      </c>
      <c r="H5" s="100" t="n"/>
      <c r="I5" s="101" t="n">
        <v>48635</v>
      </c>
      <c r="J5" s="101" t="n">
        <v>48635</v>
      </c>
      <c r="K5" s="100" t="n">
        <v>269</v>
      </c>
      <c r="L5" s="100" t="n">
        <v>181</v>
      </c>
      <c r="M5" s="100" t="n">
        <v>85</v>
      </c>
      <c r="N5" s="100" t="n">
        <v>86</v>
      </c>
      <c r="O5" s="100" t="n">
        <v>90</v>
      </c>
      <c r="P5" s="100" t="n">
        <v>64</v>
      </c>
      <c r="Q5" s="100" t="n">
        <v>72</v>
      </c>
      <c r="R5" s="100" t="n">
        <v>23</v>
      </c>
      <c r="S5" s="100" t="n">
        <v>27</v>
      </c>
      <c r="T5" s="101" t="n">
        <v>118186</v>
      </c>
      <c r="U5" s="101" t="n">
        <v>138838</v>
      </c>
      <c r="V5" s="102" t="n">
        <v>1</v>
      </c>
      <c r="W5" s="101" t="n">
        <v>5142</v>
      </c>
      <c r="X5" s="102" t="n">
        <v>0.47</v>
      </c>
      <c r="Y5" s="102" t="n">
        <v>1.059</v>
      </c>
      <c r="Z5" s="102" t="n">
        <v>0.497</v>
      </c>
      <c r="AA5" s="102" t="n">
        <v>0.711</v>
      </c>
      <c r="AB5" s="102" t="n">
        <v>0.947</v>
      </c>
      <c r="AC5" s="102" t="n">
        <v>0.359</v>
      </c>
      <c r="AD5" s="102" t="n">
        <v>0.127</v>
      </c>
      <c r="AE5" s="102" t="n">
        <v>0.149</v>
      </c>
      <c r="AF5" s="101" t="n">
        <v>93017</v>
      </c>
      <c r="AG5" s="100" t="n">
        <v>1.49</v>
      </c>
      <c r="AH5" s="100" t="n">
        <v>76</v>
      </c>
      <c r="AI5" s="100" t="n">
        <v>72</v>
      </c>
      <c r="AJ5" s="100" t="n">
        <v>78</v>
      </c>
      <c r="AK5" s="101" t="n">
        <v>12472</v>
      </c>
      <c r="AL5" s="101" t="n">
        <v>11124</v>
      </c>
      <c r="AM5" s="101" t="n">
        <v>12886</v>
      </c>
      <c r="AN5" s="101" t="n">
        <v>1250</v>
      </c>
      <c r="AO5" s="101" t="n">
        <v>6649</v>
      </c>
      <c r="AP5" s="100" t="n">
        <v>164</v>
      </c>
      <c r="AQ5" s="100" t="n">
        <v>46</v>
      </c>
      <c r="AR5" s="100" t="n">
        <v>49</v>
      </c>
      <c r="AS5" s="100" t="n">
        <v>52</v>
      </c>
      <c r="AT5" s="100" t="n">
        <v>21</v>
      </c>
      <c r="AU5" s="100" t="n">
        <v>24</v>
      </c>
      <c r="AV5" s="100" t="n">
        <v>2</v>
      </c>
      <c r="AW5" s="100" t="n">
        <v>2</v>
      </c>
      <c r="AX5" s="101" t="n">
        <v>7176</v>
      </c>
      <c r="AY5" s="100" t="n">
        <v>7176</v>
      </c>
      <c r="AZ5" s="102" t="n">
        <v>1</v>
      </c>
      <c r="BA5" s="100" t="n">
        <v>3588</v>
      </c>
      <c r="BB5" s="102" t="n">
        <v>0.28</v>
      </c>
      <c r="BC5" s="102" t="n">
        <v>1.13</v>
      </c>
      <c r="BD5" s="102" t="n">
        <v>0.317</v>
      </c>
      <c r="BE5" s="102" t="n">
        <v>0.404</v>
      </c>
      <c r="BF5" s="102" t="n">
        <v>0.453</v>
      </c>
      <c r="BG5" s="102" t="n">
        <v>0.095</v>
      </c>
      <c r="BH5" s="102" t="n">
        <v>0.012</v>
      </c>
      <c r="BI5" s="102" t="n">
        <v>0.012</v>
      </c>
      <c r="BJ5" s="100" t="n">
        <v>53</v>
      </c>
      <c r="BK5" s="100" t="n">
        <v>24</v>
      </c>
      <c r="BL5" s="100" t="n">
        <v>25</v>
      </c>
      <c r="BM5" s="101" t="n">
        <v>10654</v>
      </c>
      <c r="BN5" s="101" t="n">
        <v>4401</v>
      </c>
      <c r="BO5" s="100" t="n">
        <v>691</v>
      </c>
      <c r="BP5" s="101" t="n">
        <v>1198</v>
      </c>
      <c r="BQ5" s="101" t="n">
        <v>1847</v>
      </c>
      <c r="BR5" s="101" t="n">
        <v>125362</v>
      </c>
      <c r="BS5" s="101" t="n">
        <v>146014</v>
      </c>
      <c r="BT5" s="102" t="n">
        <v>1</v>
      </c>
      <c r="BU5" s="101" t="n">
        <v>40047</v>
      </c>
      <c r="BV5" s="103" t="n">
        <v>36743</v>
      </c>
      <c r="BW5" s="103" t="n">
        <v>23126</v>
      </c>
      <c r="BX5" s="103" t="n">
        <v>48635</v>
      </c>
      <c r="BY5" s="103" t="n">
        <v>48635</v>
      </c>
      <c r="BZ5" s="101" t="n">
        <v>108503</v>
      </c>
      <c r="CA5" s="100" t="n">
        <v>1.16</v>
      </c>
      <c r="CB5" s="100" t="n"/>
      <c r="CC5" s="101" t="n">
        <v>111808</v>
      </c>
      <c r="CD5" s="100" t="n">
        <v>1.31</v>
      </c>
      <c r="CE5" s="101" t="n">
        <v>114557</v>
      </c>
      <c r="CF5" s="100" t="n">
        <v>1.27</v>
      </c>
    </row>
    <row r="6">
      <c r="A6" s="104" t="inlineStr">
        <is>
          <t>2025年-3月陈琪</t>
        </is>
      </c>
      <c r="B6" s="95" t="n"/>
      <c r="C6" s="95" t="inlineStr">
        <is>
          <t>陈琪</t>
        </is>
      </c>
      <c r="D6" s="95" t="inlineStr">
        <is>
          <t>KOLHK-香港-陈琪-Shukei-思维&amp;美术</t>
        </is>
      </c>
      <c r="E6" s="95" t="inlineStr">
        <is>
          <t>思维</t>
        </is>
      </c>
      <c r="F6" s="95" t="inlineStr">
        <is>
          <t>美术</t>
        </is>
      </c>
      <c r="G6" s="95" t="inlineStr">
        <is>
          <t>CPT</t>
        </is>
      </c>
      <c r="H6" s="95" t="n"/>
      <c r="I6" s="96" t="n">
        <v>113250</v>
      </c>
      <c r="J6" s="96" t="n">
        <v>113250</v>
      </c>
      <c r="K6" s="95" t="n">
        <v>380</v>
      </c>
      <c r="L6" s="95" t="n">
        <v>298</v>
      </c>
      <c r="M6" s="95" t="n">
        <v>142</v>
      </c>
      <c r="N6" s="95" t="n">
        <v>146</v>
      </c>
      <c r="O6" s="95" t="n">
        <v>152</v>
      </c>
      <c r="P6" s="95" t="n">
        <v>117</v>
      </c>
      <c r="Q6" s="95" t="n">
        <v>132</v>
      </c>
      <c r="R6" s="95" t="n">
        <v>47</v>
      </c>
      <c r="S6" s="95" t="n">
        <v>55</v>
      </c>
      <c r="T6" s="96" t="n">
        <v>243836</v>
      </c>
      <c r="U6" s="96" t="n">
        <v>275640</v>
      </c>
      <c r="V6" s="97" t="n">
        <v>1</v>
      </c>
      <c r="W6" s="96" t="n">
        <v>5012</v>
      </c>
      <c r="X6" s="97" t="n">
        <v>0.477</v>
      </c>
      <c r="Y6" s="97" t="n">
        <v>1.07</v>
      </c>
      <c r="Z6" s="97" t="n">
        <v>0.51</v>
      </c>
      <c r="AA6" s="97" t="n">
        <v>0.77</v>
      </c>
      <c r="AB6" s="97" t="n">
        <v>0.95</v>
      </c>
      <c r="AC6" s="97" t="n">
        <v>0.402</v>
      </c>
      <c r="AD6" s="97" t="n">
        <v>0.158</v>
      </c>
      <c r="AE6" s="97" t="n">
        <v>0.185</v>
      </c>
      <c r="AF6" s="96" t="n">
        <v>193915</v>
      </c>
      <c r="AG6" s="95" t="n">
        <v>1.42</v>
      </c>
      <c r="AH6" s="95" t="n">
        <v>139</v>
      </c>
      <c r="AI6" s="95" t="n">
        <v>132</v>
      </c>
      <c r="AJ6" s="95" t="n">
        <v>138</v>
      </c>
      <c r="AK6" s="96" t="n">
        <v>26636</v>
      </c>
      <c r="AL6" s="96" t="n">
        <v>14433</v>
      </c>
      <c r="AM6" s="96" t="n">
        <v>26387</v>
      </c>
      <c r="AN6" s="96" t="n">
        <v>2005</v>
      </c>
      <c r="AO6" s="96" t="n">
        <v>11202</v>
      </c>
      <c r="AP6" s="95" t="n">
        <v>18</v>
      </c>
      <c r="AQ6" s="95" t="n">
        <v>17</v>
      </c>
      <c r="AR6" s="95" t="n">
        <v>25</v>
      </c>
      <c r="AS6" s="95" t="n">
        <v>17</v>
      </c>
      <c r="AT6" s="95" t="n">
        <v>10</v>
      </c>
      <c r="AU6" s="95" t="n">
        <v>13</v>
      </c>
      <c r="AV6" s="95" t="n">
        <v>2</v>
      </c>
      <c r="AW6" s="95" t="n">
        <v>2</v>
      </c>
      <c r="AX6" s="96" t="n">
        <v>7735</v>
      </c>
      <c r="AY6" s="95" t="n">
        <v>7735</v>
      </c>
      <c r="AZ6" s="97" t="n">
        <v>1</v>
      </c>
      <c r="BA6" s="95" t="n">
        <v>3868</v>
      </c>
      <c r="BB6" s="97" t="n">
        <v>0.944</v>
      </c>
      <c r="BC6" s="97" t="n">
        <v>1</v>
      </c>
      <c r="BD6" s="97" t="n">
        <v>0.944</v>
      </c>
      <c r="BE6" s="97" t="n">
        <v>0.588</v>
      </c>
      <c r="BF6" s="97" t="n">
        <v>0.542</v>
      </c>
      <c r="BG6" s="97" t="n">
        <v>0.2</v>
      </c>
      <c r="BH6" s="97" t="n">
        <v>0.111</v>
      </c>
      <c r="BI6" s="97" t="n">
        <v>0.111</v>
      </c>
      <c r="BJ6" s="95" t="n">
        <v>24</v>
      </c>
      <c r="BK6" s="95" t="n">
        <v>13</v>
      </c>
      <c r="BL6" s="95" t="n">
        <v>14</v>
      </c>
      <c r="BM6" s="96" t="n">
        <v>1471</v>
      </c>
      <c r="BN6" s="96" t="n">
        <v>2100</v>
      </c>
      <c r="BO6" s="95" t="n">
        <v>760</v>
      </c>
      <c r="BP6" s="95" t="n">
        <v>121</v>
      </c>
      <c r="BQ6" s="96" t="n">
        <v>1142</v>
      </c>
      <c r="BR6" s="96" t="n">
        <v>251571</v>
      </c>
      <c r="BS6" s="96" t="n">
        <v>283375</v>
      </c>
      <c r="BT6" s="97" t="n">
        <v>1</v>
      </c>
      <c r="BU6" s="96" t="n">
        <v>58151</v>
      </c>
      <c r="BV6" s="96" t="n">
        <v>52577</v>
      </c>
      <c r="BW6" s="96" t="n">
        <v>28107</v>
      </c>
      <c r="BX6" s="96" t="n">
        <v>113250</v>
      </c>
      <c r="BY6" s="96" t="n">
        <v>113250</v>
      </c>
      <c r="BZ6" s="96" t="n">
        <v>193935</v>
      </c>
      <c r="CA6" s="95" t="n">
        <v>1.3</v>
      </c>
      <c r="CB6" s="95" t="n"/>
      <c r="CC6" s="96" t="n">
        <v>199509</v>
      </c>
      <c r="CD6" s="95" t="n">
        <v>1.42</v>
      </c>
      <c r="CE6" s="96" t="n">
        <v>195102</v>
      </c>
      <c r="CF6" s="95" t="n">
        <v>1.45</v>
      </c>
    </row>
    <row r="7">
      <c r="A7" s="106" t="inlineStr">
        <is>
          <t>2025年-4月陈琪</t>
        </is>
      </c>
      <c r="B7" s="107" t="n"/>
      <c r="C7" s="108" t="inlineStr">
        <is>
          <t>陈琪</t>
        </is>
      </c>
      <c r="D7" s="108" t="inlineStr">
        <is>
          <t>KOLHK-香港-陈琪-Shukei-思维&amp;美术</t>
        </is>
      </c>
      <c r="E7" s="108" t="inlineStr">
        <is>
          <t>思维</t>
        </is>
      </c>
      <c r="F7" s="108" t="inlineStr">
        <is>
          <t>美术</t>
        </is>
      </c>
      <c r="G7" s="108" t="inlineStr">
        <is>
          <t>CPT</t>
        </is>
      </c>
      <c r="H7" s="108" t="n"/>
      <c r="I7" s="109" t="n">
        <v>131732</v>
      </c>
      <c r="J7" s="109" t="n">
        <v>131732</v>
      </c>
      <c r="K7" s="108" t="n">
        <v>540</v>
      </c>
      <c r="L7" s="108" t="n">
        <v>244</v>
      </c>
      <c r="M7" s="108" t="n">
        <v>122</v>
      </c>
      <c r="N7" s="108" t="n">
        <v>128</v>
      </c>
      <c r="O7" s="108" t="n">
        <v>127</v>
      </c>
      <c r="P7" s="108" t="n">
        <v>100</v>
      </c>
      <c r="Q7" s="108" t="n">
        <v>124</v>
      </c>
      <c r="R7" s="108" t="n">
        <v>41</v>
      </c>
      <c r="S7" s="108" t="n">
        <v>48</v>
      </c>
      <c r="T7" s="109" t="n">
        <v>180708</v>
      </c>
      <c r="U7" s="109" t="n">
        <v>211424</v>
      </c>
      <c r="V7" s="110" t="n">
        <v>1</v>
      </c>
      <c r="W7" s="109" t="n">
        <v>4405</v>
      </c>
      <c r="X7" s="110" t="n">
        <v>0.5</v>
      </c>
      <c r="Y7" s="110" t="n">
        <v>1.041</v>
      </c>
      <c r="Z7" s="110" t="n">
        <v>0.52</v>
      </c>
      <c r="AA7" s="110" t="n">
        <v>0.787</v>
      </c>
      <c r="AB7" s="110" t="n">
        <v>0.984</v>
      </c>
      <c r="AC7" s="110" t="n">
        <v>0.41</v>
      </c>
      <c r="AD7" s="110" t="n">
        <v>0.168</v>
      </c>
      <c r="AE7" s="110" t="n">
        <v>0.197</v>
      </c>
      <c r="AF7" s="109" t="n">
        <v>210353</v>
      </c>
      <c r="AG7" s="108" t="n">
        <v>1.01</v>
      </c>
      <c r="AH7" s="108" t="n">
        <v>126</v>
      </c>
      <c r="AI7" s="108" t="n">
        <v>124</v>
      </c>
      <c r="AJ7" s="108" t="n">
        <v>134</v>
      </c>
      <c r="AK7" s="109" t="n">
        <v>27025</v>
      </c>
      <c r="AL7" s="109" t="n">
        <v>18959</v>
      </c>
      <c r="AM7" s="109" t="n">
        <v>18955</v>
      </c>
      <c r="AN7" s="109" t="n">
        <v>2412</v>
      </c>
      <c r="AO7" s="109" t="n">
        <v>11270</v>
      </c>
      <c r="AP7" s="108" t="n">
        <v>20</v>
      </c>
      <c r="AQ7" s="108" t="n">
        <v>18</v>
      </c>
      <c r="AR7" s="108" t="n">
        <v>20</v>
      </c>
      <c r="AS7" s="108" t="n">
        <v>18</v>
      </c>
      <c r="AT7" s="108" t="n">
        <v>11</v>
      </c>
      <c r="AU7" s="108" t="n">
        <v>13</v>
      </c>
      <c r="AV7" s="108" t="n">
        <v>0</v>
      </c>
      <c r="AW7" s="108" t="n">
        <v>0</v>
      </c>
      <c r="AX7" s="108" t="n">
        <v>0</v>
      </c>
      <c r="AY7" s="108" t="n">
        <v>0</v>
      </c>
      <c r="AZ7" s="108" t="n"/>
      <c r="BA7" s="108" t="n"/>
      <c r="BB7" s="110" t="n">
        <v>0.9</v>
      </c>
      <c r="BC7" s="110" t="n">
        <v>1</v>
      </c>
      <c r="BD7" s="110" t="n">
        <v>0.9</v>
      </c>
      <c r="BE7" s="110" t="n">
        <v>0.611</v>
      </c>
      <c r="BF7" s="110" t="n">
        <v>0.65</v>
      </c>
      <c r="BG7" s="110" t="n">
        <v>0</v>
      </c>
      <c r="BH7" s="110" t="n">
        <v>0</v>
      </c>
      <c r="BI7" s="110" t="n">
        <v>0</v>
      </c>
      <c r="BJ7" s="108" t="n">
        <v>20</v>
      </c>
      <c r="BK7" s="108" t="n">
        <v>13</v>
      </c>
      <c r="BL7" s="108" t="n">
        <v>14</v>
      </c>
      <c r="BM7" s="109" t="n">
        <v>2093</v>
      </c>
      <c r="BN7" s="109" t="n">
        <v>2050</v>
      </c>
      <c r="BO7" s="108" t="n">
        <v>0</v>
      </c>
      <c r="BP7" s="108" t="n">
        <v>198</v>
      </c>
      <c r="BQ7" s="109" t="n">
        <v>1114</v>
      </c>
      <c r="BR7" s="109" t="n">
        <v>180708</v>
      </c>
      <c r="BS7" s="109" t="n">
        <v>211424</v>
      </c>
      <c r="BT7" s="110" t="n">
        <v>1</v>
      </c>
      <c r="BU7" s="109" t="n">
        <v>54958</v>
      </c>
      <c r="BV7" s="109" t="n">
        <v>48849</v>
      </c>
      <c r="BW7" s="109" t="n">
        <v>29118</v>
      </c>
      <c r="BX7" s="109" t="n">
        <v>131732</v>
      </c>
      <c r="BY7" s="109" t="n">
        <v>131732</v>
      </c>
      <c r="BZ7" s="109" t="n">
        <v>209699</v>
      </c>
      <c r="CA7" s="108" t="n">
        <v>0.86</v>
      </c>
      <c r="CB7" s="108" t="n"/>
      <c r="CC7" s="109" t="n">
        <v>215808</v>
      </c>
      <c r="CD7" s="108" t="n">
        <v>0.98</v>
      </c>
      <c r="CE7" s="109" t="n">
        <v>206490</v>
      </c>
      <c r="CF7" s="108" t="n">
        <v>1.02</v>
      </c>
    </row>
    <row r="8">
      <c r="A8" s="106" t="inlineStr">
        <is>
          <t>2025年-5月陈琪</t>
        </is>
      </c>
      <c r="B8" s="107" t="n"/>
      <c r="C8" s="108" t="n"/>
      <c r="D8" s="108" t="n"/>
      <c r="E8" s="108" t="n"/>
      <c r="F8" s="108" t="n"/>
      <c r="G8" s="108" t="n"/>
      <c r="H8" s="108" t="n"/>
      <c r="I8" s="109" t="n">
        <v>163228</v>
      </c>
      <c r="J8" s="109" t="n">
        <v>163228</v>
      </c>
      <c r="K8" s="108" t="n">
        <v>633</v>
      </c>
      <c r="L8" s="108" t="n">
        <v>258</v>
      </c>
      <c r="M8" s="108" t="n">
        <v>119</v>
      </c>
      <c r="N8" s="108" t="n">
        <v>124</v>
      </c>
      <c r="O8" s="108" t="n">
        <v>116</v>
      </c>
      <c r="P8" s="108" t="n">
        <v>84</v>
      </c>
      <c r="Q8" s="108" t="n">
        <v>106</v>
      </c>
      <c r="R8" s="108" t="n">
        <v>34</v>
      </c>
      <c r="S8" s="108" t="n">
        <v>45</v>
      </c>
      <c r="T8" s="109" t="n">
        <v>171724</v>
      </c>
      <c r="U8" s="109" t="n">
        <v>222292</v>
      </c>
      <c r="V8" s="110" t="n">
        <v>1</v>
      </c>
      <c r="W8" s="109" t="n">
        <v>4940</v>
      </c>
      <c r="X8" s="110" t="n">
        <v>0.461</v>
      </c>
      <c r="Y8" s="110" t="n">
        <v>0.975</v>
      </c>
      <c r="Z8" s="110" t="n">
        <v>0.45</v>
      </c>
      <c r="AA8" s="110" t="n">
        <v>0.724</v>
      </c>
      <c r="AB8" s="110" t="n">
        <v>0.955</v>
      </c>
      <c r="AC8" s="110" t="n">
        <v>0.405</v>
      </c>
      <c r="AD8" s="110" t="n">
        <v>0.132</v>
      </c>
      <c r="AE8" s="110" t="n">
        <v>0.174</v>
      </c>
      <c r="AF8" s="109" t="n">
        <v>226867</v>
      </c>
      <c r="AG8" s="108" t="n">
        <v>0.98</v>
      </c>
      <c r="AH8" s="108" t="n">
        <v>111</v>
      </c>
      <c r="AI8" s="108" t="n">
        <v>106</v>
      </c>
      <c r="AJ8" s="108" t="n">
        <v>116</v>
      </c>
      <c r="AK8" s="109" t="n">
        <v>14628</v>
      </c>
      <c r="AL8" s="109" t="n">
        <v>15218</v>
      </c>
      <c r="AM8" s="109" t="n">
        <v>21318</v>
      </c>
      <c r="AN8" s="109" t="n">
        <v>2399</v>
      </c>
      <c r="AO8" s="109" t="n">
        <v>10076</v>
      </c>
      <c r="AP8" s="108" t="n">
        <v>6</v>
      </c>
      <c r="AQ8" s="108" t="n">
        <v>5</v>
      </c>
      <c r="AR8" s="108" t="n">
        <v>6</v>
      </c>
      <c r="AS8" s="108" t="n">
        <v>5</v>
      </c>
      <c r="AT8" s="108" t="n">
        <v>3</v>
      </c>
      <c r="AU8" s="108" t="n">
        <v>6</v>
      </c>
      <c r="AV8" s="108" t="n">
        <v>0</v>
      </c>
      <c r="AW8" s="108" t="n">
        <v>0</v>
      </c>
      <c r="AX8" s="108" t="n">
        <v>0</v>
      </c>
      <c r="AY8" s="108" t="n">
        <v>0</v>
      </c>
      <c r="AZ8" s="108" t="n"/>
      <c r="BA8" s="108" t="n"/>
      <c r="BB8" s="110" t="n">
        <v>0.833</v>
      </c>
      <c r="BC8" s="110" t="n">
        <v>1</v>
      </c>
      <c r="BD8" s="110" t="n">
        <v>0.833</v>
      </c>
      <c r="BE8" s="110" t="n">
        <v>0.6</v>
      </c>
      <c r="BF8" s="110" t="n">
        <v>0.75</v>
      </c>
      <c r="BG8" s="110" t="n">
        <v>0</v>
      </c>
      <c r="BH8" s="110" t="n">
        <v>0</v>
      </c>
      <c r="BI8" s="110" t="n">
        <v>0</v>
      </c>
      <c r="BJ8" s="108" t="n">
        <v>8</v>
      </c>
      <c r="BK8" s="108" t="n">
        <v>6</v>
      </c>
      <c r="BL8" s="108" t="n">
        <v>6</v>
      </c>
      <c r="BM8" s="108" t="n">
        <v>281</v>
      </c>
      <c r="BN8" s="108" t="n">
        <v>656</v>
      </c>
      <c r="BO8" s="108" t="n">
        <v>0</v>
      </c>
      <c r="BP8" s="108" t="n">
        <v>56</v>
      </c>
      <c r="BQ8" s="108" t="n">
        <v>466</v>
      </c>
      <c r="BR8" s="109" t="n">
        <v>171724</v>
      </c>
      <c r="BS8" s="109" t="n">
        <v>222292</v>
      </c>
      <c r="BT8" s="110" t="n">
        <v>1</v>
      </c>
      <c r="BU8" s="109" t="n">
        <v>50189</v>
      </c>
      <c r="BV8" s="109" t="n">
        <v>42212</v>
      </c>
      <c r="BW8" s="109" t="n">
        <v>14909</v>
      </c>
      <c r="BX8" s="109" t="n">
        <v>163228</v>
      </c>
      <c r="BY8" s="109" t="n">
        <v>163228</v>
      </c>
      <c r="BZ8" s="109" t="n">
        <v>220349</v>
      </c>
      <c r="CA8" s="108" t="n">
        <v>0.78</v>
      </c>
      <c r="CB8" s="108" t="n"/>
      <c r="CC8" s="109" t="n">
        <v>228326</v>
      </c>
      <c r="CD8" s="108" t="n">
        <v>0.97</v>
      </c>
      <c r="CE8" s="109" t="n">
        <v>233217</v>
      </c>
      <c r="CF8" s="108" t="n">
        <v>0.95</v>
      </c>
    </row>
    <row r="9">
      <c r="A9" s="106" t="inlineStr">
        <is>
          <t>2025年-6月陈琪</t>
        </is>
      </c>
      <c r="B9" s="107" t="n"/>
      <c r="C9" s="108" t="n"/>
      <c r="D9" s="108" t="n"/>
      <c r="E9" s="108" t="n"/>
      <c r="F9" s="108" t="n"/>
      <c r="G9" s="108" t="n"/>
      <c r="H9" s="108" t="n"/>
      <c r="I9" s="109" t="n">
        <v>154847</v>
      </c>
      <c r="J9" s="109" t="n">
        <v>145314</v>
      </c>
      <c r="K9" s="108" t="n">
        <v>759</v>
      </c>
      <c r="L9" s="108" t="n">
        <v>204</v>
      </c>
      <c r="M9" s="108" t="n">
        <v>114</v>
      </c>
      <c r="N9" s="108" t="n">
        <v>124</v>
      </c>
      <c r="O9" s="108" t="n">
        <v>116</v>
      </c>
      <c r="P9" s="108" t="n">
        <v>96</v>
      </c>
      <c r="Q9" s="108" t="n">
        <v>130</v>
      </c>
      <c r="R9" s="108" t="n">
        <v>43</v>
      </c>
      <c r="S9" s="108" t="n">
        <v>53</v>
      </c>
      <c r="T9" s="109" t="n">
        <v>209284</v>
      </c>
      <c r="U9" s="109" t="n">
        <v>255664</v>
      </c>
      <c r="V9" s="110" t="n">
        <v>1</v>
      </c>
      <c r="W9" s="109" t="n">
        <v>4824</v>
      </c>
      <c r="X9" s="110" t="n">
        <v>0.5590000000000001</v>
      </c>
      <c r="Y9" s="110" t="n">
        <v>1.018</v>
      </c>
      <c r="Z9" s="110" t="n">
        <v>0.569</v>
      </c>
      <c r="AA9" s="110" t="n">
        <v>0.828</v>
      </c>
      <c r="AB9" s="110" t="n">
        <v>0.929</v>
      </c>
      <c r="AC9" s="110" t="n">
        <v>0.448</v>
      </c>
      <c r="AD9" s="110" t="n">
        <v>0.211</v>
      </c>
      <c r="AE9" s="110" t="n">
        <v>0.26</v>
      </c>
      <c r="AF9" s="109" t="n">
        <v>220689</v>
      </c>
      <c r="AG9" s="108" t="n">
        <v>1.16</v>
      </c>
      <c r="AH9" s="108" t="n">
        <v>140</v>
      </c>
      <c r="AI9" s="108" t="n">
        <v>130</v>
      </c>
      <c r="AJ9" s="108" t="n">
        <v>150</v>
      </c>
      <c r="AK9" s="109" t="n">
        <v>12724</v>
      </c>
      <c r="AL9" s="109" t="n">
        <v>13936</v>
      </c>
      <c r="AM9" s="109" t="n">
        <v>24680</v>
      </c>
      <c r="AN9" s="109" t="n">
        <v>1647</v>
      </c>
      <c r="AO9" s="109" t="n">
        <v>12953</v>
      </c>
      <c r="AP9" s="108" t="n">
        <v>99</v>
      </c>
      <c r="AQ9" s="108" t="n">
        <v>30</v>
      </c>
      <c r="AR9" s="108" t="n">
        <v>30</v>
      </c>
      <c r="AS9" s="108" t="n">
        <v>29</v>
      </c>
      <c r="AT9" s="108" t="n">
        <v>17</v>
      </c>
      <c r="AU9" s="108" t="n">
        <v>20</v>
      </c>
      <c r="AV9" s="108" t="n">
        <v>1</v>
      </c>
      <c r="AW9" s="108" t="n">
        <v>1</v>
      </c>
      <c r="AX9" s="109" t="n">
        <v>3588</v>
      </c>
      <c r="AY9" s="108" t="n">
        <v>3588</v>
      </c>
      <c r="AZ9" s="110" t="n">
        <v>1</v>
      </c>
      <c r="BA9" s="108" t="n">
        <v>3588</v>
      </c>
      <c r="BB9" s="110" t="n">
        <v>0.303</v>
      </c>
      <c r="BC9" s="110" t="n">
        <v>0.967</v>
      </c>
      <c r="BD9" s="110" t="n">
        <v>0.293</v>
      </c>
      <c r="BE9" s="110" t="n">
        <v>0.586</v>
      </c>
      <c r="BF9" s="110" t="n">
        <v>0.625</v>
      </c>
      <c r="BG9" s="110" t="n">
        <v>0.059</v>
      </c>
      <c r="BH9" s="110" t="n">
        <v>0.01</v>
      </c>
      <c r="BI9" s="110" t="n">
        <v>0.01</v>
      </c>
      <c r="BJ9" s="108" t="n">
        <v>32</v>
      </c>
      <c r="BK9" s="108" t="n">
        <v>20</v>
      </c>
      <c r="BL9" s="108" t="n">
        <v>20</v>
      </c>
      <c r="BM9" s="109" t="n">
        <v>5542</v>
      </c>
      <c r="BN9" s="109" t="n">
        <v>2699</v>
      </c>
      <c r="BO9" s="108" t="n">
        <v>373</v>
      </c>
      <c r="BP9" s="108" t="n">
        <v>800</v>
      </c>
      <c r="BQ9" s="109" t="n">
        <v>1579</v>
      </c>
      <c r="BR9" s="109" t="n">
        <v>212872</v>
      </c>
      <c r="BS9" s="109" t="n">
        <v>259252</v>
      </c>
      <c r="BT9" s="110" t="n">
        <v>1</v>
      </c>
      <c r="BU9" s="109" t="n">
        <v>58844</v>
      </c>
      <c r="BV9" s="109" t="n">
        <v>48947</v>
      </c>
      <c r="BW9" s="109" t="n">
        <v>18322</v>
      </c>
      <c r="BX9" s="109" t="n">
        <v>154847</v>
      </c>
      <c r="BY9" s="109" t="n">
        <v>153067</v>
      </c>
      <c r="BZ9" s="109" t="n">
        <v>220336</v>
      </c>
      <c r="CA9" s="108" t="n">
        <v>0.97</v>
      </c>
      <c r="CB9" s="109" t="n">
        <v>9533</v>
      </c>
      <c r="CC9" s="109" t="n">
        <v>232013</v>
      </c>
      <c r="CD9" s="108" t="n">
        <v>1.12</v>
      </c>
      <c r="CE9" s="109" t="n">
        <v>236491</v>
      </c>
      <c r="CF9" s="108" t="n">
        <v>1.1</v>
      </c>
    </row>
    <row r="10">
      <c r="A10" s="106" t="inlineStr">
        <is>
          <t>2025年-7月陈琪</t>
        </is>
      </c>
      <c r="B10" s="107" t="n"/>
      <c r="C10" s="108" t="n"/>
      <c r="D10" s="108" t="n"/>
      <c r="E10" s="108" t="n"/>
      <c r="F10" s="108" t="n"/>
      <c r="G10" s="108" t="n"/>
      <c r="H10" s="108" t="n"/>
      <c r="I10" s="109" t="n">
        <v>120482</v>
      </c>
      <c r="J10" s="109" t="n">
        <v>114209</v>
      </c>
      <c r="K10" s="108" t="n">
        <v>813</v>
      </c>
      <c r="L10" s="108" t="n">
        <v>148</v>
      </c>
      <c r="M10" s="108" t="n">
        <v>62</v>
      </c>
      <c r="N10" s="108" t="n">
        <v>69</v>
      </c>
      <c r="O10" s="108" t="n">
        <v>64</v>
      </c>
      <c r="P10" s="108" t="n">
        <v>52</v>
      </c>
      <c r="Q10" s="108" t="n">
        <v>77</v>
      </c>
      <c r="R10" s="108" t="n">
        <v>24</v>
      </c>
      <c r="S10" s="108" t="n">
        <v>35</v>
      </c>
      <c r="T10" s="109" t="n">
        <v>121912</v>
      </c>
      <c r="U10" s="109" t="n">
        <v>163880</v>
      </c>
      <c r="V10" s="110" t="n">
        <v>1</v>
      </c>
      <c r="W10" s="109" t="n">
        <v>4682</v>
      </c>
      <c r="X10" s="110" t="n">
        <v>0.419</v>
      </c>
      <c r="Y10" s="110" t="n">
        <v>1.032</v>
      </c>
      <c r="Z10" s="110" t="n">
        <v>0.432</v>
      </c>
      <c r="AA10" s="110" t="n">
        <v>0.8129999999999999</v>
      </c>
      <c r="AB10" s="110" t="n">
        <v>0.963</v>
      </c>
      <c r="AC10" s="110" t="n">
        <v>0.462</v>
      </c>
      <c r="AD10" s="110" t="n">
        <v>0.162</v>
      </c>
      <c r="AE10" s="110" t="n">
        <v>0.236</v>
      </c>
      <c r="AF10" s="109" t="n">
        <v>160110</v>
      </c>
      <c r="AG10" s="108" t="n">
        <v>1.02</v>
      </c>
      <c r="AH10" s="108" t="n">
        <v>80</v>
      </c>
      <c r="AI10" s="108" t="n">
        <v>77</v>
      </c>
      <c r="AJ10" s="108" t="n">
        <v>87</v>
      </c>
      <c r="AK10" s="109" t="n">
        <v>6513</v>
      </c>
      <c r="AL10" s="109" t="n">
        <v>7240</v>
      </c>
      <c r="AM10" s="109" t="n">
        <v>16781</v>
      </c>
      <c r="AN10" s="109" t="n">
        <v>1523</v>
      </c>
      <c r="AO10" s="109" t="n">
        <v>7668</v>
      </c>
      <c r="AP10" s="108" t="n">
        <v>4</v>
      </c>
      <c r="AQ10" s="108" t="n">
        <v>3</v>
      </c>
      <c r="AR10" s="108" t="n">
        <v>4</v>
      </c>
      <c r="AS10" s="108" t="n">
        <v>4</v>
      </c>
      <c r="AT10" s="108" t="n">
        <v>2</v>
      </c>
      <c r="AU10" s="108" t="n">
        <v>2</v>
      </c>
      <c r="AV10" s="108" t="n">
        <v>0</v>
      </c>
      <c r="AW10" s="108" t="n">
        <v>1</v>
      </c>
      <c r="AX10" s="108" t="n">
        <v>0</v>
      </c>
      <c r="AY10" s="108" t="n">
        <v>1880</v>
      </c>
      <c r="AZ10" s="110" t="n">
        <v>1</v>
      </c>
      <c r="BA10" s="108" t="n">
        <v>1880</v>
      </c>
      <c r="BB10" s="110" t="n">
        <v>0.75</v>
      </c>
      <c r="BC10" s="110" t="n">
        <v>1.333</v>
      </c>
      <c r="BD10" s="110" t="n">
        <v>1</v>
      </c>
      <c r="BE10" s="110" t="n">
        <v>0.5</v>
      </c>
      <c r="BF10" s="110" t="n">
        <v>0.5</v>
      </c>
      <c r="BG10" s="110" t="n">
        <v>0</v>
      </c>
      <c r="BH10" s="110" t="n">
        <v>0</v>
      </c>
      <c r="BI10" s="110" t="n">
        <v>0.25</v>
      </c>
      <c r="BJ10" s="108" t="n">
        <v>4</v>
      </c>
      <c r="BK10" s="108" t="n">
        <v>2</v>
      </c>
      <c r="BL10" s="108" t="n">
        <v>2</v>
      </c>
      <c r="BM10" s="108" t="n">
        <v>0</v>
      </c>
      <c r="BN10" s="108" t="n">
        <v>379</v>
      </c>
      <c r="BO10" s="108" t="n">
        <v>197</v>
      </c>
      <c r="BP10" s="108" t="n">
        <v>41</v>
      </c>
      <c r="BQ10" s="108" t="n">
        <v>164</v>
      </c>
      <c r="BR10" s="109" t="n">
        <v>121912</v>
      </c>
      <c r="BS10" s="109" t="n">
        <v>165760</v>
      </c>
      <c r="BT10" s="110" t="n">
        <v>1</v>
      </c>
      <c r="BU10" s="109" t="n">
        <v>33996</v>
      </c>
      <c r="BV10" s="109" t="n">
        <v>26115</v>
      </c>
      <c r="BW10" s="109" t="n">
        <v>6513</v>
      </c>
      <c r="BX10" s="109" t="n">
        <v>120482</v>
      </c>
      <c r="BY10" s="109" t="n">
        <v>118443</v>
      </c>
      <c r="BZ10" s="109" t="n">
        <v>151071</v>
      </c>
      <c r="CA10" s="108" t="n">
        <v>0.8100000000000001</v>
      </c>
      <c r="CB10" s="109" t="n">
        <v>6273</v>
      </c>
      <c r="CC10" s="109" t="n">
        <v>160991</v>
      </c>
      <c r="CD10" s="108" t="n">
        <v>1.03</v>
      </c>
      <c r="CE10" s="109" t="n">
        <v>165878</v>
      </c>
      <c r="CF10" s="108" t="n">
        <v>1</v>
      </c>
    </row>
    <row r="11">
      <c r="A11" s="106" t="inlineStr">
        <is>
          <t>2025年-8月陈琪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9" t="n">
        <v>38341</v>
      </c>
      <c r="J11" s="109" t="n">
        <v>35866</v>
      </c>
      <c r="K11" s="108" t="n">
        <v>834</v>
      </c>
      <c r="L11" s="108" t="n">
        <v>46</v>
      </c>
      <c r="M11" s="108" t="n">
        <v>21</v>
      </c>
      <c r="N11" s="108" t="n">
        <v>25</v>
      </c>
      <c r="O11" s="108" t="n">
        <v>21</v>
      </c>
      <c r="P11" s="108" t="n">
        <v>16</v>
      </c>
      <c r="Q11" s="108" t="n">
        <v>36</v>
      </c>
      <c r="R11" s="108" t="n">
        <v>6</v>
      </c>
      <c r="S11" s="108" t="n">
        <v>14</v>
      </c>
      <c r="T11" s="109" t="n">
        <v>24028</v>
      </c>
      <c r="U11" s="109" t="n">
        <v>57832</v>
      </c>
      <c r="V11" s="110" t="n">
        <v>1</v>
      </c>
      <c r="W11" s="109" t="n">
        <v>4131</v>
      </c>
      <c r="X11" s="110" t="n">
        <v>0.457</v>
      </c>
      <c r="Y11" s="110" t="n">
        <v>1</v>
      </c>
      <c r="Z11" s="110" t="n">
        <v>0.457</v>
      </c>
      <c r="AA11" s="110" t="n">
        <v>0.762</v>
      </c>
      <c r="AB11" s="110" t="n">
        <v>1</v>
      </c>
      <c r="AC11" s="110" t="n">
        <v>0.375</v>
      </c>
      <c r="AD11" s="110" t="n">
        <v>0.13</v>
      </c>
      <c r="AE11" s="110" t="n">
        <v>0.304</v>
      </c>
      <c r="AF11" s="109" t="n">
        <v>55313</v>
      </c>
      <c r="AG11" s="108" t="n">
        <v>1.05</v>
      </c>
      <c r="AH11" s="108" t="n">
        <v>36</v>
      </c>
      <c r="AI11" s="108" t="n">
        <v>36</v>
      </c>
      <c r="AJ11" s="108" t="n">
        <v>38</v>
      </c>
      <c r="AK11" s="109" t="n">
        <v>4153</v>
      </c>
      <c r="AL11" s="109" t="n">
        <v>3088</v>
      </c>
      <c r="AM11" s="109" t="n">
        <v>5922</v>
      </c>
      <c r="AN11" s="108" t="n">
        <v>460</v>
      </c>
      <c r="AO11" s="109" t="n">
        <v>3349</v>
      </c>
      <c r="AP11" s="108" t="n">
        <v>0</v>
      </c>
      <c r="AQ11" s="108" t="n">
        <v>0</v>
      </c>
      <c r="AR11" s="108" t="n">
        <v>0</v>
      </c>
      <c r="AS11" s="108" t="n">
        <v>0</v>
      </c>
      <c r="AT11" s="108" t="n">
        <v>0</v>
      </c>
      <c r="AU11" s="108" t="n">
        <v>0</v>
      </c>
      <c r="AV11" s="108" t="n">
        <v>0</v>
      </c>
      <c r="AW11" s="108" t="n">
        <v>0</v>
      </c>
      <c r="AX11" s="108" t="n">
        <v>0</v>
      </c>
      <c r="AY11" s="108" t="n">
        <v>0</v>
      </c>
      <c r="AZ11" s="108" t="n"/>
      <c r="BA11" s="108" t="n"/>
      <c r="BB11" s="108" t="n"/>
      <c r="BC11" s="108" t="n"/>
      <c r="BD11" s="108" t="n"/>
      <c r="BE11" s="108" t="n"/>
      <c r="BF11" s="108" t="n"/>
      <c r="BG11" s="108" t="n"/>
      <c r="BH11" s="108" t="n"/>
      <c r="BI11" s="108" t="n"/>
      <c r="BJ11" s="108" t="n">
        <v>0</v>
      </c>
      <c r="BK11" s="108" t="n">
        <v>0</v>
      </c>
      <c r="BL11" s="108" t="n">
        <v>0</v>
      </c>
      <c r="BM11" s="108" t="n">
        <v>0</v>
      </c>
      <c r="BN11" s="108" t="n">
        <v>0</v>
      </c>
      <c r="BO11" s="108" t="n">
        <v>0</v>
      </c>
      <c r="BP11" s="108" t="n">
        <v>0</v>
      </c>
      <c r="BQ11" s="108" t="n">
        <v>0</v>
      </c>
      <c r="BR11" s="109" t="n">
        <v>24028</v>
      </c>
      <c r="BS11" s="109" t="n">
        <v>57832</v>
      </c>
      <c r="BT11" s="110" t="n">
        <v>1</v>
      </c>
      <c r="BU11" s="109" t="n">
        <v>12819</v>
      </c>
      <c r="BV11" s="109" t="n">
        <v>7101</v>
      </c>
      <c r="BW11" s="109" t="n">
        <v>4153</v>
      </c>
      <c r="BX11" s="109" t="n">
        <v>38341</v>
      </c>
      <c r="BY11" s="109" t="n">
        <v>36927</v>
      </c>
      <c r="BZ11" s="109" t="n">
        <v>48180</v>
      </c>
      <c r="CA11" s="108" t="n">
        <v>0.5</v>
      </c>
      <c r="CB11" s="109" t="n">
        <v>2475</v>
      </c>
      <c r="CC11" s="109" t="n">
        <v>55313</v>
      </c>
      <c r="CD11" s="108" t="n">
        <v>1.05</v>
      </c>
      <c r="CE11" s="109" t="n">
        <v>54610</v>
      </c>
      <c r="CF11" s="108" t="n">
        <v>1.06</v>
      </c>
    </row>
    <row r="12">
      <c r="A12" s="106" t="inlineStr">
        <is>
          <t>2025年-9月陈琪</t>
        </is>
      </c>
      <c r="B12" s="107" t="n"/>
      <c r="C12" s="108" t="n"/>
      <c r="D12" s="108" t="n"/>
      <c r="E12" s="108" t="n"/>
      <c r="F12" s="108" t="n"/>
      <c r="G12" s="108" t="n"/>
      <c r="H12" s="108" t="n">
        <v>651</v>
      </c>
      <c r="I12" s="109" t="n">
        <v>23292</v>
      </c>
      <c r="J12" s="109" t="n">
        <v>22220</v>
      </c>
      <c r="K12" s="108" t="n">
        <v>597</v>
      </c>
      <c r="L12" s="108" t="n">
        <v>39</v>
      </c>
      <c r="M12" s="108" t="n">
        <v>18</v>
      </c>
      <c r="N12" s="108" t="n">
        <v>20</v>
      </c>
      <c r="O12" s="108" t="n">
        <v>19</v>
      </c>
      <c r="P12" s="108" t="n">
        <v>11</v>
      </c>
      <c r="Q12" s="108" t="n">
        <v>21</v>
      </c>
      <c r="R12" s="108" t="n">
        <v>3</v>
      </c>
      <c r="S12" s="108" t="n">
        <v>6</v>
      </c>
      <c r="T12" s="109" t="n">
        <v>11564</v>
      </c>
      <c r="U12" s="109" t="n">
        <v>22328</v>
      </c>
      <c r="V12" s="110" t="n">
        <v>1</v>
      </c>
      <c r="W12" s="109" t="n">
        <v>3721</v>
      </c>
      <c r="X12" s="110" t="n">
        <v>0.462</v>
      </c>
      <c r="Y12" s="110" t="n">
        <v>1.056</v>
      </c>
      <c r="Z12" s="110" t="n">
        <v>0.487</v>
      </c>
      <c r="AA12" s="110" t="n">
        <v>0.579</v>
      </c>
      <c r="AB12" s="110" t="n">
        <v>1</v>
      </c>
      <c r="AC12" s="110" t="n">
        <v>0.273</v>
      </c>
      <c r="AD12" s="110" t="n">
        <v>0.077</v>
      </c>
      <c r="AE12" s="110" t="n">
        <v>0.154</v>
      </c>
      <c r="AF12" s="109" t="n">
        <v>33904</v>
      </c>
      <c r="AG12" s="108" t="n">
        <v>0.66</v>
      </c>
      <c r="AH12" s="108" t="n">
        <v>21</v>
      </c>
      <c r="AI12" s="108" t="n">
        <v>21</v>
      </c>
      <c r="AJ12" s="108" t="n">
        <v>22</v>
      </c>
      <c r="AK12" s="109" t="n">
        <v>2955</v>
      </c>
      <c r="AL12" s="109" t="n">
        <v>2892</v>
      </c>
      <c r="AM12" s="109" t="n">
        <v>2507</v>
      </c>
      <c r="AN12" s="108" t="n">
        <v>390</v>
      </c>
      <c r="AO12" s="109" t="n">
        <v>1868</v>
      </c>
      <c r="AP12" s="108" t="n">
        <v>0</v>
      </c>
      <c r="AQ12" s="108" t="n">
        <v>0</v>
      </c>
      <c r="AR12" s="108" t="n">
        <v>1</v>
      </c>
      <c r="AS12" s="108" t="n">
        <v>0</v>
      </c>
      <c r="AT12" s="108" t="n">
        <v>0</v>
      </c>
      <c r="AU12" s="108" t="n">
        <v>0</v>
      </c>
      <c r="AV12" s="108" t="n">
        <v>0</v>
      </c>
      <c r="AW12" s="108" t="n">
        <v>0</v>
      </c>
      <c r="AX12" s="108" t="n">
        <v>0</v>
      </c>
      <c r="AY12" s="108" t="n">
        <v>0</v>
      </c>
      <c r="AZ12" s="108" t="n"/>
      <c r="BA12" s="108" t="n"/>
      <c r="BB12" s="108" t="n"/>
      <c r="BC12" s="108" t="n"/>
      <c r="BD12" s="108" t="n"/>
      <c r="BE12" s="108" t="n"/>
      <c r="BF12" s="108" t="n"/>
      <c r="BG12" s="108" t="n"/>
      <c r="BH12" s="108" t="n"/>
      <c r="BI12" s="108" t="n"/>
      <c r="BJ12" s="108" t="n">
        <v>0</v>
      </c>
      <c r="BK12" s="108" t="n">
        <v>0</v>
      </c>
      <c r="BL12" s="108" t="n">
        <v>0</v>
      </c>
      <c r="BM12" s="108" t="n">
        <v>0</v>
      </c>
      <c r="BN12" s="108" t="n">
        <v>95</v>
      </c>
      <c r="BO12" s="108" t="n">
        <v>0</v>
      </c>
      <c r="BP12" s="108" t="n">
        <v>0</v>
      </c>
      <c r="BQ12" s="108" t="n">
        <v>0</v>
      </c>
      <c r="BR12" s="109" t="n">
        <v>11564</v>
      </c>
      <c r="BS12" s="109" t="n">
        <v>22328</v>
      </c>
      <c r="BT12" s="110" t="n">
        <v>1</v>
      </c>
      <c r="BU12" s="109" t="n">
        <v>7752</v>
      </c>
      <c r="BV12" s="109" t="n">
        <v>5225</v>
      </c>
      <c r="BW12" s="109" t="n">
        <v>2955</v>
      </c>
      <c r="BX12" s="109" t="n">
        <v>23292</v>
      </c>
      <c r="BY12" s="109" t="n">
        <v>22756</v>
      </c>
      <c r="BZ12" s="109" t="n">
        <v>30936</v>
      </c>
      <c r="CA12" s="108" t="n">
        <v>0.37</v>
      </c>
      <c r="CB12" s="109" t="n">
        <v>1072</v>
      </c>
      <c r="CC12" s="109" t="n">
        <v>33999</v>
      </c>
      <c r="CD12" s="108" t="n">
        <v>0.66</v>
      </c>
      <c r="CE12" s="109" t="n">
        <v>33969</v>
      </c>
      <c r="CF12" s="108" t="n">
        <v>0.66</v>
      </c>
    </row>
    <row r="13">
      <c r="A13" s="106" t="inlineStr">
        <is>
          <t>2025年-10月陈琪</t>
        </is>
      </c>
      <c r="B13" s="107" t="n"/>
      <c r="C13" s="108" t="n"/>
      <c r="D13" s="108" t="n"/>
      <c r="E13" s="108" t="n"/>
      <c r="F13" s="108" t="n"/>
      <c r="G13" s="108" t="n"/>
      <c r="H13" s="108" t="n">
        <v>651</v>
      </c>
      <c r="I13" s="109" t="n">
        <v>17360</v>
      </c>
      <c r="J13" s="109" t="n">
        <v>16109</v>
      </c>
      <c r="K13" s="108" t="n">
        <v>620</v>
      </c>
      <c r="L13" s="108" t="n">
        <v>28</v>
      </c>
      <c r="M13" s="108" t="n">
        <v>11</v>
      </c>
      <c r="N13" s="108" t="n">
        <v>12</v>
      </c>
      <c r="O13" s="108" t="n">
        <v>10</v>
      </c>
      <c r="P13" s="108" t="n">
        <v>9</v>
      </c>
      <c r="Q13" s="108" t="n">
        <v>12</v>
      </c>
      <c r="R13" s="108" t="n">
        <v>3</v>
      </c>
      <c r="S13" s="108" t="n">
        <v>7</v>
      </c>
      <c r="T13" s="109" t="n">
        <v>16464</v>
      </c>
      <c r="U13" s="109" t="n">
        <v>38447</v>
      </c>
      <c r="V13" s="110" t="n">
        <v>1</v>
      </c>
      <c r="W13" s="109" t="n">
        <v>5492</v>
      </c>
      <c r="X13" s="110" t="n">
        <v>0.393</v>
      </c>
      <c r="Y13" s="110" t="n">
        <v>0.909</v>
      </c>
      <c r="Z13" s="110" t="n">
        <v>0.357</v>
      </c>
      <c r="AA13" s="110" t="n">
        <v>0.9</v>
      </c>
      <c r="AB13" s="110" t="n">
        <v>1</v>
      </c>
      <c r="AC13" s="110" t="n">
        <v>0.333</v>
      </c>
      <c r="AD13" s="110" t="n">
        <v>0.107</v>
      </c>
      <c r="AE13" s="110" t="n">
        <v>0.25</v>
      </c>
      <c r="AF13" s="109" t="n">
        <v>26597</v>
      </c>
      <c r="AG13" s="108" t="n">
        <v>1.45</v>
      </c>
      <c r="AH13" s="108" t="n">
        <v>12</v>
      </c>
      <c r="AI13" s="108" t="n">
        <v>12</v>
      </c>
      <c r="AJ13" s="108" t="n">
        <v>15</v>
      </c>
      <c r="AK13" s="109" t="n">
        <v>1750</v>
      </c>
      <c r="AL13" s="109" t="n">
        <v>1707</v>
      </c>
      <c r="AM13" s="109" t="n">
        <v>4229</v>
      </c>
      <c r="AN13" s="108" t="n">
        <v>280</v>
      </c>
      <c r="AO13" s="109" t="n">
        <v>1271</v>
      </c>
      <c r="AP13" s="108" t="n">
        <v>0</v>
      </c>
      <c r="AQ13" s="108" t="n">
        <v>0</v>
      </c>
      <c r="AR13" s="108" t="n">
        <v>0</v>
      </c>
      <c r="AS13" s="108" t="n">
        <v>0</v>
      </c>
      <c r="AT13" s="108" t="n">
        <v>0</v>
      </c>
      <c r="AU13" s="108" t="n">
        <v>0</v>
      </c>
      <c r="AV13" s="108" t="n">
        <v>0</v>
      </c>
      <c r="AW13" s="108" t="n">
        <v>0</v>
      </c>
      <c r="AX13" s="108" t="n">
        <v>0</v>
      </c>
      <c r="AY13" s="108" t="n">
        <v>0</v>
      </c>
      <c r="AZ13" s="108" t="n"/>
      <c r="BA13" s="108" t="n"/>
      <c r="BB13" s="108" t="n"/>
      <c r="BC13" s="108" t="n"/>
      <c r="BD13" s="108" t="n"/>
      <c r="BE13" s="108" t="n"/>
      <c r="BF13" s="108" t="n"/>
      <c r="BG13" s="108" t="n"/>
      <c r="BH13" s="108" t="n"/>
      <c r="BI13" s="108" t="n"/>
      <c r="BJ13" s="108" t="n">
        <v>0</v>
      </c>
      <c r="BK13" s="108" t="n">
        <v>0</v>
      </c>
      <c r="BL13" s="108" t="n">
        <v>0</v>
      </c>
      <c r="BM13" s="108" t="n">
        <v>0</v>
      </c>
      <c r="BN13" s="108" t="n">
        <v>0</v>
      </c>
      <c r="BO13" s="108" t="n">
        <v>0</v>
      </c>
      <c r="BP13" s="108" t="n">
        <v>0</v>
      </c>
      <c r="BQ13" s="108" t="n">
        <v>0</v>
      </c>
      <c r="BR13" s="109" t="n">
        <v>16464</v>
      </c>
      <c r="BS13" s="109" t="n">
        <v>38447</v>
      </c>
      <c r="BT13" s="110" t="n">
        <v>1</v>
      </c>
      <c r="BU13" s="109" t="n">
        <v>7488</v>
      </c>
      <c r="BV13" s="109" t="n">
        <v>4503</v>
      </c>
      <c r="BW13" s="109" t="n">
        <v>1750</v>
      </c>
      <c r="BX13" s="109" t="n">
        <v>17360</v>
      </c>
      <c r="BY13" s="109" t="n">
        <v>16645</v>
      </c>
      <c r="BZ13" s="109" t="n">
        <v>22898</v>
      </c>
      <c r="CA13" s="108" t="n">
        <v>0.72</v>
      </c>
      <c r="CB13" s="109" t="n">
        <v>1250</v>
      </c>
      <c r="CC13" s="109" t="n">
        <v>26597</v>
      </c>
      <c r="CD13" s="108" t="n">
        <v>1.45</v>
      </c>
      <c r="CE13" s="109" t="n">
        <v>26947</v>
      </c>
      <c r="CF13" s="108" t="n">
        <v>1.43</v>
      </c>
    </row>
    <row r="14">
      <c r="A14" s="111" t="inlineStr">
        <is>
          <t>2025年-11月陈琪</t>
        </is>
      </c>
      <c r="B14" s="112" t="n"/>
      <c r="C14" s="113" t="n"/>
      <c r="D14" s="113" t="n"/>
      <c r="E14" s="113" t="n"/>
      <c r="F14" s="113" t="n"/>
      <c r="G14" s="113" t="n"/>
      <c r="H14" s="113" t="n"/>
      <c r="I14" s="114" t="n">
        <v>15316</v>
      </c>
      <c r="J14" s="114" t="n">
        <v>14780</v>
      </c>
      <c r="K14" s="113" t="n">
        <v>729</v>
      </c>
      <c r="L14" s="113" t="n">
        <v>21</v>
      </c>
      <c r="M14" s="113" t="n">
        <v>8</v>
      </c>
      <c r="N14" s="113" t="n">
        <v>9</v>
      </c>
      <c r="O14" s="113" t="n">
        <v>8</v>
      </c>
      <c r="P14" s="113" t="n">
        <v>6</v>
      </c>
      <c r="Q14" s="113" t="n">
        <v>8</v>
      </c>
      <c r="R14" s="113" t="n">
        <v>2</v>
      </c>
      <c r="S14" s="113" t="n">
        <v>3</v>
      </c>
      <c r="T14" s="114" t="n">
        <v>11318</v>
      </c>
      <c r="U14" s="114" t="n">
        <v>14817</v>
      </c>
      <c r="V14" s="115" t="n">
        <v>1</v>
      </c>
      <c r="W14" s="114" t="n">
        <v>4939</v>
      </c>
      <c r="X14" s="115" t="n">
        <v>0.381</v>
      </c>
      <c r="Y14" s="115" t="n">
        <v>1</v>
      </c>
      <c r="Z14" s="115" t="n">
        <v>0.381</v>
      </c>
      <c r="AA14" s="115" t="n">
        <v>0.75</v>
      </c>
      <c r="AB14" s="115" t="n">
        <v>1</v>
      </c>
      <c r="AC14" s="115" t="n">
        <v>0.333</v>
      </c>
      <c r="AD14" s="115" t="n">
        <v>0.095</v>
      </c>
      <c r="AE14" s="115" t="n">
        <v>0.143</v>
      </c>
      <c r="AF14" s="114" t="n">
        <v>20264</v>
      </c>
      <c r="AG14" s="113" t="n">
        <v>0.73</v>
      </c>
      <c r="AH14" s="113" t="n">
        <v>8</v>
      </c>
      <c r="AI14" s="113" t="n">
        <v>8</v>
      </c>
      <c r="AJ14" s="113" t="n">
        <v>8</v>
      </c>
      <c r="AK14" s="114" t="n">
        <v>1367</v>
      </c>
      <c r="AL14" s="114" t="n">
        <v>1063</v>
      </c>
      <c r="AM14" s="114" t="n">
        <v>1630</v>
      </c>
      <c r="AN14" s="113" t="n">
        <v>210</v>
      </c>
      <c r="AO14" s="113" t="n">
        <v>678</v>
      </c>
      <c r="AP14" s="113" t="n">
        <v>0</v>
      </c>
      <c r="AQ14" s="113" t="n">
        <v>0</v>
      </c>
      <c r="AR14" s="113" t="n">
        <v>0</v>
      </c>
      <c r="AS14" s="113" t="n">
        <v>0</v>
      </c>
      <c r="AT14" s="113" t="n">
        <v>0</v>
      </c>
      <c r="AU14" s="113" t="n">
        <v>0</v>
      </c>
      <c r="AV14" s="113" t="n">
        <v>0</v>
      </c>
      <c r="AW14" s="113" t="n">
        <v>0</v>
      </c>
      <c r="AX14" s="113" t="n">
        <v>0</v>
      </c>
      <c r="AY14" s="113" t="n">
        <v>0</v>
      </c>
      <c r="AZ14" s="113" t="n"/>
      <c r="BA14" s="113" t="n"/>
      <c r="BB14" s="113" t="n"/>
      <c r="BC14" s="113" t="n"/>
      <c r="BD14" s="113" t="n"/>
      <c r="BE14" s="113" t="n"/>
      <c r="BF14" s="113" t="n"/>
      <c r="BG14" s="113" t="n"/>
      <c r="BH14" s="113" t="n"/>
      <c r="BI14" s="113" t="n"/>
      <c r="BJ14" s="113" t="n">
        <v>0</v>
      </c>
      <c r="BK14" s="113" t="n">
        <v>0</v>
      </c>
      <c r="BL14" s="113" t="n">
        <v>0</v>
      </c>
      <c r="BM14" s="113" t="n">
        <v>0</v>
      </c>
      <c r="BN14" s="113" t="n">
        <v>0</v>
      </c>
      <c r="BO14" s="113" t="n">
        <v>0</v>
      </c>
      <c r="BP14" s="113" t="n">
        <v>0</v>
      </c>
      <c r="BQ14" s="113" t="n">
        <v>0</v>
      </c>
      <c r="BR14" s="114" t="n">
        <v>11318</v>
      </c>
      <c r="BS14" s="114" t="n">
        <v>14817</v>
      </c>
      <c r="BT14" s="115" t="n">
        <v>1</v>
      </c>
      <c r="BU14" s="114" t="n">
        <v>3581</v>
      </c>
      <c r="BV14" s="114" t="n">
        <v>2908</v>
      </c>
      <c r="BW14" s="114" t="n">
        <v>1367</v>
      </c>
      <c r="BX14" s="114" t="n">
        <v>15316</v>
      </c>
      <c r="BY14" s="114" t="n">
        <v>15138</v>
      </c>
      <c r="BZ14" s="114" t="n">
        <v>19413</v>
      </c>
      <c r="CA14" s="113" t="n">
        <v>0.58</v>
      </c>
      <c r="CB14" s="113" t="n">
        <v>536</v>
      </c>
      <c r="CC14" s="114" t="n">
        <v>20264</v>
      </c>
      <c r="CD14" s="113" t="n">
        <v>0.73</v>
      </c>
      <c r="CE14" s="114" t="n">
        <v>20472</v>
      </c>
      <c r="CF14" s="113" t="n">
        <v>0.72</v>
      </c>
    </row>
    <row r="15">
      <c r="A15" s="116" t="inlineStr">
        <is>
          <t>陈琪-汇总</t>
        </is>
      </c>
      <c r="B15" s="107" t="n"/>
      <c r="C15" s="108" t="n"/>
      <c r="D15" s="108" t="n"/>
      <c r="E15" s="108" t="n"/>
      <c r="F15" s="108" t="n"/>
      <c r="G15" s="108" t="n"/>
      <c r="H15" s="108" t="n"/>
      <c r="I15" s="109" t="n">
        <v>900815</v>
      </c>
      <c r="J15" s="109" t="n">
        <v>879674</v>
      </c>
      <c r="K15" s="108" t="n">
        <v>495</v>
      </c>
      <c r="L15" s="108" t="n">
        <v>1776</v>
      </c>
      <c r="M15" s="108" t="n">
        <v>885</v>
      </c>
      <c r="N15" s="108" t="n">
        <v>930</v>
      </c>
      <c r="O15" s="108" t="n">
        <v>862</v>
      </c>
      <c r="P15" s="108" t="n">
        <v>658</v>
      </c>
      <c r="Q15" s="108" t="n">
        <v>832</v>
      </c>
      <c r="R15" s="108" t="n">
        <v>255</v>
      </c>
      <c r="S15" s="108" t="n">
        <v>323</v>
      </c>
      <c r="T15" s="109" t="n">
        <v>1238076</v>
      </c>
      <c r="U15" s="109" t="n">
        <v>1533902</v>
      </c>
      <c r="V15" s="108" t="n"/>
      <c r="W15" s="109" t="n">
        <v>4749</v>
      </c>
      <c r="X15" s="110" t="n">
        <v>0.4983</v>
      </c>
      <c r="Y15" s="110" t="n">
        <v>0.974</v>
      </c>
      <c r="Z15" s="110" t="n">
        <v>0.4854</v>
      </c>
      <c r="AA15" s="110" t="n">
        <v>0.7633</v>
      </c>
      <c r="AB15" s="110" t="n">
        <v>0.9703000000000001</v>
      </c>
      <c r="AC15" s="110" t="n">
        <v>0.3875</v>
      </c>
      <c r="AD15" s="110" t="n">
        <v>0.1436</v>
      </c>
      <c r="AE15" s="110" t="n">
        <v>0.1819</v>
      </c>
      <c r="AF15" s="109" t="n">
        <v>1365601</v>
      </c>
      <c r="AG15" s="108" t="n">
        <v>1.12</v>
      </c>
      <c r="AH15" s="108" t="n">
        <v>868</v>
      </c>
      <c r="AI15" s="108" t="n">
        <v>832</v>
      </c>
      <c r="AJ15" s="108" t="n">
        <v>912</v>
      </c>
      <c r="AK15" s="109" t="n">
        <v>135927</v>
      </c>
      <c r="AL15" s="109" t="n">
        <v>113240</v>
      </c>
      <c r="AM15" s="109" t="n">
        <v>147997</v>
      </c>
      <c r="AN15" s="109" t="n">
        <v>15669</v>
      </c>
      <c r="AO15" s="109" t="n">
        <v>77457</v>
      </c>
      <c r="AP15" s="108" t="n">
        <v>619</v>
      </c>
      <c r="AQ15" s="108" t="n">
        <v>175</v>
      </c>
      <c r="AR15" s="108" t="n">
        <v>197</v>
      </c>
      <c r="AS15" s="108" t="n">
        <v>185</v>
      </c>
      <c r="AT15" s="108" t="n">
        <v>104</v>
      </c>
      <c r="AU15" s="108" t="n">
        <v>120</v>
      </c>
      <c r="AV15" s="108" t="n">
        <v>10</v>
      </c>
      <c r="AW15" s="108" t="n">
        <v>11</v>
      </c>
      <c r="AX15" s="109" t="n">
        <v>37527</v>
      </c>
      <c r="AY15" s="108" t="n">
        <v>39407</v>
      </c>
      <c r="AZ15" s="108" t="n"/>
      <c r="BA15" s="108" t="n">
        <v>3582</v>
      </c>
      <c r="BB15" s="110" t="n">
        <v>0.2827</v>
      </c>
      <c r="BC15" s="110" t="n">
        <v>1.0571</v>
      </c>
      <c r="BD15" s="110" t="n">
        <v>0.2989</v>
      </c>
      <c r="BE15" s="110" t="n">
        <v>0.5622</v>
      </c>
      <c r="BF15" s="110" t="n">
        <v>0.6056</v>
      </c>
      <c r="BG15" s="110" t="n">
        <v>0.09619999999999999</v>
      </c>
      <c r="BH15" s="110" t="n">
        <v>0.0162</v>
      </c>
      <c r="BI15" s="110" t="n">
        <v>0.0178</v>
      </c>
      <c r="BJ15" s="108" t="n">
        <v>205</v>
      </c>
      <c r="BK15" s="108" t="n">
        <v>120</v>
      </c>
      <c r="BL15" s="108" t="n">
        <v>124</v>
      </c>
      <c r="BM15" s="109" t="n">
        <v>42699</v>
      </c>
      <c r="BN15" s="109" t="n">
        <v>20262</v>
      </c>
      <c r="BO15" s="109" t="n">
        <v>3945</v>
      </c>
      <c r="BP15" s="109" t="n">
        <v>5577</v>
      </c>
      <c r="BQ15" s="109" t="n">
        <v>9922</v>
      </c>
      <c r="BR15" s="109" t="n">
        <v>1275603</v>
      </c>
      <c r="BS15" s="109" t="n">
        <v>1573309</v>
      </c>
      <c r="BT15" s="108" t="n"/>
      <c r="BU15" s="109" t="n">
        <v>394246</v>
      </c>
      <c r="BV15" s="109" t="n">
        <v>338966</v>
      </c>
      <c r="BW15" s="109" t="n">
        <v>178682</v>
      </c>
      <c r="BX15" s="109" t="n">
        <v>900815</v>
      </c>
      <c r="BY15" s="109" t="n">
        <v>894152</v>
      </c>
      <c r="BZ15" s="109" t="n">
        <v>1411800</v>
      </c>
      <c r="CA15" s="108" t="n">
        <v>0.9</v>
      </c>
      <c r="CB15" s="109" t="n">
        <v>21141</v>
      </c>
      <c r="CC15" s="109" t="n">
        <v>1473743</v>
      </c>
      <c r="CD15" s="108" t="n">
        <v>1.07</v>
      </c>
      <c r="CE15" s="109" t="n">
        <v>1449764</v>
      </c>
      <c r="CF15" s="108" t="n">
        <v>1.09</v>
      </c>
    </row>
    <row r="16">
      <c r="A16" s="106" t="inlineStr">
        <is>
          <t>2025年-9月陈琪直播</t>
        </is>
      </c>
      <c r="B16" s="107" t="n"/>
      <c r="C16" s="108" t="n"/>
      <c r="D16" s="108" t="n"/>
      <c r="E16" s="108" t="n"/>
      <c r="F16" s="108" t="n"/>
      <c r="G16" s="108" t="n"/>
      <c r="H16" s="109" t="n">
        <v>12912</v>
      </c>
      <c r="I16" s="109" t="n">
        <v>128084</v>
      </c>
      <c r="J16" s="109" t="n">
        <v>123440</v>
      </c>
      <c r="K16" s="108" t="n">
        <v>577</v>
      </c>
      <c r="L16" s="108" t="n">
        <v>222</v>
      </c>
      <c r="M16" s="108" t="n">
        <v>91</v>
      </c>
      <c r="N16" s="108" t="n">
        <v>91</v>
      </c>
      <c r="O16" s="108" t="n">
        <v>90</v>
      </c>
      <c r="P16" s="108" t="n">
        <v>69</v>
      </c>
      <c r="Q16" s="108" t="n">
        <v>69</v>
      </c>
      <c r="R16" s="108" t="n">
        <v>26</v>
      </c>
      <c r="S16" s="108" t="n">
        <v>26</v>
      </c>
      <c r="T16" s="109" t="n">
        <v>151688</v>
      </c>
      <c r="U16" s="109" t="n">
        <v>151688</v>
      </c>
      <c r="V16" s="110" t="n">
        <v>1</v>
      </c>
      <c r="W16" s="109" t="n">
        <v>5834</v>
      </c>
      <c r="X16" s="110" t="n">
        <v>0.41</v>
      </c>
      <c r="Y16" s="110" t="n">
        <v>0.989</v>
      </c>
      <c r="Z16" s="110" t="n">
        <v>0.405</v>
      </c>
      <c r="AA16" s="110" t="n">
        <v>0.767</v>
      </c>
      <c r="AB16" s="110" t="n">
        <v>0.972</v>
      </c>
      <c r="AC16" s="110" t="n">
        <v>0.377</v>
      </c>
      <c r="AD16" s="110" t="n">
        <v>0.117</v>
      </c>
      <c r="AE16" s="110" t="n">
        <v>0.117</v>
      </c>
      <c r="AF16" s="109" t="n">
        <v>183768</v>
      </c>
      <c r="AG16" s="108" t="n">
        <v>0.83</v>
      </c>
      <c r="AH16" s="108" t="n">
        <v>71</v>
      </c>
      <c r="AI16" s="108" t="n">
        <v>69</v>
      </c>
      <c r="AJ16" s="108" t="n">
        <v>76</v>
      </c>
      <c r="AK16" s="109" t="n">
        <v>16821</v>
      </c>
      <c r="AL16" s="109" t="n">
        <v>13158</v>
      </c>
      <c r="AM16" s="109" t="n">
        <v>17031</v>
      </c>
      <c r="AN16" s="109" t="n">
        <v>2220</v>
      </c>
      <c r="AO16" s="109" t="n">
        <v>6455</v>
      </c>
      <c r="AP16" s="108" t="n">
        <v>0</v>
      </c>
      <c r="AQ16" s="108" t="n">
        <v>0</v>
      </c>
      <c r="AR16" s="108" t="n">
        <v>0</v>
      </c>
      <c r="AS16" s="108" t="n">
        <v>0</v>
      </c>
      <c r="AT16" s="108" t="n">
        <v>0</v>
      </c>
      <c r="AU16" s="108" t="n">
        <v>0</v>
      </c>
      <c r="AV16" s="108" t="n">
        <v>0</v>
      </c>
      <c r="AW16" s="108" t="n">
        <v>0</v>
      </c>
      <c r="AX16" s="108" t="n">
        <v>0</v>
      </c>
      <c r="AY16" s="108" t="n">
        <v>0</v>
      </c>
      <c r="AZ16" s="108" t="n"/>
      <c r="BA16" s="108" t="n"/>
      <c r="BB16" s="108" t="n"/>
      <c r="BC16" s="108" t="n"/>
      <c r="BD16" s="108" t="n"/>
      <c r="BE16" s="108" t="n"/>
      <c r="BF16" s="108" t="n"/>
      <c r="BG16" s="108" t="n"/>
      <c r="BH16" s="108" t="n"/>
      <c r="BI16" s="108" t="n"/>
      <c r="BJ16" s="108" t="n">
        <v>0</v>
      </c>
      <c r="BK16" s="108" t="n">
        <v>0</v>
      </c>
      <c r="BL16" s="108" t="n">
        <v>0</v>
      </c>
      <c r="BM16" s="108" t="n">
        <v>0</v>
      </c>
      <c r="BN16" s="108" t="n">
        <v>0</v>
      </c>
      <c r="BO16" s="108" t="n">
        <v>0</v>
      </c>
      <c r="BP16" s="108" t="n">
        <v>0</v>
      </c>
      <c r="BQ16" s="108" t="n">
        <v>0</v>
      </c>
      <c r="BR16" s="109" t="n">
        <v>151688</v>
      </c>
      <c r="BS16" s="109" t="n">
        <v>151688</v>
      </c>
      <c r="BT16" s="110" t="n">
        <v>1</v>
      </c>
      <c r="BU16" s="109" t="n">
        <v>38863</v>
      </c>
      <c r="BV16" s="109" t="n">
        <v>38863</v>
      </c>
      <c r="BW16" s="109" t="n">
        <v>16821</v>
      </c>
      <c r="BX16" s="109" t="n">
        <v>128084</v>
      </c>
      <c r="BY16" s="109" t="n">
        <v>128084</v>
      </c>
      <c r="BZ16" s="109" t="n">
        <v>183768</v>
      </c>
      <c r="CA16" s="108" t="n">
        <v>0.83</v>
      </c>
      <c r="CB16" s="109" t="n">
        <v>4645</v>
      </c>
      <c r="CC16" s="109" t="n">
        <v>183768</v>
      </c>
      <c r="CD16" s="108" t="n">
        <v>0.83</v>
      </c>
      <c r="CE16" s="109" t="n">
        <v>183598</v>
      </c>
      <c r="CF16" s="108" t="n">
        <v>0.83</v>
      </c>
    </row>
    <row r="17">
      <c r="A17" s="106" t="inlineStr">
        <is>
          <t>2025年-10月陈琪直播</t>
        </is>
      </c>
      <c r="B17" s="107" t="n"/>
      <c r="C17" s="108" t="n"/>
      <c r="D17" s="108" t="n"/>
      <c r="E17" s="108" t="n"/>
      <c r="F17" s="108" t="n"/>
      <c r="G17" s="108" t="n"/>
      <c r="H17" s="109" t="n">
        <v>12912</v>
      </c>
      <c r="I17" s="109" t="n">
        <v>173328</v>
      </c>
      <c r="J17" s="109" t="n">
        <v>168326</v>
      </c>
      <c r="K17" s="108" t="n">
        <v>510</v>
      </c>
      <c r="L17" s="108" t="n">
        <v>340</v>
      </c>
      <c r="M17" s="108" t="n">
        <v>105</v>
      </c>
      <c r="N17" s="108" t="n">
        <v>107</v>
      </c>
      <c r="O17" s="108" t="n">
        <v>107</v>
      </c>
      <c r="P17" s="108" t="n">
        <v>71</v>
      </c>
      <c r="Q17" s="108" t="n">
        <v>81</v>
      </c>
      <c r="R17" s="108" t="n">
        <v>25</v>
      </c>
      <c r="S17" s="108" t="n">
        <v>28</v>
      </c>
      <c r="T17" s="109" t="n">
        <v>161397</v>
      </c>
      <c r="U17" s="109" t="n">
        <v>177161</v>
      </c>
      <c r="V17" s="110" t="n">
        <v>1</v>
      </c>
      <c r="W17" s="109" t="n">
        <v>6327</v>
      </c>
      <c r="X17" s="110" t="n">
        <v>0.309</v>
      </c>
      <c r="Y17" s="110" t="n">
        <v>1.019</v>
      </c>
      <c r="Z17" s="110" t="n">
        <v>0.315</v>
      </c>
      <c r="AA17" s="110" t="n">
        <v>0.664</v>
      </c>
      <c r="AB17" s="110" t="n">
        <v>1</v>
      </c>
      <c r="AC17" s="110" t="n">
        <v>0.352</v>
      </c>
      <c r="AD17" s="110" t="n">
        <v>0.074</v>
      </c>
      <c r="AE17" s="110" t="n">
        <v>0.082</v>
      </c>
      <c r="AF17" s="109" t="n">
        <v>239886</v>
      </c>
      <c r="AG17" s="108" t="n">
        <v>0.74</v>
      </c>
      <c r="AH17" s="108" t="n">
        <v>81</v>
      </c>
      <c r="AI17" s="108" t="n">
        <v>81</v>
      </c>
      <c r="AJ17" s="108" t="n">
        <v>85</v>
      </c>
      <c r="AK17" s="109" t="n">
        <v>21245</v>
      </c>
      <c r="AL17" s="109" t="n">
        <v>15220</v>
      </c>
      <c r="AM17" s="109" t="n">
        <v>19488</v>
      </c>
      <c r="AN17" s="109" t="n">
        <v>3400</v>
      </c>
      <c r="AO17" s="109" t="n">
        <v>7205</v>
      </c>
      <c r="AP17" s="108" t="n">
        <v>0</v>
      </c>
      <c r="AQ17" s="108" t="n">
        <v>0</v>
      </c>
      <c r="AR17" s="108" t="n">
        <v>0</v>
      </c>
      <c r="AS17" s="108" t="n">
        <v>0</v>
      </c>
      <c r="AT17" s="108" t="n">
        <v>0</v>
      </c>
      <c r="AU17" s="108" t="n">
        <v>0</v>
      </c>
      <c r="AV17" s="108" t="n">
        <v>0</v>
      </c>
      <c r="AW17" s="108" t="n">
        <v>0</v>
      </c>
      <c r="AX17" s="108" t="n">
        <v>0</v>
      </c>
      <c r="AY17" s="108" t="n">
        <v>0</v>
      </c>
      <c r="AZ17" s="108" t="n"/>
      <c r="BA17" s="108" t="n"/>
      <c r="BB17" s="108" t="n"/>
      <c r="BC17" s="108" t="n"/>
      <c r="BD17" s="108" t="n"/>
      <c r="BE17" s="108" t="n"/>
      <c r="BF17" s="108" t="n"/>
      <c r="BG17" s="108" t="n"/>
      <c r="BH17" s="108" t="n"/>
      <c r="BI17" s="108" t="n"/>
      <c r="BJ17" s="108" t="n">
        <v>0</v>
      </c>
      <c r="BK17" s="108" t="n">
        <v>0</v>
      </c>
      <c r="BL17" s="108" t="n">
        <v>0</v>
      </c>
      <c r="BM17" s="108" t="n">
        <v>0</v>
      </c>
      <c r="BN17" s="108" t="n">
        <v>0</v>
      </c>
      <c r="BO17" s="108" t="n">
        <v>0</v>
      </c>
      <c r="BP17" s="108" t="n">
        <v>0</v>
      </c>
      <c r="BQ17" s="108" t="n">
        <v>0</v>
      </c>
      <c r="BR17" s="109" t="n">
        <v>161397</v>
      </c>
      <c r="BS17" s="109" t="n">
        <v>177161</v>
      </c>
      <c r="BT17" s="110" t="n">
        <v>1</v>
      </c>
      <c r="BU17" s="109" t="n">
        <v>45314</v>
      </c>
      <c r="BV17" s="109" t="n">
        <v>42363</v>
      </c>
      <c r="BW17" s="109" t="n">
        <v>21245</v>
      </c>
      <c r="BX17" s="109" t="n">
        <v>173328</v>
      </c>
      <c r="BY17" s="109" t="n">
        <v>172792</v>
      </c>
      <c r="BZ17" s="109" t="n">
        <v>236400</v>
      </c>
      <c r="CA17" s="108" t="n">
        <v>0.68</v>
      </c>
      <c r="CB17" s="109" t="n">
        <v>5002</v>
      </c>
      <c r="CC17" s="109" t="n">
        <v>239886</v>
      </c>
      <c r="CD17" s="108" t="n">
        <v>0.74</v>
      </c>
      <c r="CE17" s="109" t="n">
        <v>244142</v>
      </c>
      <c r="CF17" s="108" t="n">
        <v>0.73</v>
      </c>
    </row>
    <row r="18">
      <c r="A18" s="111" t="inlineStr">
        <is>
          <t>2025年-11月陈琪直播</t>
        </is>
      </c>
      <c r="B18" s="112" t="n"/>
      <c r="C18" s="113" t="n"/>
      <c r="D18" s="113" t="n"/>
      <c r="E18" s="113" t="n"/>
      <c r="F18" s="113" t="n"/>
      <c r="G18" s="113" t="n"/>
      <c r="H18" s="113" t="n"/>
      <c r="I18" s="114" t="n">
        <v>130335</v>
      </c>
      <c r="J18" s="114" t="n">
        <v>125331</v>
      </c>
      <c r="K18" s="113" t="n">
        <v>893</v>
      </c>
      <c r="L18" s="113" t="n">
        <v>146</v>
      </c>
      <c r="M18" s="113" t="n">
        <v>61</v>
      </c>
      <c r="N18" s="113" t="n">
        <v>67</v>
      </c>
      <c r="O18" s="113" t="n">
        <v>66</v>
      </c>
      <c r="P18" s="113" t="n">
        <v>47</v>
      </c>
      <c r="Q18" s="113" t="n">
        <v>59</v>
      </c>
      <c r="R18" s="113" t="n">
        <v>18</v>
      </c>
      <c r="S18" s="113" t="n">
        <v>28</v>
      </c>
      <c r="T18" s="114" t="n">
        <v>105840</v>
      </c>
      <c r="U18" s="114" t="n">
        <v>153659</v>
      </c>
      <c r="V18" s="115" t="n">
        <v>1</v>
      </c>
      <c r="W18" s="114" t="n">
        <v>5488</v>
      </c>
      <c r="X18" s="115" t="n">
        <v>0.418</v>
      </c>
      <c r="Y18" s="115" t="n">
        <v>1.082</v>
      </c>
      <c r="Z18" s="115" t="n">
        <v>0.452</v>
      </c>
      <c r="AA18" s="115" t="n">
        <v>0.712</v>
      </c>
      <c r="AB18" s="115" t="n">
        <v>0.983</v>
      </c>
      <c r="AC18" s="115" t="n">
        <v>0.383</v>
      </c>
      <c r="AD18" s="115" t="n">
        <v>0.123</v>
      </c>
      <c r="AE18" s="115" t="n">
        <v>0.192</v>
      </c>
      <c r="AF18" s="114" t="n">
        <v>171371</v>
      </c>
      <c r="AG18" s="113" t="n">
        <v>0.9</v>
      </c>
      <c r="AH18" s="113" t="n">
        <v>60</v>
      </c>
      <c r="AI18" s="113" t="n">
        <v>59</v>
      </c>
      <c r="AJ18" s="113" t="n">
        <v>62</v>
      </c>
      <c r="AK18" s="114" t="n">
        <v>9504</v>
      </c>
      <c r="AL18" s="114" t="n">
        <v>7913</v>
      </c>
      <c r="AM18" s="114" t="n">
        <v>16903</v>
      </c>
      <c r="AN18" s="114" t="n">
        <v>1460</v>
      </c>
      <c r="AO18" s="114" t="n">
        <v>5255</v>
      </c>
      <c r="AP18" s="113" t="n">
        <v>0</v>
      </c>
      <c r="AQ18" s="113" t="n">
        <v>0</v>
      </c>
      <c r="AR18" s="113" t="n">
        <v>0</v>
      </c>
      <c r="AS18" s="113" t="n">
        <v>0</v>
      </c>
      <c r="AT18" s="113" t="n">
        <v>0</v>
      </c>
      <c r="AU18" s="113" t="n">
        <v>0</v>
      </c>
      <c r="AV18" s="113" t="n">
        <v>0</v>
      </c>
      <c r="AW18" s="113" t="n">
        <v>0</v>
      </c>
      <c r="AX18" s="113" t="n">
        <v>0</v>
      </c>
      <c r="AY18" s="113" t="n">
        <v>0</v>
      </c>
      <c r="AZ18" s="113" t="n"/>
      <c r="BA18" s="113" t="n"/>
      <c r="BB18" s="113" t="n"/>
      <c r="BC18" s="113" t="n"/>
      <c r="BD18" s="113" t="n"/>
      <c r="BE18" s="113" t="n"/>
      <c r="BF18" s="113" t="n"/>
      <c r="BG18" s="113" t="n"/>
      <c r="BH18" s="113" t="n"/>
      <c r="BI18" s="113" t="n"/>
      <c r="BJ18" s="113" t="n">
        <v>0</v>
      </c>
      <c r="BK18" s="113" t="n">
        <v>0</v>
      </c>
      <c r="BL18" s="113" t="n">
        <v>0</v>
      </c>
      <c r="BM18" s="113" t="n">
        <v>0</v>
      </c>
      <c r="BN18" s="113" t="n">
        <v>0</v>
      </c>
      <c r="BO18" s="113" t="n">
        <v>0</v>
      </c>
      <c r="BP18" s="113" t="n">
        <v>0</v>
      </c>
      <c r="BQ18" s="113" t="n">
        <v>0</v>
      </c>
      <c r="BR18" s="114" t="n">
        <v>105840</v>
      </c>
      <c r="BS18" s="114" t="n">
        <v>153659</v>
      </c>
      <c r="BT18" s="115" t="n">
        <v>1</v>
      </c>
      <c r="BU18" s="114" t="n">
        <v>31531</v>
      </c>
      <c r="BV18" s="114" t="n">
        <v>24291</v>
      </c>
      <c r="BW18" s="114" t="n">
        <v>9504</v>
      </c>
      <c r="BX18" s="114" t="n">
        <v>130335</v>
      </c>
      <c r="BY18" s="114" t="n">
        <v>128548</v>
      </c>
      <c r="BZ18" s="114" t="n">
        <v>162343</v>
      </c>
      <c r="CA18" s="113" t="n">
        <v>0.65</v>
      </c>
      <c r="CB18" s="114" t="n">
        <v>5004</v>
      </c>
      <c r="CC18" s="114" t="n">
        <v>171371</v>
      </c>
      <c r="CD18" s="113" t="n">
        <v>0.9</v>
      </c>
      <c r="CE18" s="114" t="n">
        <v>172817</v>
      </c>
      <c r="CF18" s="113" t="n">
        <v>0.89</v>
      </c>
    </row>
    <row r="19">
      <c r="A19" s="106" t="inlineStr">
        <is>
          <t>陈琪直播-汇总</t>
        </is>
      </c>
      <c r="B19" s="107" t="n"/>
      <c r="C19" s="108" t="n"/>
      <c r="D19" s="108" t="n"/>
      <c r="E19" s="108" t="n"/>
      <c r="F19" s="108" t="n"/>
      <c r="G19" s="108" t="n"/>
      <c r="H19" s="108" t="n"/>
      <c r="I19" s="109" t="n">
        <v>431748</v>
      </c>
      <c r="J19" s="109" t="n">
        <v>417097</v>
      </c>
      <c r="K19" s="108" t="n">
        <v>589</v>
      </c>
      <c r="L19" s="108" t="n">
        <v>708</v>
      </c>
      <c r="M19" s="108" t="n">
        <v>257</v>
      </c>
      <c r="N19" s="108" t="n">
        <v>265</v>
      </c>
      <c r="O19" s="108" t="n">
        <v>263</v>
      </c>
      <c r="P19" s="108" t="n">
        <v>187</v>
      </c>
      <c r="Q19" s="108" t="n">
        <v>209</v>
      </c>
      <c r="R19" s="108" t="n">
        <v>69</v>
      </c>
      <c r="S19" s="108" t="n">
        <v>82</v>
      </c>
      <c r="T19" s="109" t="n">
        <v>418925</v>
      </c>
      <c r="U19" s="109" t="n">
        <v>482508</v>
      </c>
      <c r="V19" s="108" t="n"/>
      <c r="W19" s="109" t="n">
        <v>5884</v>
      </c>
      <c r="X19" s="110" t="n">
        <v>0.363</v>
      </c>
      <c r="Y19" s="110" t="n">
        <v>1.0233</v>
      </c>
      <c r="Z19" s="110" t="n">
        <v>0.3715</v>
      </c>
      <c r="AA19" s="110" t="n">
        <v>0.711</v>
      </c>
      <c r="AB19" s="110" t="n">
        <v>0.9851</v>
      </c>
      <c r="AC19" s="110" t="n">
        <v>0.369</v>
      </c>
      <c r="AD19" s="110" t="n">
        <v>0.0975</v>
      </c>
      <c r="AE19" s="110" t="n">
        <v>0.1158</v>
      </c>
      <c r="AF19" s="109" t="n">
        <v>595025</v>
      </c>
      <c r="AG19" s="108" t="n">
        <v>0.8100000000000001</v>
      </c>
      <c r="AH19" s="108" t="n">
        <v>212</v>
      </c>
      <c r="AI19" s="108" t="n">
        <v>209</v>
      </c>
      <c r="AJ19" s="108" t="n">
        <v>223</v>
      </c>
      <c r="AK19" s="109" t="n">
        <v>47569</v>
      </c>
      <c r="AL19" s="109" t="n">
        <v>36291</v>
      </c>
      <c r="AM19" s="109" t="n">
        <v>53422</v>
      </c>
      <c r="AN19" s="109" t="n">
        <v>7080</v>
      </c>
      <c r="AO19" s="109" t="n">
        <v>18915</v>
      </c>
      <c r="AP19" s="108" t="n">
        <v>0</v>
      </c>
      <c r="AQ19" s="108" t="n">
        <v>0</v>
      </c>
      <c r="AR19" s="108" t="n"/>
      <c r="AS19" s="108" t="n">
        <v>0</v>
      </c>
      <c r="AT19" s="108" t="n">
        <v>0</v>
      </c>
      <c r="AU19" s="108" t="n">
        <v>0</v>
      </c>
      <c r="AV19" s="108" t="n">
        <v>0</v>
      </c>
      <c r="AW19" s="108" t="n">
        <v>0</v>
      </c>
      <c r="AX19" s="108" t="n">
        <v>0</v>
      </c>
      <c r="AY19" s="108" t="n">
        <v>0</v>
      </c>
      <c r="AZ19" s="108" t="n"/>
      <c r="BA19" s="108" t="e">
        <v>#DIV/0!</v>
      </c>
      <c r="BB19" s="108" t="e">
        <v>#DIV/0!</v>
      </c>
      <c r="BC19" s="108" t="e">
        <v>#DIV/0!</v>
      </c>
      <c r="BD19" s="108" t="e">
        <v>#DIV/0!</v>
      </c>
      <c r="BE19" s="108" t="e">
        <v>#DIV/0!</v>
      </c>
      <c r="BF19" s="108" t="e">
        <v>#DIV/0!</v>
      </c>
      <c r="BG19" s="108" t="e">
        <v>#DIV/0!</v>
      </c>
      <c r="BH19" s="108" t="e">
        <v>#DIV/0!</v>
      </c>
      <c r="BI19" s="108" t="e">
        <v>#DIV/0!</v>
      </c>
      <c r="BJ19" s="108" t="n">
        <v>0</v>
      </c>
      <c r="BK19" s="108" t="n">
        <v>0</v>
      </c>
      <c r="BL19" s="108" t="n">
        <v>0</v>
      </c>
      <c r="BM19" s="108" t="n">
        <v>0</v>
      </c>
      <c r="BN19" s="108" t="n">
        <v>0</v>
      </c>
      <c r="BO19" s="108" t="n">
        <v>0</v>
      </c>
      <c r="BP19" s="108" t="n">
        <v>0</v>
      </c>
      <c r="BQ19" s="108" t="n">
        <v>0</v>
      </c>
      <c r="BR19" s="109" t="n">
        <v>418925</v>
      </c>
      <c r="BS19" s="109" t="n">
        <v>482508</v>
      </c>
      <c r="BT19" s="108" t="n"/>
      <c r="BU19" s="109" t="n">
        <v>115708</v>
      </c>
      <c r="BV19" s="109" t="n">
        <v>105517</v>
      </c>
      <c r="BW19" s="109" t="n">
        <v>47569</v>
      </c>
      <c r="BX19" s="109" t="n">
        <v>431748</v>
      </c>
      <c r="BY19" s="109" t="n">
        <v>429425</v>
      </c>
      <c r="BZ19" s="109" t="n">
        <v>582511</v>
      </c>
      <c r="CA19" s="108" t="n">
        <v>0.72</v>
      </c>
      <c r="CB19" s="109" t="n">
        <v>14651</v>
      </c>
      <c r="CC19" s="109" t="n">
        <v>595025</v>
      </c>
      <c r="CD19" s="108" t="n">
        <v>0.8100000000000001</v>
      </c>
      <c r="CE19" s="109" t="n">
        <v>600556</v>
      </c>
      <c r="CF19" s="108" t="n">
        <v>0.8</v>
      </c>
    </row>
    <row r="20">
      <c r="A20" s="117" t="inlineStr">
        <is>
          <t>2025年-3月陈倩扬</t>
        </is>
      </c>
      <c r="B20" s="118" t="n"/>
      <c r="C20" s="119" t="inlineStr">
        <is>
          <t>陈倩扬</t>
        </is>
      </c>
      <c r="D20" s="119" t="inlineStr">
        <is>
          <t>KOLHK-香港-陈倩扬Skye-Shukei-思维&amp;无</t>
        </is>
      </c>
      <c r="E20" s="119" t="inlineStr">
        <is>
          <t>思维</t>
        </is>
      </c>
      <c r="F20" s="119" t="inlineStr">
        <is>
          <t>-</t>
        </is>
      </c>
      <c r="G20" s="119" t="inlineStr">
        <is>
          <t>CPT</t>
        </is>
      </c>
      <c r="H20" s="119" t="n"/>
      <c r="I20" s="103" t="n">
        <v>92998</v>
      </c>
      <c r="J20" s="103" t="n">
        <v>92998</v>
      </c>
      <c r="K20" s="119" t="n">
        <v>522</v>
      </c>
      <c r="L20" s="119" t="n">
        <v>178</v>
      </c>
      <c r="M20" s="119" t="n">
        <v>84</v>
      </c>
      <c r="N20" s="119" t="n">
        <v>84</v>
      </c>
      <c r="O20" s="119" t="n">
        <v>97</v>
      </c>
      <c r="P20" s="119" t="n">
        <v>79</v>
      </c>
      <c r="Q20" s="119" t="n">
        <v>79</v>
      </c>
      <c r="R20" s="119" t="n">
        <v>33</v>
      </c>
      <c r="S20" s="119" t="n">
        <v>33</v>
      </c>
      <c r="T20" s="103" t="n">
        <v>156665</v>
      </c>
      <c r="U20" s="103" t="n">
        <v>156665</v>
      </c>
      <c r="V20" s="120" t="n">
        <v>1</v>
      </c>
      <c r="W20" s="103" t="n">
        <v>4747</v>
      </c>
      <c r="X20" s="120" t="n">
        <v>0.472</v>
      </c>
      <c r="Y20" s="120" t="n">
        <v>1.155</v>
      </c>
      <c r="Z20" s="120" t="n">
        <v>0.545</v>
      </c>
      <c r="AA20" s="120" t="n">
        <v>0.8139999999999999</v>
      </c>
      <c r="AB20" s="120" t="n">
        <v>0.975</v>
      </c>
      <c r="AC20" s="120" t="n">
        <v>0.418</v>
      </c>
      <c r="AD20" s="120" t="n">
        <v>0.185</v>
      </c>
      <c r="AE20" s="120" t="n">
        <v>0.185</v>
      </c>
      <c r="AF20" s="103" t="n">
        <v>140389</v>
      </c>
      <c r="AG20" s="119" t="n">
        <v>1.12</v>
      </c>
      <c r="AH20" s="119" t="n">
        <v>81</v>
      </c>
      <c r="AI20" s="119" t="n">
        <v>79</v>
      </c>
      <c r="AJ20" s="119" t="n">
        <v>86</v>
      </c>
      <c r="AK20" s="103" t="n">
        <v>15910</v>
      </c>
      <c r="AL20" s="103" t="n">
        <v>8304</v>
      </c>
      <c r="AM20" s="103" t="n">
        <v>14998</v>
      </c>
      <c r="AN20" s="103" t="n">
        <v>1198</v>
      </c>
      <c r="AO20" s="103" t="n">
        <v>6981</v>
      </c>
      <c r="AP20" s="119" t="n">
        <v>0</v>
      </c>
      <c r="AQ20" s="119" t="n">
        <v>0</v>
      </c>
      <c r="AR20" s="119" t="n">
        <v>0</v>
      </c>
      <c r="AS20" s="119" t="n">
        <v>0</v>
      </c>
      <c r="AT20" s="119" t="n">
        <v>0</v>
      </c>
      <c r="AU20" s="119" t="n">
        <v>0</v>
      </c>
      <c r="AV20" s="119" t="n">
        <v>0</v>
      </c>
      <c r="AW20" s="119" t="n">
        <v>0</v>
      </c>
      <c r="AX20" s="119" t="n">
        <v>0</v>
      </c>
      <c r="AY20" s="119" t="n">
        <v>0</v>
      </c>
      <c r="AZ20" s="119" t="n"/>
      <c r="BA20" s="119" t="n"/>
      <c r="BB20" s="119" t="n"/>
      <c r="BC20" s="119" t="n"/>
      <c r="BD20" s="119" t="n"/>
      <c r="BE20" s="119" t="n"/>
      <c r="BF20" s="119" t="n"/>
      <c r="BG20" s="119" t="n"/>
      <c r="BH20" s="119" t="n"/>
      <c r="BI20" s="119" t="n"/>
      <c r="BJ20" s="119" t="n">
        <v>0</v>
      </c>
      <c r="BK20" s="119" t="n">
        <v>0</v>
      </c>
      <c r="BL20" s="119" t="n">
        <v>0</v>
      </c>
      <c r="BM20" s="119" t="n">
        <v>0</v>
      </c>
      <c r="BN20" s="119" t="n">
        <v>0</v>
      </c>
      <c r="BO20" s="119" t="n">
        <v>0</v>
      </c>
      <c r="BP20" s="119" t="n">
        <v>0</v>
      </c>
      <c r="BQ20" s="119" t="n">
        <v>0</v>
      </c>
      <c r="BR20" s="103" t="n">
        <v>156665</v>
      </c>
      <c r="BS20" s="103" t="n">
        <v>156665</v>
      </c>
      <c r="BT20" s="120" t="n">
        <v>1</v>
      </c>
      <c r="BU20" s="103" t="n">
        <v>31569</v>
      </c>
      <c r="BV20" s="103" t="n">
        <v>31569</v>
      </c>
      <c r="BW20" s="103" t="n">
        <v>15992</v>
      </c>
      <c r="BX20" s="103" t="n">
        <v>92998</v>
      </c>
      <c r="BY20" s="103" t="n">
        <v>92998</v>
      </c>
      <c r="BZ20" s="103" t="n">
        <v>140559</v>
      </c>
      <c r="CA20" s="119" t="n">
        <v>1.11</v>
      </c>
      <c r="CB20" s="119" t="n"/>
      <c r="CC20" s="103" t="n">
        <v>140559</v>
      </c>
      <c r="CD20" s="119" t="n">
        <v>1.11</v>
      </c>
      <c r="CE20" s="103" t="n">
        <v>137992</v>
      </c>
      <c r="CF20" s="119" t="n">
        <v>1.14</v>
      </c>
    </row>
    <row r="21">
      <c r="A21" s="117" t="inlineStr">
        <is>
          <t>2025年-4月陈倩扬</t>
        </is>
      </c>
      <c r="B21" s="107" t="n"/>
      <c r="C21" s="108" t="n"/>
      <c r="D21" s="108" t="n"/>
      <c r="E21" s="108" t="n"/>
      <c r="F21" s="108" t="n"/>
      <c r="G21" s="108" t="n"/>
      <c r="H21" s="121" t="n"/>
      <c r="I21" s="122" t="n">
        <v>48781</v>
      </c>
      <c r="J21" s="122" t="n">
        <v>48781</v>
      </c>
      <c r="K21" s="121" t="n">
        <v>1084</v>
      </c>
      <c r="L21" s="121" t="n">
        <v>45</v>
      </c>
      <c r="M21" s="121" t="n">
        <v>28</v>
      </c>
      <c r="N21" s="121" t="n">
        <v>31</v>
      </c>
      <c r="O21" s="121" t="n">
        <v>29</v>
      </c>
      <c r="P21" s="121" t="n">
        <v>21</v>
      </c>
      <c r="Q21" s="121" t="n">
        <v>28</v>
      </c>
      <c r="R21" s="121" t="n">
        <v>5</v>
      </c>
      <c r="S21" s="121" t="n">
        <v>11</v>
      </c>
      <c r="T21" s="122" t="n">
        <v>23940</v>
      </c>
      <c r="U21" s="122" t="n">
        <v>45568</v>
      </c>
      <c r="V21" s="123" t="n">
        <v>1</v>
      </c>
      <c r="W21" s="122" t="n">
        <v>4143</v>
      </c>
      <c r="X21" s="123" t="n">
        <v>0.622</v>
      </c>
      <c r="Y21" s="123" t="n">
        <v>1.036</v>
      </c>
      <c r="Z21" s="123" t="n">
        <v>0.644</v>
      </c>
      <c r="AA21" s="123" t="n">
        <v>0.724</v>
      </c>
      <c r="AB21" s="123" t="n">
        <v>0.9330000000000001</v>
      </c>
      <c r="AC21" s="123" t="n">
        <v>0.238</v>
      </c>
      <c r="AD21" s="123" t="n">
        <v>0.111</v>
      </c>
      <c r="AE21" s="123" t="n">
        <v>0.244</v>
      </c>
      <c r="AF21" s="122" t="n">
        <v>65326</v>
      </c>
      <c r="AG21" s="121" t="n">
        <v>0.7</v>
      </c>
      <c r="AH21" s="121" t="n">
        <v>30</v>
      </c>
      <c r="AI21" s="121" t="n">
        <v>28</v>
      </c>
      <c r="AJ21" s="121" t="n">
        <v>29</v>
      </c>
      <c r="AK21" s="122" t="n">
        <v>4984</v>
      </c>
      <c r="AL21" s="122" t="n">
        <v>4592</v>
      </c>
      <c r="AM21" s="122" t="n">
        <v>4085</v>
      </c>
      <c r="AN21" s="121" t="n">
        <v>445</v>
      </c>
      <c r="AO21" s="122" t="n">
        <v>2439</v>
      </c>
      <c r="AP21" s="121" t="n">
        <v>0</v>
      </c>
      <c r="AQ21" s="121" t="n">
        <v>0</v>
      </c>
      <c r="AR21" s="121" t="n">
        <v>0</v>
      </c>
      <c r="AS21" s="121" t="n">
        <v>0</v>
      </c>
      <c r="AT21" s="121" t="n">
        <v>0</v>
      </c>
      <c r="AU21" s="121" t="n">
        <v>0</v>
      </c>
      <c r="AV21" s="121" t="n">
        <v>0</v>
      </c>
      <c r="AW21" s="121" t="n">
        <v>0</v>
      </c>
      <c r="AX21" s="121" t="n">
        <v>0</v>
      </c>
      <c r="AY21" s="121" t="n">
        <v>0</v>
      </c>
      <c r="AZ21" s="121" t="n"/>
      <c r="BA21" s="121" t="n"/>
      <c r="BB21" s="121" t="n"/>
      <c r="BC21" s="121" t="n"/>
      <c r="BD21" s="121" t="n"/>
      <c r="BE21" s="121" t="n"/>
      <c r="BF21" s="121" t="n"/>
      <c r="BG21" s="121" t="n"/>
      <c r="BH21" s="121" t="n"/>
      <c r="BI21" s="121" t="n"/>
      <c r="BJ21" s="121" t="n">
        <v>0</v>
      </c>
      <c r="BK21" s="121" t="n">
        <v>0</v>
      </c>
      <c r="BL21" s="121" t="n">
        <v>0</v>
      </c>
      <c r="BM21" s="121" t="n">
        <v>0</v>
      </c>
      <c r="BN21" s="121" t="n">
        <v>0</v>
      </c>
      <c r="BO21" s="121" t="n">
        <v>0</v>
      </c>
      <c r="BP21" s="121" t="n">
        <v>0</v>
      </c>
      <c r="BQ21" s="121" t="n">
        <v>0</v>
      </c>
      <c r="BR21" s="122" t="n">
        <v>23940</v>
      </c>
      <c r="BS21" s="122" t="n">
        <v>45568</v>
      </c>
      <c r="BT21" s="123" t="n">
        <v>1</v>
      </c>
      <c r="BU21" s="122" t="n">
        <v>12047</v>
      </c>
      <c r="BV21" s="122" t="n">
        <v>8889</v>
      </c>
      <c r="BW21" s="122" t="n">
        <v>5193</v>
      </c>
      <c r="BX21" s="122" t="n">
        <v>48781</v>
      </c>
      <c r="BY21" s="122" t="n">
        <v>48781</v>
      </c>
      <c r="BZ21" s="122" t="n">
        <v>62863</v>
      </c>
      <c r="CA21" s="121" t="n">
        <v>0.38</v>
      </c>
      <c r="CB21" s="121" t="n"/>
      <c r="CC21" s="122" t="n">
        <v>66022</v>
      </c>
      <c r="CD21" s="121" t="n">
        <v>0.6899999999999999</v>
      </c>
      <c r="CE21" s="122" t="n">
        <v>64354</v>
      </c>
      <c r="CF21" s="121" t="n">
        <v>0.71</v>
      </c>
    </row>
    <row r="22">
      <c r="A22" s="117" t="inlineStr">
        <is>
          <t>2025年-5月陈倩扬</t>
        </is>
      </c>
      <c r="B22" s="107" t="n"/>
      <c r="C22" s="108" t="n"/>
      <c r="D22" s="108" t="n"/>
      <c r="E22" s="108" t="n"/>
      <c r="F22" s="108" t="n"/>
      <c r="G22" s="108" t="n"/>
      <c r="H22" s="121" t="n"/>
      <c r="I22" s="122" t="n">
        <v>69043</v>
      </c>
      <c r="J22" s="122" t="n">
        <v>69043</v>
      </c>
      <c r="K22" s="121" t="n">
        <v>794</v>
      </c>
      <c r="L22" s="121" t="n">
        <v>87</v>
      </c>
      <c r="M22" s="121" t="n">
        <v>44</v>
      </c>
      <c r="N22" s="121" t="n">
        <v>45</v>
      </c>
      <c r="O22" s="121" t="n">
        <v>44</v>
      </c>
      <c r="P22" s="121" t="n">
        <v>34</v>
      </c>
      <c r="Q22" s="121" t="n">
        <v>42</v>
      </c>
      <c r="R22" s="121" t="n">
        <v>11</v>
      </c>
      <c r="S22" s="121" t="n">
        <v>15</v>
      </c>
      <c r="T22" s="122" t="n">
        <v>47868</v>
      </c>
      <c r="U22" s="122" t="n">
        <v>69111</v>
      </c>
      <c r="V22" s="123" t="n">
        <v>1</v>
      </c>
      <c r="W22" s="122" t="n">
        <v>4607</v>
      </c>
      <c r="X22" s="123" t="n">
        <v>0.506</v>
      </c>
      <c r="Y22" s="123" t="n">
        <v>1</v>
      </c>
      <c r="Z22" s="123" t="n">
        <v>0.506</v>
      </c>
      <c r="AA22" s="123" t="n">
        <v>0.773</v>
      </c>
      <c r="AB22" s="123" t="n">
        <v>0.913</v>
      </c>
      <c r="AC22" s="123" t="n">
        <v>0.324</v>
      </c>
      <c r="AD22" s="123" t="n">
        <v>0.126</v>
      </c>
      <c r="AE22" s="123" t="n">
        <v>0.172</v>
      </c>
      <c r="AF22" s="122" t="n">
        <v>91365</v>
      </c>
      <c r="AG22" s="121" t="n">
        <v>0.76</v>
      </c>
      <c r="AH22" s="121" t="n">
        <v>46</v>
      </c>
      <c r="AI22" s="121" t="n">
        <v>42</v>
      </c>
      <c r="AJ22" s="121" t="n">
        <v>51</v>
      </c>
      <c r="AK22" s="122" t="n">
        <v>4933</v>
      </c>
      <c r="AL22" s="122" t="n">
        <v>5523</v>
      </c>
      <c r="AM22" s="122" t="n">
        <v>6628</v>
      </c>
      <c r="AN22" s="121" t="n">
        <v>809</v>
      </c>
      <c r="AO22" s="122" t="n">
        <v>4430</v>
      </c>
      <c r="AP22" s="121" t="n">
        <v>0</v>
      </c>
      <c r="AQ22" s="121" t="n">
        <v>0</v>
      </c>
      <c r="AR22" s="121" t="n">
        <v>0</v>
      </c>
      <c r="AS22" s="121" t="n">
        <v>0</v>
      </c>
      <c r="AT22" s="121" t="n">
        <v>0</v>
      </c>
      <c r="AU22" s="121" t="n">
        <v>0</v>
      </c>
      <c r="AV22" s="121" t="n">
        <v>0</v>
      </c>
      <c r="AW22" s="121" t="n">
        <v>0</v>
      </c>
      <c r="AX22" s="121" t="n">
        <v>0</v>
      </c>
      <c r="AY22" s="121" t="n">
        <v>0</v>
      </c>
      <c r="AZ22" s="121" t="n"/>
      <c r="BA22" s="121" t="n"/>
      <c r="BB22" s="121" t="n"/>
      <c r="BC22" s="121" t="n"/>
      <c r="BD22" s="121" t="n"/>
      <c r="BE22" s="121" t="n"/>
      <c r="BF22" s="121" t="n"/>
      <c r="BG22" s="121" t="n"/>
      <c r="BH22" s="121" t="n"/>
      <c r="BI22" s="121" t="n"/>
      <c r="BJ22" s="121" t="n">
        <v>0</v>
      </c>
      <c r="BK22" s="121" t="n">
        <v>0</v>
      </c>
      <c r="BL22" s="121" t="n">
        <v>0</v>
      </c>
      <c r="BM22" s="121" t="n">
        <v>0</v>
      </c>
      <c r="BN22" s="121" t="n">
        <v>0</v>
      </c>
      <c r="BO22" s="121" t="n">
        <v>0</v>
      </c>
      <c r="BP22" s="121" t="n">
        <v>0</v>
      </c>
      <c r="BQ22" s="121" t="n">
        <v>0</v>
      </c>
      <c r="BR22" s="122" t="n">
        <v>47868</v>
      </c>
      <c r="BS22" s="122" t="n">
        <v>69111</v>
      </c>
      <c r="BT22" s="123" t="n">
        <v>1</v>
      </c>
      <c r="BU22" s="122" t="n">
        <v>17389</v>
      </c>
      <c r="BV22" s="122" t="n">
        <v>14187</v>
      </c>
      <c r="BW22" s="122" t="n">
        <v>4933</v>
      </c>
      <c r="BX22" s="122" t="n">
        <v>69043</v>
      </c>
      <c r="BY22" s="122" t="n">
        <v>69043</v>
      </c>
      <c r="BZ22" s="122" t="n">
        <v>88162</v>
      </c>
      <c r="CA22" s="121" t="n">
        <v>0.54</v>
      </c>
      <c r="CB22" s="121" t="n"/>
      <c r="CC22" s="122" t="n">
        <v>91365</v>
      </c>
      <c r="CD22" s="121" t="n">
        <v>0.76</v>
      </c>
      <c r="CE22" s="122" t="n">
        <v>92957</v>
      </c>
      <c r="CF22" s="121" t="n">
        <v>0.74</v>
      </c>
    </row>
    <row r="23">
      <c r="A23" s="117" t="inlineStr">
        <is>
          <t>2025年-6月陈倩扬</t>
        </is>
      </c>
      <c r="B23" s="107" t="n"/>
      <c r="C23" s="108" t="n"/>
      <c r="D23" s="108" t="n"/>
      <c r="E23" s="108" t="n"/>
      <c r="F23" s="108" t="n"/>
      <c r="G23" s="108" t="n"/>
      <c r="H23" s="121" t="n"/>
      <c r="I23" s="122" t="n">
        <v>5499</v>
      </c>
      <c r="J23" s="122" t="n">
        <v>4609</v>
      </c>
      <c r="K23" s="121" t="n">
        <v>550</v>
      </c>
      <c r="L23" s="121" t="n">
        <v>10</v>
      </c>
      <c r="M23" s="121" t="n">
        <v>3</v>
      </c>
      <c r="N23" s="121" t="n">
        <v>3</v>
      </c>
      <c r="O23" s="121" t="n">
        <v>3</v>
      </c>
      <c r="P23" s="121" t="n">
        <v>3</v>
      </c>
      <c r="Q23" s="121" t="n">
        <v>8</v>
      </c>
      <c r="R23" s="121" t="n">
        <v>2</v>
      </c>
      <c r="S23" s="121" t="n">
        <v>5</v>
      </c>
      <c r="T23" s="122" t="n">
        <v>9776</v>
      </c>
      <c r="U23" s="122" t="n">
        <v>21340</v>
      </c>
      <c r="V23" s="123" t="n">
        <v>1</v>
      </c>
      <c r="W23" s="122" t="n">
        <v>4268</v>
      </c>
      <c r="X23" s="123" t="n">
        <v>0.3</v>
      </c>
      <c r="Y23" s="123" t="n">
        <v>1</v>
      </c>
      <c r="Z23" s="123" t="n">
        <v>0.3</v>
      </c>
      <c r="AA23" s="123" t="n">
        <v>1</v>
      </c>
      <c r="AB23" s="123" t="n">
        <v>1</v>
      </c>
      <c r="AC23" s="123" t="n">
        <v>0.667</v>
      </c>
      <c r="AD23" s="123" t="n">
        <v>0.2</v>
      </c>
      <c r="AE23" s="123" t="n">
        <v>0.5</v>
      </c>
      <c r="AF23" s="122" t="n">
        <v>9378</v>
      </c>
      <c r="AG23" s="121" t="n">
        <v>2.28</v>
      </c>
      <c r="AH23" s="121" t="n">
        <v>8</v>
      </c>
      <c r="AI23" s="121" t="n">
        <v>8</v>
      </c>
      <c r="AJ23" s="121" t="n">
        <v>9</v>
      </c>
      <c r="AK23" s="121" t="n">
        <v>624</v>
      </c>
      <c r="AL23" s="121" t="n">
        <v>337</v>
      </c>
      <c r="AM23" s="122" t="n">
        <v>2060</v>
      </c>
      <c r="AN23" s="121" t="n">
        <v>81</v>
      </c>
      <c r="AO23" s="121" t="n">
        <v>777</v>
      </c>
      <c r="AP23" s="121" t="n">
        <v>0</v>
      </c>
      <c r="AQ23" s="121" t="n">
        <v>0</v>
      </c>
      <c r="AR23" s="121" t="n">
        <v>0</v>
      </c>
      <c r="AS23" s="121" t="n">
        <v>0</v>
      </c>
      <c r="AT23" s="121" t="n">
        <v>0</v>
      </c>
      <c r="AU23" s="121" t="n">
        <v>0</v>
      </c>
      <c r="AV23" s="121" t="n">
        <v>0</v>
      </c>
      <c r="AW23" s="121" t="n">
        <v>0</v>
      </c>
      <c r="AX23" s="121" t="n">
        <v>0</v>
      </c>
      <c r="AY23" s="121" t="n">
        <v>0</v>
      </c>
      <c r="AZ23" s="121" t="n"/>
      <c r="BA23" s="121" t="n"/>
      <c r="BB23" s="121" t="n"/>
      <c r="BC23" s="121" t="n"/>
      <c r="BD23" s="121" t="n"/>
      <c r="BE23" s="121" t="n"/>
      <c r="BF23" s="121" t="n"/>
      <c r="BG23" s="121" t="n"/>
      <c r="BH23" s="121" t="n"/>
      <c r="BI23" s="121" t="n"/>
      <c r="BJ23" s="121" t="n">
        <v>0</v>
      </c>
      <c r="BK23" s="121" t="n">
        <v>0</v>
      </c>
      <c r="BL23" s="121" t="n">
        <v>0</v>
      </c>
      <c r="BM23" s="121" t="n">
        <v>0</v>
      </c>
      <c r="BN23" s="121" t="n">
        <v>0</v>
      </c>
      <c r="BO23" s="121" t="n">
        <v>0</v>
      </c>
      <c r="BP23" s="121" t="n">
        <v>0</v>
      </c>
      <c r="BQ23" s="121" t="n">
        <v>0</v>
      </c>
      <c r="BR23" s="122" t="n">
        <v>9776</v>
      </c>
      <c r="BS23" s="122" t="n">
        <v>21340</v>
      </c>
      <c r="BT23" s="123" t="n">
        <v>1</v>
      </c>
      <c r="BU23" s="122" t="n">
        <v>3530</v>
      </c>
      <c r="BV23" s="122" t="n">
        <v>1896</v>
      </c>
      <c r="BW23" s="121" t="n">
        <v>736</v>
      </c>
      <c r="BX23" s="122" t="n">
        <v>5499</v>
      </c>
      <c r="BY23" s="122" t="n">
        <v>4965</v>
      </c>
      <c r="BZ23" s="122" t="n">
        <v>7597</v>
      </c>
      <c r="CA23" s="121" t="n">
        <v>1.29</v>
      </c>
      <c r="CB23" s="121" t="n">
        <v>890</v>
      </c>
      <c r="CC23" s="122" t="n">
        <v>9765</v>
      </c>
      <c r="CD23" s="121" t="n">
        <v>2.19</v>
      </c>
      <c r="CE23" s="122" t="n">
        <v>9929</v>
      </c>
      <c r="CF23" s="121" t="n">
        <v>2.15</v>
      </c>
    </row>
    <row r="24">
      <c r="A24" s="116" t="inlineStr">
        <is>
          <t>陈倩扬-汇总</t>
        </is>
      </c>
      <c r="B24" s="107" t="n"/>
      <c r="C24" s="108" t="n"/>
      <c r="D24" s="108" t="n"/>
      <c r="E24" s="108" t="n"/>
      <c r="F24" s="108" t="n"/>
      <c r="G24" s="108" t="n"/>
      <c r="H24" s="121" t="n"/>
      <c r="I24" s="122" t="n">
        <v>216321</v>
      </c>
      <c r="J24" s="122" t="n">
        <v>215431</v>
      </c>
      <c r="K24" s="121" t="n">
        <v>673</v>
      </c>
      <c r="L24" s="121" t="n">
        <v>320</v>
      </c>
      <c r="M24" s="121" t="n">
        <v>159</v>
      </c>
      <c r="N24" s="121" t="n">
        <v>163</v>
      </c>
      <c r="O24" s="121" t="n">
        <v>173</v>
      </c>
      <c r="P24" s="121" t="n">
        <v>137</v>
      </c>
      <c r="Q24" s="121" t="n">
        <v>157</v>
      </c>
      <c r="R24" s="121" t="n">
        <v>51</v>
      </c>
      <c r="S24" s="121" t="n">
        <v>64</v>
      </c>
      <c r="T24" s="122" t="n">
        <v>238249</v>
      </c>
      <c r="U24" s="122" t="n">
        <v>292684</v>
      </c>
      <c r="V24" s="121" t="n"/>
      <c r="W24" s="122" t="n">
        <v>4573</v>
      </c>
      <c r="X24" s="123" t="n">
        <v>0.4969</v>
      </c>
      <c r="Y24" s="123" t="n">
        <v>1.0881</v>
      </c>
      <c r="Z24" s="123" t="n">
        <v>0.5406</v>
      </c>
      <c r="AA24" s="123" t="n">
        <v>0.7919</v>
      </c>
      <c r="AB24" s="123" t="n">
        <v>0.9554</v>
      </c>
      <c r="AC24" s="123" t="n">
        <v>0.3723</v>
      </c>
      <c r="AD24" s="123" t="n">
        <v>0.1594</v>
      </c>
      <c r="AE24" s="123" t="n">
        <v>0.2</v>
      </c>
      <c r="AF24" s="122" t="n">
        <v>306458</v>
      </c>
      <c r="AG24" s="121" t="n">
        <v>0.96</v>
      </c>
      <c r="AH24" s="121" t="n">
        <v>165</v>
      </c>
      <c r="AI24" s="121" t="n">
        <v>157</v>
      </c>
      <c r="AJ24" s="121" t="n">
        <v>175</v>
      </c>
      <c r="AK24" s="122" t="n">
        <v>26451</v>
      </c>
      <c r="AL24" s="122" t="n">
        <v>18756</v>
      </c>
      <c r="AM24" s="122" t="n">
        <v>27771</v>
      </c>
      <c r="AN24" s="122" t="n">
        <v>2532</v>
      </c>
      <c r="AO24" s="122" t="n">
        <v>14627</v>
      </c>
      <c r="AP24" s="121" t="n">
        <v>0</v>
      </c>
      <c r="AQ24" s="121" t="n">
        <v>0</v>
      </c>
      <c r="AR24" s="121" t="n"/>
      <c r="AS24" s="121" t="n">
        <v>0</v>
      </c>
      <c r="AT24" s="121" t="n">
        <v>0</v>
      </c>
      <c r="AU24" s="121" t="n">
        <v>0</v>
      </c>
      <c r="AV24" s="121" t="n">
        <v>0</v>
      </c>
      <c r="AW24" s="121" t="n">
        <v>0</v>
      </c>
      <c r="AX24" s="121" t="n">
        <v>0</v>
      </c>
      <c r="AY24" s="121" t="n">
        <v>0</v>
      </c>
      <c r="AZ24" s="121" t="n"/>
      <c r="BA24" s="121" t="e">
        <v>#DIV/0!</v>
      </c>
      <c r="BB24" s="121" t="e">
        <v>#DIV/0!</v>
      </c>
      <c r="BC24" s="121" t="e">
        <v>#DIV/0!</v>
      </c>
      <c r="BD24" s="121" t="e">
        <v>#DIV/0!</v>
      </c>
      <c r="BE24" s="121" t="e">
        <v>#DIV/0!</v>
      </c>
      <c r="BF24" s="121" t="e">
        <v>#DIV/0!</v>
      </c>
      <c r="BG24" s="121" t="e">
        <v>#DIV/0!</v>
      </c>
      <c r="BH24" s="121" t="e">
        <v>#DIV/0!</v>
      </c>
      <c r="BI24" s="121" t="e">
        <v>#DIV/0!</v>
      </c>
      <c r="BJ24" s="121" t="n">
        <v>0</v>
      </c>
      <c r="BK24" s="121" t="n">
        <v>0</v>
      </c>
      <c r="BL24" s="121" t="n">
        <v>0</v>
      </c>
      <c r="BM24" s="121" t="n">
        <v>0</v>
      </c>
      <c r="BN24" s="121" t="n">
        <v>0</v>
      </c>
      <c r="BO24" s="121" t="n">
        <v>0</v>
      </c>
      <c r="BP24" s="121" t="n">
        <v>0</v>
      </c>
      <c r="BQ24" s="121" t="n">
        <v>0</v>
      </c>
      <c r="BR24" s="122" t="n">
        <v>238249</v>
      </c>
      <c r="BS24" s="122" t="n">
        <v>292684</v>
      </c>
      <c r="BT24" s="121" t="n"/>
      <c r="BU24" s="122" t="n">
        <v>64536</v>
      </c>
      <c r="BV24" s="122" t="n">
        <v>56540</v>
      </c>
      <c r="BW24" s="122" t="n">
        <v>26854</v>
      </c>
      <c r="BX24" s="122" t="n">
        <v>216321</v>
      </c>
      <c r="BY24" s="122" t="n">
        <v>215787</v>
      </c>
      <c r="BZ24" s="122" t="n">
        <v>299181</v>
      </c>
      <c r="CA24" s="121" t="n">
        <v>0.8</v>
      </c>
      <c r="CB24" s="121" t="n">
        <v>890</v>
      </c>
      <c r="CC24" s="122" t="n">
        <v>307711</v>
      </c>
      <c r="CD24" s="121" t="n">
        <v>0.95</v>
      </c>
      <c r="CE24" s="122" t="n">
        <v>305232</v>
      </c>
      <c r="CF24" s="121" t="n">
        <v>0.96</v>
      </c>
    </row>
    <row r="25">
      <c r="A25" s="116" t="inlineStr">
        <is>
          <t>2025年-3月孙慧雪</t>
        </is>
      </c>
      <c r="B25" s="107" t="n"/>
      <c r="C25" s="108" t="inlineStr">
        <is>
          <t>孙慧雪</t>
        </is>
      </c>
      <c r="D25" s="108" t="inlineStr">
        <is>
          <t>KOLHK-香港-孙慧雪-Shukei-思维&amp;无</t>
        </is>
      </c>
      <c r="E25" s="108" t="inlineStr">
        <is>
          <t>思维</t>
        </is>
      </c>
      <c r="F25" s="108" t="inlineStr">
        <is>
          <t>-</t>
        </is>
      </c>
      <c r="G25" s="108" t="inlineStr">
        <is>
          <t>CPT</t>
        </is>
      </c>
      <c r="H25" s="121" t="n"/>
      <c r="I25" s="122" t="n">
        <v>107007</v>
      </c>
      <c r="J25" s="122" t="n">
        <v>107007</v>
      </c>
      <c r="K25" s="121" t="n">
        <v>442</v>
      </c>
      <c r="L25" s="121" t="n">
        <v>242</v>
      </c>
      <c r="M25" s="121" t="n">
        <v>129</v>
      </c>
      <c r="N25" s="121" t="n">
        <v>129</v>
      </c>
      <c r="O25" s="121" t="n">
        <v>140</v>
      </c>
      <c r="P25" s="121" t="n">
        <v>113</v>
      </c>
      <c r="Q25" s="121" t="n">
        <v>113</v>
      </c>
      <c r="R25" s="121" t="n">
        <v>42</v>
      </c>
      <c r="S25" s="121" t="n">
        <v>42</v>
      </c>
      <c r="T25" s="122" t="n">
        <v>195996</v>
      </c>
      <c r="U25" s="122" t="n">
        <v>195996</v>
      </c>
      <c r="V25" s="123" t="n">
        <v>1</v>
      </c>
      <c r="W25" s="122" t="n">
        <v>4667</v>
      </c>
      <c r="X25" s="123" t="n">
        <v>0.533</v>
      </c>
      <c r="Y25" s="123" t="n">
        <v>1.085</v>
      </c>
      <c r="Z25" s="123" t="n">
        <v>0.579</v>
      </c>
      <c r="AA25" s="123" t="n">
        <v>0.8070000000000001</v>
      </c>
      <c r="AB25" s="123" t="n">
        <v>0.966</v>
      </c>
      <c r="AC25" s="123" t="n">
        <v>0.372</v>
      </c>
      <c r="AD25" s="123" t="n">
        <v>0.174</v>
      </c>
      <c r="AE25" s="123" t="n">
        <v>0.174</v>
      </c>
      <c r="AF25" s="122" t="n">
        <v>171279</v>
      </c>
      <c r="AG25" s="121" t="n">
        <v>1.14</v>
      </c>
      <c r="AH25" s="121" t="n">
        <v>117</v>
      </c>
      <c r="AI25" s="121" t="n">
        <v>113</v>
      </c>
      <c r="AJ25" s="121" t="n">
        <v>117</v>
      </c>
      <c r="AK25" s="122" t="n">
        <v>21631</v>
      </c>
      <c r="AL25" s="122" t="n">
        <v>12753</v>
      </c>
      <c r="AM25" s="122" t="n">
        <v>18763</v>
      </c>
      <c r="AN25" s="122" t="n">
        <v>1629</v>
      </c>
      <c r="AO25" s="122" t="n">
        <v>9497</v>
      </c>
      <c r="AP25" s="121" t="n">
        <v>0</v>
      </c>
      <c r="AQ25" s="121" t="n">
        <v>0</v>
      </c>
      <c r="AR25" s="121" t="n">
        <v>0</v>
      </c>
      <c r="AS25" s="121" t="n">
        <v>0</v>
      </c>
      <c r="AT25" s="121" t="n">
        <v>0</v>
      </c>
      <c r="AU25" s="121" t="n">
        <v>0</v>
      </c>
      <c r="AV25" s="121" t="n">
        <v>0</v>
      </c>
      <c r="AW25" s="121" t="n">
        <v>0</v>
      </c>
      <c r="AX25" s="121" t="n">
        <v>0</v>
      </c>
      <c r="AY25" s="121" t="n">
        <v>0</v>
      </c>
      <c r="AZ25" s="121" t="n"/>
      <c r="BA25" s="121" t="n"/>
      <c r="BB25" s="121" t="n"/>
      <c r="BC25" s="121" t="n"/>
      <c r="BD25" s="121" t="n"/>
      <c r="BE25" s="121" t="n"/>
      <c r="BF25" s="121" t="n"/>
      <c r="BG25" s="121" t="n"/>
      <c r="BH25" s="121" t="n"/>
      <c r="BI25" s="121" t="n"/>
      <c r="BJ25" s="121" t="n">
        <v>0</v>
      </c>
      <c r="BK25" s="121" t="n">
        <v>0</v>
      </c>
      <c r="BL25" s="121" t="n">
        <v>0</v>
      </c>
      <c r="BM25" s="121" t="n">
        <v>0</v>
      </c>
      <c r="BN25" s="121" t="n">
        <v>0</v>
      </c>
      <c r="BO25" s="121" t="n">
        <v>0</v>
      </c>
      <c r="BP25" s="121" t="n">
        <v>0</v>
      </c>
      <c r="BQ25" s="121" t="n">
        <v>0</v>
      </c>
      <c r="BR25" s="122" t="n">
        <v>195996</v>
      </c>
      <c r="BS25" s="122" t="n">
        <v>195996</v>
      </c>
      <c r="BT25" s="123" t="n">
        <v>1</v>
      </c>
      <c r="BU25" s="122" t="n">
        <v>42730</v>
      </c>
      <c r="BV25" s="122" t="n">
        <v>42730</v>
      </c>
      <c r="BW25" s="122" t="n">
        <v>21712</v>
      </c>
      <c r="BX25" s="122" t="n">
        <v>107007</v>
      </c>
      <c r="BY25" s="122" t="n">
        <v>107007</v>
      </c>
      <c r="BZ25" s="122" t="n">
        <v>171449</v>
      </c>
      <c r="CA25" s="121" t="n">
        <v>1.14</v>
      </c>
      <c r="CB25" s="121" t="n"/>
      <c r="CC25" s="122" t="n">
        <v>171449</v>
      </c>
      <c r="CD25" s="121" t="n">
        <v>1.14</v>
      </c>
      <c r="CE25" s="122" t="n">
        <v>167962</v>
      </c>
      <c r="CF25" s="121" t="n">
        <v>1.17</v>
      </c>
    </row>
    <row r="26">
      <c r="A26" s="116" t="inlineStr">
        <is>
          <t>2025年-4月孙慧雪</t>
        </is>
      </c>
      <c r="B26" s="107" t="n"/>
      <c r="C26" s="108" t="n"/>
      <c r="D26" s="108" t="n"/>
      <c r="E26" s="108" t="n"/>
      <c r="F26" s="108" t="n"/>
      <c r="G26" s="124" t="n"/>
      <c r="H26" s="116" t="n"/>
      <c r="I26" s="125" t="n">
        <v>80325</v>
      </c>
      <c r="J26" s="125" t="n">
        <v>80325</v>
      </c>
      <c r="K26" s="116" t="n">
        <v>893</v>
      </c>
      <c r="L26" s="116" t="n">
        <v>90</v>
      </c>
      <c r="M26" s="116" t="n">
        <v>48</v>
      </c>
      <c r="N26" s="116" t="n">
        <v>50</v>
      </c>
      <c r="O26" s="116" t="n">
        <v>48</v>
      </c>
      <c r="P26" s="116" t="n">
        <v>35</v>
      </c>
      <c r="Q26" s="116" t="n">
        <v>45</v>
      </c>
      <c r="R26" s="116" t="n">
        <v>14</v>
      </c>
      <c r="S26" s="116" t="n">
        <v>20</v>
      </c>
      <c r="T26" s="125" t="n">
        <v>58432</v>
      </c>
      <c r="U26" s="125" t="n">
        <v>80360</v>
      </c>
      <c r="V26" s="126" t="n">
        <v>1</v>
      </c>
      <c r="W26" s="125" t="n">
        <v>4018</v>
      </c>
      <c r="X26" s="126" t="n">
        <v>0.533</v>
      </c>
      <c r="Y26" s="126" t="n">
        <v>1</v>
      </c>
      <c r="Z26" s="126" t="n">
        <v>0.533</v>
      </c>
      <c r="AA26" s="126" t="n">
        <v>0.729</v>
      </c>
      <c r="AB26" s="126" t="n">
        <v>0.918</v>
      </c>
      <c r="AC26" s="126" t="n">
        <v>0.4</v>
      </c>
      <c r="AD26" s="126" t="n">
        <v>0.156</v>
      </c>
      <c r="AE26" s="126" t="n">
        <v>0.222</v>
      </c>
      <c r="AF26" s="125" t="n">
        <v>109747</v>
      </c>
      <c r="AG26" s="116" t="n">
        <v>0.73</v>
      </c>
      <c r="AH26" s="116" t="n">
        <v>49</v>
      </c>
      <c r="AI26" s="116" t="n">
        <v>45</v>
      </c>
      <c r="AJ26" s="116" t="n">
        <v>47</v>
      </c>
      <c r="AK26" s="125" t="n">
        <v>9968</v>
      </c>
      <c r="AL26" s="125" t="n">
        <v>7406</v>
      </c>
      <c r="AM26" s="125" t="n">
        <v>7205</v>
      </c>
      <c r="AN26" s="116" t="n">
        <v>890</v>
      </c>
      <c r="AO26" s="125" t="n">
        <v>3953</v>
      </c>
      <c r="AP26" s="116" t="n">
        <v>0</v>
      </c>
      <c r="AQ26" s="116" t="n">
        <v>0</v>
      </c>
      <c r="AR26" s="116" t="n">
        <v>0</v>
      </c>
      <c r="AS26" s="116" t="n">
        <v>0</v>
      </c>
      <c r="AT26" s="116" t="n">
        <v>0</v>
      </c>
      <c r="AU26" s="116" t="n">
        <v>0</v>
      </c>
      <c r="AV26" s="116" t="n">
        <v>0</v>
      </c>
      <c r="AW26" s="116" t="n">
        <v>0</v>
      </c>
      <c r="AX26" s="116" t="n">
        <v>0</v>
      </c>
      <c r="AY26" s="116" t="n">
        <v>0</v>
      </c>
      <c r="AZ26" s="116" t="n"/>
      <c r="BA26" s="116" t="n"/>
      <c r="BB26" s="116" t="n"/>
      <c r="BC26" s="116" t="n"/>
      <c r="BD26" s="116" t="n"/>
      <c r="BE26" s="116" t="n"/>
      <c r="BF26" s="116" t="n"/>
      <c r="BG26" s="116" t="n"/>
      <c r="BH26" s="116" t="n"/>
      <c r="BI26" s="116" t="n"/>
      <c r="BJ26" s="116" t="n">
        <v>0</v>
      </c>
      <c r="BK26" s="116" t="n">
        <v>0</v>
      </c>
      <c r="BL26" s="116" t="n">
        <v>0</v>
      </c>
      <c r="BM26" s="116" t="n">
        <v>0</v>
      </c>
      <c r="BN26" s="116" t="n">
        <v>0</v>
      </c>
      <c r="BO26" s="116" t="n">
        <v>0</v>
      </c>
      <c r="BP26" s="116" t="n">
        <v>0</v>
      </c>
      <c r="BQ26" s="116" t="n">
        <v>0</v>
      </c>
      <c r="BR26" s="125" t="n">
        <v>58432</v>
      </c>
      <c r="BS26" s="125" t="n">
        <v>80360</v>
      </c>
      <c r="BT26" s="126" t="n">
        <v>1</v>
      </c>
      <c r="BU26" s="125" t="n">
        <v>19555</v>
      </c>
      <c r="BV26" s="125" t="n">
        <v>16350</v>
      </c>
      <c r="BW26" s="125" t="n">
        <v>9968</v>
      </c>
      <c r="BX26" s="125" t="n">
        <v>80325</v>
      </c>
      <c r="BY26" s="125" t="n">
        <v>80325</v>
      </c>
      <c r="BZ26" s="125" t="n">
        <v>106644</v>
      </c>
      <c r="CA26" s="116" t="n">
        <v>0.55</v>
      </c>
      <c r="CB26" s="116" t="n"/>
      <c r="CC26" s="125" t="n">
        <v>109849</v>
      </c>
      <c r="CD26" s="116" t="n">
        <v>0.73</v>
      </c>
      <c r="CE26" s="127" t="n">
        <v>106631</v>
      </c>
      <c r="CF26" s="128" t="n">
        <v>0.75</v>
      </c>
    </row>
    <row r="27">
      <c r="A27" s="116" t="inlineStr">
        <is>
          <t>2025年-5月孙慧雪</t>
        </is>
      </c>
      <c r="B27" s="107" t="n"/>
      <c r="C27" s="108" t="n"/>
      <c r="D27" s="108" t="n"/>
      <c r="E27" s="108" t="n"/>
      <c r="F27" s="108" t="n"/>
      <c r="G27" s="124" t="n"/>
      <c r="H27" s="116" t="n"/>
      <c r="I27" s="125" t="n">
        <v>131099</v>
      </c>
      <c r="J27" s="125" t="n">
        <v>131099</v>
      </c>
      <c r="K27" s="116" t="n">
        <v>851</v>
      </c>
      <c r="L27" s="116" t="n">
        <v>154</v>
      </c>
      <c r="M27" s="116" t="n">
        <v>63</v>
      </c>
      <c r="N27" s="116" t="n">
        <v>68</v>
      </c>
      <c r="O27" s="116" t="n">
        <v>68</v>
      </c>
      <c r="P27" s="116" t="n">
        <v>59</v>
      </c>
      <c r="Q27" s="116" t="n">
        <v>68</v>
      </c>
      <c r="R27" s="116" t="n">
        <v>25</v>
      </c>
      <c r="S27" s="116" t="n">
        <v>26</v>
      </c>
      <c r="T27" s="125" t="n">
        <v>120500</v>
      </c>
      <c r="U27" s="125" t="n">
        <v>124088</v>
      </c>
      <c r="V27" s="126" t="n">
        <v>1</v>
      </c>
      <c r="W27" s="125" t="n">
        <v>4773</v>
      </c>
      <c r="X27" s="126" t="n">
        <v>0.409</v>
      </c>
      <c r="Y27" s="126" t="n">
        <v>1.079</v>
      </c>
      <c r="Z27" s="126" t="n">
        <v>0.442</v>
      </c>
      <c r="AA27" s="126" t="n">
        <v>0.868</v>
      </c>
      <c r="AB27" s="126" t="n">
        <v>0.971</v>
      </c>
      <c r="AC27" s="126" t="n">
        <v>0.424</v>
      </c>
      <c r="AD27" s="126" t="n">
        <v>0.162</v>
      </c>
      <c r="AE27" s="126" t="n">
        <v>0.169</v>
      </c>
      <c r="AF27" s="125" t="n">
        <v>167935</v>
      </c>
      <c r="AG27" s="116" t="n">
        <v>0.74</v>
      </c>
      <c r="AH27" s="116" t="n">
        <v>70</v>
      </c>
      <c r="AI27" s="116" t="n">
        <v>68</v>
      </c>
      <c r="AJ27" s="116" t="n">
        <v>74</v>
      </c>
      <c r="AK27" s="125" t="n">
        <v>8731</v>
      </c>
      <c r="AL27" s="125" t="n">
        <v>8345</v>
      </c>
      <c r="AM27" s="125" t="n">
        <v>11900</v>
      </c>
      <c r="AN27" s="125" t="n">
        <v>1432</v>
      </c>
      <c r="AO27" s="125" t="n">
        <v>6428</v>
      </c>
      <c r="AP27" s="116" t="n">
        <v>0</v>
      </c>
      <c r="AQ27" s="116" t="n">
        <v>0</v>
      </c>
      <c r="AR27" s="116" t="n">
        <v>0</v>
      </c>
      <c r="AS27" s="116" t="n">
        <v>0</v>
      </c>
      <c r="AT27" s="116" t="n">
        <v>0</v>
      </c>
      <c r="AU27" s="116" t="n">
        <v>0</v>
      </c>
      <c r="AV27" s="116" t="n">
        <v>0</v>
      </c>
      <c r="AW27" s="116" t="n">
        <v>0</v>
      </c>
      <c r="AX27" s="116" t="n">
        <v>0</v>
      </c>
      <c r="AY27" s="116" t="n">
        <v>0</v>
      </c>
      <c r="AZ27" s="116" t="n"/>
      <c r="BA27" s="116" t="n"/>
      <c r="BB27" s="116" t="n"/>
      <c r="BC27" s="116" t="n"/>
      <c r="BD27" s="116" t="n"/>
      <c r="BE27" s="116" t="n"/>
      <c r="BF27" s="116" t="n"/>
      <c r="BG27" s="116" t="n"/>
      <c r="BH27" s="116" t="n"/>
      <c r="BI27" s="116" t="n"/>
      <c r="BJ27" s="116" t="n">
        <v>0</v>
      </c>
      <c r="BK27" s="116" t="n">
        <v>0</v>
      </c>
      <c r="BL27" s="116" t="n">
        <v>0</v>
      </c>
      <c r="BM27" s="116" t="n">
        <v>0</v>
      </c>
      <c r="BN27" s="116" t="n">
        <v>0</v>
      </c>
      <c r="BO27" s="116" t="n">
        <v>0</v>
      </c>
      <c r="BP27" s="116" t="n">
        <v>0</v>
      </c>
      <c r="BQ27" s="116" t="n">
        <v>0</v>
      </c>
      <c r="BR27" s="125" t="n">
        <v>120500</v>
      </c>
      <c r="BS27" s="125" t="n">
        <v>124088</v>
      </c>
      <c r="BT27" s="126" t="n">
        <v>1</v>
      </c>
      <c r="BU27" s="125" t="n">
        <v>28105</v>
      </c>
      <c r="BV27" s="125" t="n">
        <v>26366</v>
      </c>
      <c r="BW27" s="125" t="n">
        <v>8731</v>
      </c>
      <c r="BX27" s="125" t="n">
        <v>131099</v>
      </c>
      <c r="BY27" s="125" t="n">
        <v>131099</v>
      </c>
      <c r="BZ27" s="125" t="n">
        <v>166196</v>
      </c>
      <c r="CA27" s="116" t="n">
        <v>0.73</v>
      </c>
      <c r="CB27" s="116" t="n"/>
      <c r="CC27" s="125" t="n">
        <v>167935</v>
      </c>
      <c r="CD27" s="116" t="n">
        <v>0.74</v>
      </c>
      <c r="CE27" s="127" t="n">
        <v>170754</v>
      </c>
      <c r="CF27" s="128" t="n">
        <v>0.73</v>
      </c>
    </row>
    <row r="28">
      <c r="A28" s="116" t="inlineStr">
        <is>
          <t>2025年-6月孙慧雪</t>
        </is>
      </c>
      <c r="B28" s="107" t="n"/>
      <c r="C28" s="108" t="n"/>
      <c r="D28" s="108" t="n"/>
      <c r="E28" s="108" t="n"/>
      <c r="F28" s="108" t="n"/>
      <c r="G28" s="124" t="n"/>
      <c r="H28" s="116" t="n"/>
      <c r="I28" s="125" t="n">
        <v>47816</v>
      </c>
      <c r="J28" s="125" t="n">
        <v>45304</v>
      </c>
      <c r="K28" s="116" t="n">
        <v>850</v>
      </c>
      <c r="L28" s="116" t="n">
        <v>56</v>
      </c>
      <c r="M28" s="116" t="n">
        <v>27</v>
      </c>
      <c r="N28" s="116" t="n">
        <v>29</v>
      </c>
      <c r="O28" s="116" t="n">
        <v>29</v>
      </c>
      <c r="P28" s="116" t="n">
        <v>22</v>
      </c>
      <c r="Q28" s="116" t="n">
        <v>31</v>
      </c>
      <c r="R28" s="116" t="n">
        <v>9</v>
      </c>
      <c r="S28" s="116" t="n">
        <v>13</v>
      </c>
      <c r="T28" s="125" t="n">
        <v>50492</v>
      </c>
      <c r="U28" s="125" t="n">
        <v>67344</v>
      </c>
      <c r="V28" s="126" t="n">
        <v>1</v>
      </c>
      <c r="W28" s="125" t="n">
        <v>5180</v>
      </c>
      <c r="X28" s="126" t="n">
        <v>0.482</v>
      </c>
      <c r="Y28" s="126" t="n">
        <v>1.074</v>
      </c>
      <c r="Z28" s="126" t="n">
        <v>0.518</v>
      </c>
      <c r="AA28" s="126" t="n">
        <v>0.759</v>
      </c>
      <c r="AB28" s="126" t="n">
        <v>1</v>
      </c>
      <c r="AC28" s="126" t="n">
        <v>0.409</v>
      </c>
      <c r="AD28" s="126" t="n">
        <v>0.161</v>
      </c>
      <c r="AE28" s="126" t="n">
        <v>0.232</v>
      </c>
      <c r="AF28" s="125" t="n">
        <v>64519</v>
      </c>
      <c r="AG28" s="116" t="n">
        <v>1.04</v>
      </c>
      <c r="AH28" s="116" t="n">
        <v>31</v>
      </c>
      <c r="AI28" s="116" t="n">
        <v>31</v>
      </c>
      <c r="AJ28" s="116" t="n">
        <v>37</v>
      </c>
      <c r="AK28" s="125" t="n">
        <v>3493</v>
      </c>
      <c r="AL28" s="125" t="n">
        <v>3259</v>
      </c>
      <c r="AM28" s="125" t="n">
        <v>6501</v>
      </c>
      <c r="AN28" s="116" t="n">
        <v>452</v>
      </c>
      <c r="AO28" s="125" t="n">
        <v>3195</v>
      </c>
      <c r="AP28" s="116" t="n">
        <v>20</v>
      </c>
      <c r="AQ28" s="116" t="n">
        <v>9</v>
      </c>
      <c r="AR28" s="116" t="n">
        <v>9</v>
      </c>
      <c r="AS28" s="116" t="n">
        <v>9</v>
      </c>
      <c r="AT28" s="116" t="n">
        <v>5</v>
      </c>
      <c r="AU28" s="116" t="n">
        <v>5</v>
      </c>
      <c r="AV28" s="116" t="n">
        <v>2</v>
      </c>
      <c r="AW28" s="116" t="n">
        <v>2</v>
      </c>
      <c r="AX28" s="125" t="n">
        <v>7987</v>
      </c>
      <c r="AY28" s="116" t="n">
        <v>7987</v>
      </c>
      <c r="AZ28" s="126" t="n">
        <v>1</v>
      </c>
      <c r="BA28" s="116" t="n">
        <v>3994</v>
      </c>
      <c r="BB28" s="126" t="n">
        <v>0.45</v>
      </c>
      <c r="BC28" s="126" t="n">
        <v>1</v>
      </c>
      <c r="BD28" s="126" t="n">
        <v>0.45</v>
      </c>
      <c r="BE28" s="126" t="n">
        <v>0.556</v>
      </c>
      <c r="BF28" s="126" t="n">
        <v>0.556</v>
      </c>
      <c r="BG28" s="126" t="n">
        <v>0.4</v>
      </c>
      <c r="BH28" s="126" t="n">
        <v>0.1</v>
      </c>
      <c r="BI28" s="126" t="n">
        <v>0.1</v>
      </c>
      <c r="BJ28" s="116" t="n">
        <v>9</v>
      </c>
      <c r="BK28" s="116" t="n">
        <v>5</v>
      </c>
      <c r="BL28" s="116" t="n">
        <v>7</v>
      </c>
      <c r="BM28" s="125" t="n">
        <v>1120</v>
      </c>
      <c r="BN28" s="116" t="n">
        <v>810</v>
      </c>
      <c r="BO28" s="116" t="n">
        <v>830</v>
      </c>
      <c r="BP28" s="116" t="n">
        <v>162</v>
      </c>
      <c r="BQ28" s="116" t="n">
        <v>553</v>
      </c>
      <c r="BR28" s="125" t="n">
        <v>58479</v>
      </c>
      <c r="BS28" s="125" t="n">
        <v>75331</v>
      </c>
      <c r="BT28" s="126" t="n">
        <v>1</v>
      </c>
      <c r="BU28" s="125" t="n">
        <v>15761</v>
      </c>
      <c r="BV28" s="125" t="n">
        <v>12874</v>
      </c>
      <c r="BW28" s="125" t="n">
        <v>4613</v>
      </c>
      <c r="BX28" s="125" t="n">
        <v>47816</v>
      </c>
      <c r="BY28" s="125" t="n">
        <v>47104</v>
      </c>
      <c r="BZ28" s="125" t="n">
        <v>64591</v>
      </c>
      <c r="CA28" s="116" t="n">
        <v>0.91</v>
      </c>
      <c r="CB28" s="125" t="n">
        <v>2512</v>
      </c>
      <c r="CC28" s="125" t="n">
        <v>68190</v>
      </c>
      <c r="CD28" s="116" t="n">
        <v>1.1</v>
      </c>
      <c r="CE28" s="127" t="n">
        <v>69278</v>
      </c>
      <c r="CF28" s="128" t="n">
        <v>1.09</v>
      </c>
    </row>
    <row r="29">
      <c r="A29" s="116" t="inlineStr">
        <is>
          <t>2025年-7月孙慧雪</t>
        </is>
      </c>
      <c r="B29" s="107" t="n"/>
      <c r="C29" s="108" t="n"/>
      <c r="D29" s="108" t="n"/>
      <c r="E29" s="108" t="n"/>
      <c r="F29" s="108" t="n"/>
      <c r="G29" s="124" t="n"/>
      <c r="H29" s="116" t="n"/>
      <c r="I29" s="125" t="n">
        <v>52997</v>
      </c>
      <c r="J29" s="125" t="n">
        <v>50605</v>
      </c>
      <c r="K29" s="116" t="n">
        <v>928</v>
      </c>
      <c r="L29" s="116" t="n">
        <v>57</v>
      </c>
      <c r="M29" s="116" t="n">
        <v>24</v>
      </c>
      <c r="N29" s="116" t="n">
        <v>29</v>
      </c>
      <c r="O29" s="116" t="n">
        <v>26</v>
      </c>
      <c r="P29" s="116" t="n">
        <v>20</v>
      </c>
      <c r="Q29" s="116" t="n">
        <v>32</v>
      </c>
      <c r="R29" s="116" t="n">
        <v>11</v>
      </c>
      <c r="S29" s="116" t="n">
        <v>13</v>
      </c>
      <c r="T29" s="125" t="n">
        <v>56968</v>
      </c>
      <c r="U29" s="125" t="n">
        <v>64144</v>
      </c>
      <c r="V29" s="126" t="n">
        <v>1</v>
      </c>
      <c r="W29" s="125" t="n">
        <v>4934</v>
      </c>
      <c r="X29" s="126" t="n">
        <v>0.421</v>
      </c>
      <c r="Y29" s="126" t="n">
        <v>1.083</v>
      </c>
      <c r="Z29" s="126" t="n">
        <v>0.456</v>
      </c>
      <c r="AA29" s="126" t="n">
        <v>0.769</v>
      </c>
      <c r="AB29" s="126" t="n">
        <v>0.914</v>
      </c>
      <c r="AC29" s="126" t="n">
        <v>0.55</v>
      </c>
      <c r="AD29" s="126" t="n">
        <v>0.193</v>
      </c>
      <c r="AE29" s="126" t="n">
        <v>0.228</v>
      </c>
      <c r="AF29" s="125" t="n">
        <v>68602</v>
      </c>
      <c r="AG29" s="116" t="n">
        <v>0.9399999999999999</v>
      </c>
      <c r="AH29" s="116" t="n">
        <v>35</v>
      </c>
      <c r="AI29" s="116" t="n">
        <v>32</v>
      </c>
      <c r="AJ29" s="116" t="n">
        <v>34</v>
      </c>
      <c r="AK29" s="125" t="n">
        <v>2508</v>
      </c>
      <c r="AL29" s="125" t="n">
        <v>3043</v>
      </c>
      <c r="AM29" s="125" t="n">
        <v>6568</v>
      </c>
      <c r="AN29" s="116" t="n">
        <v>587</v>
      </c>
      <c r="AO29" s="125" t="n">
        <v>2997</v>
      </c>
      <c r="AP29" s="116" t="n">
        <v>0</v>
      </c>
      <c r="AQ29" s="116" t="n">
        <v>0</v>
      </c>
      <c r="AR29" s="116" t="n">
        <v>1</v>
      </c>
      <c r="AS29" s="116" t="n">
        <v>0</v>
      </c>
      <c r="AT29" s="116" t="n">
        <v>0</v>
      </c>
      <c r="AU29" s="116" t="n">
        <v>1</v>
      </c>
      <c r="AV29" s="116" t="n">
        <v>0</v>
      </c>
      <c r="AW29" s="116" t="n">
        <v>1</v>
      </c>
      <c r="AX29" s="116" t="n">
        <v>0</v>
      </c>
      <c r="AY29" s="116" t="n">
        <v>1880</v>
      </c>
      <c r="AZ29" s="126" t="n">
        <v>1</v>
      </c>
      <c r="BA29" s="116" t="n">
        <v>1880</v>
      </c>
      <c r="BB29" s="116" t="n"/>
      <c r="BC29" s="116" t="n"/>
      <c r="BD29" s="116" t="n"/>
      <c r="BE29" s="116" t="n"/>
      <c r="BF29" s="126" t="n">
        <v>1</v>
      </c>
      <c r="BG29" s="116" t="n"/>
      <c r="BH29" s="116" t="n"/>
      <c r="BI29" s="116" t="n"/>
      <c r="BJ29" s="116" t="n">
        <v>1</v>
      </c>
      <c r="BK29" s="116" t="n">
        <v>1</v>
      </c>
      <c r="BL29" s="116" t="n">
        <v>1</v>
      </c>
      <c r="BM29" s="116" t="n">
        <v>0</v>
      </c>
      <c r="BN29" s="116" t="n">
        <v>95</v>
      </c>
      <c r="BO29" s="116" t="n">
        <v>197</v>
      </c>
      <c r="BP29" s="116" t="n">
        <v>0</v>
      </c>
      <c r="BQ29" s="116" t="n">
        <v>82</v>
      </c>
      <c r="BR29" s="125" t="n">
        <v>56968</v>
      </c>
      <c r="BS29" s="125" t="n">
        <v>66024</v>
      </c>
      <c r="BT29" s="126" t="n">
        <v>1</v>
      </c>
      <c r="BU29" s="125" t="n">
        <v>13569</v>
      </c>
      <c r="BV29" s="125" t="n">
        <v>10790</v>
      </c>
      <c r="BW29" s="125" t="n">
        <v>2508</v>
      </c>
      <c r="BX29" s="125" t="n">
        <v>52997</v>
      </c>
      <c r="BY29" s="125" t="n">
        <v>52546</v>
      </c>
      <c r="BZ29" s="125" t="n">
        <v>65844</v>
      </c>
      <c r="CA29" s="116" t="n">
        <v>0.87</v>
      </c>
      <c r="CB29" s="125" t="n">
        <v>2392</v>
      </c>
      <c r="CC29" s="125" t="n">
        <v>69075</v>
      </c>
      <c r="CD29" s="116" t="n">
        <v>0.96</v>
      </c>
      <c r="CE29" s="127" t="n">
        <v>70842</v>
      </c>
      <c r="CF29" s="128" t="n">
        <v>0.93</v>
      </c>
    </row>
    <row r="30">
      <c r="A30" s="116" t="inlineStr">
        <is>
          <t>2025年-8月孙慧雪</t>
        </is>
      </c>
      <c r="B30" s="107" t="n"/>
      <c r="C30" s="108" t="n"/>
      <c r="D30" s="108" t="n"/>
      <c r="E30" s="108" t="n"/>
      <c r="F30" s="108" t="n"/>
      <c r="G30" s="124" t="n"/>
      <c r="H30" s="116" t="n"/>
      <c r="I30" s="125" t="n">
        <v>17564</v>
      </c>
      <c r="J30" s="125" t="n">
        <v>16857</v>
      </c>
      <c r="K30" s="125" t="n">
        <v>1171</v>
      </c>
      <c r="L30" s="116" t="n">
        <v>15</v>
      </c>
      <c r="M30" s="116" t="n">
        <v>6</v>
      </c>
      <c r="N30" s="116" t="n">
        <v>9</v>
      </c>
      <c r="O30" s="116" t="n">
        <v>6</v>
      </c>
      <c r="P30" s="116" t="n">
        <v>6</v>
      </c>
      <c r="Q30" s="116" t="n">
        <v>14</v>
      </c>
      <c r="R30" s="116" t="n">
        <v>2</v>
      </c>
      <c r="S30" s="116" t="n">
        <v>4</v>
      </c>
      <c r="T30" s="125" t="n">
        <v>12176</v>
      </c>
      <c r="U30" s="125" t="n">
        <v>21852</v>
      </c>
      <c r="V30" s="126" t="n">
        <v>1</v>
      </c>
      <c r="W30" s="125" t="n">
        <v>5463</v>
      </c>
      <c r="X30" s="126" t="n">
        <v>0.4</v>
      </c>
      <c r="Y30" s="126" t="n">
        <v>1</v>
      </c>
      <c r="Z30" s="129" t="n">
        <v>0.4</v>
      </c>
      <c r="AA30" s="126" t="n">
        <v>1</v>
      </c>
      <c r="AB30" s="126" t="n">
        <v>1</v>
      </c>
      <c r="AC30" s="126" t="n">
        <v>0.333</v>
      </c>
      <c r="AD30" s="126" t="n">
        <v>0.133</v>
      </c>
      <c r="AE30" s="126" t="n">
        <v>0.267</v>
      </c>
      <c r="AF30" s="125" t="n">
        <v>23740</v>
      </c>
      <c r="AG30" s="116" t="n">
        <v>0.92</v>
      </c>
      <c r="AH30" s="116" t="n">
        <v>14</v>
      </c>
      <c r="AI30" s="116" t="n">
        <v>14</v>
      </c>
      <c r="AJ30" s="116" t="n">
        <v>15</v>
      </c>
      <c r="AK30" s="125" t="n">
        <v>1354</v>
      </c>
      <c r="AL30" s="125" t="n">
        <v>1112</v>
      </c>
      <c r="AM30" s="125" t="n">
        <v>2238</v>
      </c>
      <c r="AN30" s="116" t="n">
        <v>150</v>
      </c>
      <c r="AO30" s="125" t="n">
        <v>1322</v>
      </c>
      <c r="AP30" s="116" t="n">
        <v>0</v>
      </c>
      <c r="AQ30" s="116" t="n">
        <v>0</v>
      </c>
      <c r="AR30" s="116" t="n">
        <v>0</v>
      </c>
      <c r="AS30" s="116" t="n">
        <v>0</v>
      </c>
      <c r="AT30" s="116" t="n">
        <v>0</v>
      </c>
      <c r="AU30" s="116" t="n">
        <v>0</v>
      </c>
      <c r="AV30" s="116" t="n">
        <v>0</v>
      </c>
      <c r="AW30" s="116" t="n">
        <v>0</v>
      </c>
      <c r="AX30" s="116" t="n">
        <v>0</v>
      </c>
      <c r="AY30" s="116" t="n">
        <v>0</v>
      </c>
      <c r="AZ30" s="116" t="n"/>
      <c r="BA30" s="116" t="n"/>
      <c r="BB30" s="116" t="n"/>
      <c r="BC30" s="116" t="n"/>
      <c r="BD30" s="116" t="n"/>
      <c r="BE30" s="116" t="n"/>
      <c r="BF30" s="116" t="n"/>
      <c r="BG30" s="116" t="n"/>
      <c r="BH30" s="116" t="n"/>
      <c r="BI30" s="116" t="n"/>
      <c r="BJ30" s="116" t="n">
        <v>0</v>
      </c>
      <c r="BK30" s="116" t="n">
        <v>0</v>
      </c>
      <c r="BL30" s="116" t="n">
        <v>0</v>
      </c>
      <c r="BM30" s="116" t="n">
        <v>0</v>
      </c>
      <c r="BN30" s="116" t="n">
        <v>0</v>
      </c>
      <c r="BO30" s="116" t="n">
        <v>0</v>
      </c>
      <c r="BP30" s="116" t="n">
        <v>0</v>
      </c>
      <c r="BQ30" s="116" t="n">
        <v>0</v>
      </c>
      <c r="BR30" s="125" t="n">
        <v>12176</v>
      </c>
      <c r="BS30" s="125" t="n">
        <v>21852</v>
      </c>
      <c r="BT30" s="126" t="n">
        <v>1</v>
      </c>
      <c r="BU30" s="125" t="n">
        <v>4821</v>
      </c>
      <c r="BV30" s="125" t="n">
        <v>2667</v>
      </c>
      <c r="BW30" s="125" t="n">
        <v>1354</v>
      </c>
      <c r="BX30" s="125" t="n">
        <v>17564</v>
      </c>
      <c r="BY30" s="125" t="n">
        <v>17211</v>
      </c>
      <c r="BZ30" s="125" t="n">
        <v>21232</v>
      </c>
      <c r="CA30" s="116" t="n">
        <v>0.57</v>
      </c>
      <c r="CB30" s="116" t="n">
        <v>707</v>
      </c>
      <c r="CC30" s="125" t="n">
        <v>23740</v>
      </c>
      <c r="CD30" s="116" t="n">
        <v>0.92</v>
      </c>
      <c r="CE30" s="127" t="n">
        <v>23511</v>
      </c>
      <c r="CF30" s="128" t="n">
        <v>0.93</v>
      </c>
    </row>
    <row r="31">
      <c r="A31" s="116" t="inlineStr">
        <is>
          <t>孙慧雪-汇总</t>
        </is>
      </c>
      <c r="B31" s="107" t="n"/>
      <c r="C31" s="108" t="n"/>
      <c r="D31" s="108" t="inlineStr">
        <is>
          <t>总计</t>
        </is>
      </c>
      <c r="E31" s="108" t="inlineStr">
        <is>
          <t>-</t>
        </is>
      </c>
      <c r="F31" s="108" t="inlineStr">
        <is>
          <t>-</t>
        </is>
      </c>
      <c r="G31" s="124" t="inlineStr">
        <is>
          <t>-</t>
        </is>
      </c>
      <c r="H31" s="116" t="n"/>
      <c r="I31" s="125" t="n">
        <v>437511</v>
      </c>
      <c r="J31" s="125" t="n">
        <v>431721</v>
      </c>
      <c r="K31" s="116" t="n">
        <v>699</v>
      </c>
      <c r="L31" s="116" t="n">
        <v>618</v>
      </c>
      <c r="M31" s="116" t="n">
        <v>298</v>
      </c>
      <c r="N31" s="116" t="n">
        <v>315</v>
      </c>
      <c r="O31" s="116" t="n">
        <v>318</v>
      </c>
      <c r="P31" s="116" t="n">
        <v>256</v>
      </c>
      <c r="Q31" s="116" t="n">
        <v>305</v>
      </c>
      <c r="R31" s="116" t="n">
        <v>104</v>
      </c>
      <c r="S31" s="116" t="n">
        <v>119</v>
      </c>
      <c r="T31" s="125" t="n">
        <v>500652</v>
      </c>
      <c r="U31" s="125" t="n">
        <v>559872</v>
      </c>
      <c r="V31" s="116" t="n"/>
      <c r="W31" s="125" t="n">
        <v>4705</v>
      </c>
      <c r="X31" s="126" t="n">
        <v>0.4822</v>
      </c>
      <c r="Y31" s="126" t="n">
        <v>1.0671</v>
      </c>
      <c r="Z31" s="126" t="n">
        <v>0.5145999999999999</v>
      </c>
      <c r="AA31" s="126" t="n">
        <v>0.805</v>
      </c>
      <c r="AB31" s="126" t="n">
        <v>0.9671</v>
      </c>
      <c r="AC31" s="126" t="n">
        <v>0.4063</v>
      </c>
      <c r="AD31" s="126" t="n">
        <v>0.1683</v>
      </c>
      <c r="AE31" s="126" t="n">
        <v>0.1926</v>
      </c>
      <c r="AF31" s="125" t="n">
        <v>607911</v>
      </c>
      <c r="AG31" s="116" t="n">
        <v>0.92</v>
      </c>
      <c r="AH31" s="116" t="n">
        <v>318</v>
      </c>
      <c r="AI31" s="116" t="n">
        <v>305</v>
      </c>
      <c r="AJ31" s="116" t="n">
        <v>326</v>
      </c>
      <c r="AK31" s="125" t="n">
        <v>48081</v>
      </c>
      <c r="AL31" s="125" t="n">
        <v>36050</v>
      </c>
      <c r="AM31" s="125" t="n">
        <v>53826</v>
      </c>
      <c r="AN31" s="125" t="n">
        <v>5179</v>
      </c>
      <c r="AO31" s="125" t="n">
        <v>27560</v>
      </c>
      <c r="AP31" s="116" t="n">
        <v>20</v>
      </c>
      <c r="AQ31" s="116" t="n">
        <v>9</v>
      </c>
      <c r="AR31" s="116" t="n"/>
      <c r="AS31" s="116" t="n">
        <v>9</v>
      </c>
      <c r="AT31" s="116" t="n">
        <v>5</v>
      </c>
      <c r="AU31" s="116" t="n">
        <v>6</v>
      </c>
      <c r="AV31" s="116" t="n">
        <v>2</v>
      </c>
      <c r="AW31" s="116" t="n">
        <v>3</v>
      </c>
      <c r="AX31" s="125" t="n">
        <v>7987</v>
      </c>
      <c r="AY31" s="116" t="n">
        <v>9867</v>
      </c>
      <c r="AZ31" s="116" t="n"/>
      <c r="BA31" s="116" t="n">
        <v>3289</v>
      </c>
      <c r="BB31" s="126" t="n">
        <v>0.45</v>
      </c>
      <c r="BC31" s="126" t="n">
        <v>1</v>
      </c>
      <c r="BD31" s="126" t="n">
        <v>0.45</v>
      </c>
      <c r="BE31" s="126" t="n">
        <v>0.5556</v>
      </c>
      <c r="BF31" s="126" t="n">
        <v>0.7778</v>
      </c>
      <c r="BG31" s="126" t="n">
        <v>0.4</v>
      </c>
      <c r="BH31" s="126" t="n">
        <v>0.1</v>
      </c>
      <c r="BI31" s="126" t="n">
        <v>0.15</v>
      </c>
      <c r="BJ31" s="116" t="n">
        <v>10</v>
      </c>
      <c r="BK31" s="116" t="n">
        <v>6</v>
      </c>
      <c r="BL31" s="116" t="n">
        <v>8</v>
      </c>
      <c r="BM31" s="125" t="n">
        <v>1120</v>
      </c>
      <c r="BN31" s="116" t="n">
        <v>904</v>
      </c>
      <c r="BO31" s="125" t="n">
        <v>1027</v>
      </c>
      <c r="BP31" s="116" t="n">
        <v>162</v>
      </c>
      <c r="BQ31" s="116" t="n">
        <v>635</v>
      </c>
      <c r="BR31" s="125" t="n">
        <v>508639</v>
      </c>
      <c r="BS31" s="125" t="n">
        <v>569739</v>
      </c>
      <c r="BT31" s="116" t="n"/>
      <c r="BU31" s="125" t="n">
        <v>125534</v>
      </c>
      <c r="BV31" s="125" t="n">
        <v>112683</v>
      </c>
      <c r="BW31" s="125" t="n">
        <v>49283</v>
      </c>
      <c r="BX31" s="125" t="n">
        <v>437511</v>
      </c>
      <c r="BY31" s="125" t="n">
        <v>435994</v>
      </c>
      <c r="BZ31" s="125" t="n">
        <v>597960</v>
      </c>
      <c r="CA31" s="116" t="n">
        <v>0.85</v>
      </c>
      <c r="CB31" s="125" t="n">
        <v>5790</v>
      </c>
      <c r="CC31" s="125" t="n">
        <v>612328</v>
      </c>
      <c r="CD31" s="116" t="n">
        <v>0.93</v>
      </c>
      <c r="CE31" s="127" t="n">
        <v>610971</v>
      </c>
      <c r="CF31" s="128" t="n">
        <v>0.93</v>
      </c>
    </row>
    <row r="32">
      <c r="A32" s="116" t="inlineStr">
        <is>
          <t>2025年-4月Bob</t>
        </is>
      </c>
      <c r="B32" s="107" t="n"/>
      <c r="C32" s="108" t="n"/>
      <c r="D32" s="108" t="n"/>
      <c r="E32" s="108" t="n"/>
      <c r="F32" s="108" t="n"/>
      <c r="G32" s="124" t="n"/>
      <c r="H32" s="116" t="n"/>
      <c r="I32" s="125" t="n">
        <v>46342</v>
      </c>
      <c r="J32" s="125" t="n">
        <v>46342</v>
      </c>
      <c r="K32" s="116" t="n">
        <v>311</v>
      </c>
      <c r="L32" s="116" t="n">
        <v>149</v>
      </c>
      <c r="M32" s="116" t="n">
        <v>82</v>
      </c>
      <c r="N32" s="116" t="n">
        <v>82</v>
      </c>
      <c r="O32" s="116" t="n">
        <v>79</v>
      </c>
      <c r="P32" s="116" t="n">
        <v>57</v>
      </c>
      <c r="Q32" s="116" t="n">
        <v>57</v>
      </c>
      <c r="R32" s="116" t="n">
        <v>22</v>
      </c>
      <c r="S32" s="116" t="n">
        <v>22</v>
      </c>
      <c r="T32" s="125" t="n">
        <v>96736</v>
      </c>
      <c r="U32" s="125" t="n">
        <v>96736</v>
      </c>
      <c r="V32" s="126" t="n">
        <v>1</v>
      </c>
      <c r="W32" s="125" t="n">
        <v>4397</v>
      </c>
      <c r="X32" s="126" t="n">
        <v>0.55</v>
      </c>
      <c r="Y32" s="126" t="n">
        <v>0.963</v>
      </c>
      <c r="Z32" s="126" t="n">
        <v>0.53</v>
      </c>
      <c r="AA32" s="126" t="n">
        <v>0.722</v>
      </c>
      <c r="AB32" s="126" t="n">
        <v>0.966</v>
      </c>
      <c r="AC32" s="126" t="n">
        <v>0.386</v>
      </c>
      <c r="AD32" s="126" t="n">
        <v>0.148</v>
      </c>
      <c r="AE32" s="126" t="n">
        <v>0.148</v>
      </c>
      <c r="AF32" s="125" t="n">
        <v>90014</v>
      </c>
      <c r="AG32" s="116" t="n">
        <v>1.07</v>
      </c>
      <c r="AH32" s="116" t="n">
        <v>59</v>
      </c>
      <c r="AI32" s="116" t="n">
        <v>57</v>
      </c>
      <c r="AJ32" s="116" t="n">
        <v>58</v>
      </c>
      <c r="AK32" s="125" t="n">
        <v>16503</v>
      </c>
      <c r="AL32" s="125" t="n">
        <v>12146</v>
      </c>
      <c r="AM32" s="125" t="n">
        <v>8673</v>
      </c>
      <c r="AN32" s="125" t="n">
        <v>1473</v>
      </c>
      <c r="AO32" s="125" t="n">
        <v>4878</v>
      </c>
      <c r="AP32" s="116" t="n">
        <v>0</v>
      </c>
      <c r="AQ32" s="116" t="n">
        <v>0</v>
      </c>
      <c r="AR32" s="116" t="n">
        <v>0</v>
      </c>
      <c r="AS32" s="116" t="n">
        <v>0</v>
      </c>
      <c r="AT32" s="116" t="n">
        <v>0</v>
      </c>
      <c r="AU32" s="116" t="n">
        <v>0</v>
      </c>
      <c r="AV32" s="116" t="n">
        <v>0</v>
      </c>
      <c r="AW32" s="116" t="n">
        <v>0</v>
      </c>
      <c r="AX32" s="116" t="n">
        <v>0</v>
      </c>
      <c r="AY32" s="116" t="n">
        <v>0</v>
      </c>
      <c r="AZ32" s="116" t="n"/>
      <c r="BA32" s="116" t="n"/>
      <c r="BB32" s="116" t="n"/>
      <c r="BC32" s="116" t="n"/>
      <c r="BD32" s="116" t="n"/>
      <c r="BE32" s="116" t="n"/>
      <c r="BF32" s="116" t="n"/>
      <c r="BG32" s="116" t="n"/>
      <c r="BH32" s="116" t="n"/>
      <c r="BI32" s="116" t="n"/>
      <c r="BJ32" s="116" t="n">
        <v>0</v>
      </c>
      <c r="BK32" s="116" t="n">
        <v>0</v>
      </c>
      <c r="BL32" s="116" t="n">
        <v>0</v>
      </c>
      <c r="BM32" s="116" t="n">
        <v>0</v>
      </c>
      <c r="BN32" s="116" t="n">
        <v>0</v>
      </c>
      <c r="BO32" s="116" t="n">
        <v>0</v>
      </c>
      <c r="BP32" s="116" t="n">
        <v>0</v>
      </c>
      <c r="BQ32" s="116" t="n">
        <v>0</v>
      </c>
      <c r="BR32" s="125" t="n">
        <v>96736</v>
      </c>
      <c r="BS32" s="125" t="n">
        <v>96736</v>
      </c>
      <c r="BT32" s="126" t="n">
        <v>1</v>
      </c>
      <c r="BU32" s="125" t="n">
        <v>27169</v>
      </c>
      <c r="BV32" s="125" t="n">
        <v>27169</v>
      </c>
      <c r="BW32" s="125" t="n">
        <v>16503</v>
      </c>
      <c r="BX32" s="125" t="n">
        <v>46342</v>
      </c>
      <c r="BY32" s="125" t="n">
        <v>46342</v>
      </c>
      <c r="BZ32" s="125" t="n">
        <v>90014</v>
      </c>
      <c r="CA32" s="116" t="n">
        <v>1.07</v>
      </c>
      <c r="CB32" s="116" t="n"/>
      <c r="CC32" s="125" t="n">
        <v>90014</v>
      </c>
      <c r="CD32" s="116" t="n">
        <v>1.07</v>
      </c>
      <c r="CE32" s="127" t="n">
        <v>84686</v>
      </c>
      <c r="CF32" s="128" t="n">
        <v>1.14</v>
      </c>
    </row>
    <row r="33">
      <c r="A33" s="116" t="inlineStr">
        <is>
          <t>2025年-5月Bob</t>
        </is>
      </c>
      <c r="B33" s="107" t="n"/>
      <c r="C33" s="108" t="n"/>
      <c r="D33" s="108" t="n"/>
      <c r="E33" s="108" t="n"/>
      <c r="F33" s="108" t="n"/>
      <c r="G33" s="124" t="n"/>
      <c r="H33" s="116" t="n"/>
      <c r="I33" s="125" t="n">
        <v>164736</v>
      </c>
      <c r="J33" s="125" t="n">
        <v>164736</v>
      </c>
      <c r="K33" s="116" t="n">
        <v>752</v>
      </c>
      <c r="L33" s="116" t="n">
        <v>219</v>
      </c>
      <c r="M33" s="116" t="n">
        <v>85</v>
      </c>
      <c r="N33" s="116" t="n">
        <v>92</v>
      </c>
      <c r="O33" s="116" t="n">
        <v>89</v>
      </c>
      <c r="P33" s="116" t="n">
        <v>68</v>
      </c>
      <c r="Q33" s="116" t="n">
        <v>86</v>
      </c>
      <c r="R33" s="116" t="n">
        <v>23</v>
      </c>
      <c r="S33" s="116" t="n">
        <v>27</v>
      </c>
      <c r="T33" s="125" t="n">
        <v>131124</v>
      </c>
      <c r="U33" s="125" t="n">
        <v>145576</v>
      </c>
      <c r="V33" s="126" t="n">
        <v>1</v>
      </c>
      <c r="W33" s="125" t="n">
        <v>5392</v>
      </c>
      <c r="X33" s="126" t="n">
        <v>0.388</v>
      </c>
      <c r="Y33" s="126" t="n">
        <v>1.047</v>
      </c>
      <c r="Z33" s="126" t="n">
        <v>0.406</v>
      </c>
      <c r="AA33" s="126" t="n">
        <v>0.764</v>
      </c>
      <c r="AB33" s="126" t="n">
        <v>0.977</v>
      </c>
      <c r="AC33" s="126" t="n">
        <v>0.338</v>
      </c>
      <c r="AD33" s="126" t="n">
        <v>0.105</v>
      </c>
      <c r="AE33" s="126" t="n">
        <v>0.123</v>
      </c>
      <c r="AF33" s="125" t="n">
        <v>212258</v>
      </c>
      <c r="AG33" s="116" t="n">
        <v>0.6899999999999999</v>
      </c>
      <c r="AH33" s="116" t="n">
        <v>88</v>
      </c>
      <c r="AI33" s="116" t="n">
        <v>86</v>
      </c>
      <c r="AJ33" s="116" t="n">
        <v>90</v>
      </c>
      <c r="AK33" s="125" t="n">
        <v>12417</v>
      </c>
      <c r="AL33" s="125" t="n">
        <v>11290</v>
      </c>
      <c r="AM33" s="125" t="n">
        <v>13961</v>
      </c>
      <c r="AN33" s="125" t="n">
        <v>2037</v>
      </c>
      <c r="AO33" s="125" t="n">
        <v>7817</v>
      </c>
      <c r="AP33" s="116" t="n">
        <v>0</v>
      </c>
      <c r="AQ33" s="116" t="n">
        <v>0</v>
      </c>
      <c r="AR33" s="116" t="n">
        <v>0</v>
      </c>
      <c r="AS33" s="116" t="n">
        <v>0</v>
      </c>
      <c r="AT33" s="116" t="n">
        <v>0</v>
      </c>
      <c r="AU33" s="116" t="n">
        <v>0</v>
      </c>
      <c r="AV33" s="116" t="n">
        <v>0</v>
      </c>
      <c r="AW33" s="116" t="n">
        <v>0</v>
      </c>
      <c r="AX33" s="116" t="n">
        <v>0</v>
      </c>
      <c r="AY33" s="116" t="n">
        <v>0</v>
      </c>
      <c r="AZ33" s="116" t="n"/>
      <c r="BA33" s="116" t="n"/>
      <c r="BB33" s="116" t="n"/>
      <c r="BC33" s="116" t="n"/>
      <c r="BD33" s="116" t="n"/>
      <c r="BE33" s="116" t="n"/>
      <c r="BF33" s="116" t="n"/>
      <c r="BG33" s="116" t="n"/>
      <c r="BH33" s="116" t="n"/>
      <c r="BI33" s="116" t="n"/>
      <c r="BJ33" s="116" t="n">
        <v>0</v>
      </c>
      <c r="BK33" s="116" t="n">
        <v>0</v>
      </c>
      <c r="BL33" s="116" t="n">
        <v>0</v>
      </c>
      <c r="BM33" s="116" t="n">
        <v>0</v>
      </c>
      <c r="BN33" s="116" t="n">
        <v>0</v>
      </c>
      <c r="BO33" s="116" t="n">
        <v>0</v>
      </c>
      <c r="BP33" s="116" t="n">
        <v>0</v>
      </c>
      <c r="BQ33" s="116" t="n">
        <v>0</v>
      </c>
      <c r="BR33" s="125" t="n">
        <v>131124</v>
      </c>
      <c r="BS33" s="125" t="n">
        <v>145576</v>
      </c>
      <c r="BT33" s="126" t="n">
        <v>1</v>
      </c>
      <c r="BU33" s="125" t="n">
        <v>35106</v>
      </c>
      <c r="BV33" s="125" t="n">
        <v>31210</v>
      </c>
      <c r="BW33" s="125" t="n">
        <v>12417</v>
      </c>
      <c r="BX33" s="125" t="n">
        <v>164736</v>
      </c>
      <c r="BY33" s="125" t="n">
        <v>164736</v>
      </c>
      <c r="BZ33" s="125" t="n">
        <v>208363</v>
      </c>
      <c r="CA33" s="116" t="n">
        <v>0.63</v>
      </c>
      <c r="CB33" s="116" t="n"/>
      <c r="CC33" s="125" t="n">
        <v>212258</v>
      </c>
      <c r="CD33" s="116" t="n">
        <v>0.6899999999999999</v>
      </c>
      <c r="CE33" s="127" t="n">
        <v>216267</v>
      </c>
      <c r="CF33" s="128" t="n">
        <v>0.67</v>
      </c>
    </row>
    <row r="34">
      <c r="A34" s="116" t="inlineStr">
        <is>
          <t>2025年-6月Bob</t>
        </is>
      </c>
      <c r="B34" s="107" t="n"/>
      <c r="C34" s="108" t="n"/>
      <c r="D34" s="108" t="n"/>
      <c r="E34" s="108" t="n"/>
      <c r="F34" s="108" t="n"/>
      <c r="G34" s="124" t="n"/>
      <c r="H34" s="116" t="n"/>
      <c r="I34" s="125" t="n">
        <v>105683</v>
      </c>
      <c r="J34" s="125" t="n">
        <v>100124</v>
      </c>
      <c r="K34" s="116" t="n">
        <v>975</v>
      </c>
      <c r="L34" s="116" t="n">
        <v>108</v>
      </c>
      <c r="M34" s="116" t="n">
        <v>66</v>
      </c>
      <c r="N34" s="116" t="n">
        <v>70</v>
      </c>
      <c r="O34" s="116" t="n">
        <v>69</v>
      </c>
      <c r="P34" s="116" t="n">
        <v>54</v>
      </c>
      <c r="Q34" s="116" t="n">
        <v>63</v>
      </c>
      <c r="R34" s="116" t="n">
        <v>23</v>
      </c>
      <c r="S34" s="116" t="n">
        <v>29</v>
      </c>
      <c r="T34" s="125" t="n">
        <v>124424</v>
      </c>
      <c r="U34" s="125" t="n">
        <v>155552</v>
      </c>
      <c r="V34" s="126" t="n">
        <v>1</v>
      </c>
      <c r="W34" s="125" t="n">
        <v>5364</v>
      </c>
      <c r="X34" s="126" t="n">
        <v>0.611</v>
      </c>
      <c r="Y34" s="126" t="n">
        <v>1.045</v>
      </c>
      <c r="Z34" s="126" t="n">
        <v>0.639</v>
      </c>
      <c r="AA34" s="126" t="n">
        <v>0.783</v>
      </c>
      <c r="AB34" s="126" t="n">
        <v>0.926</v>
      </c>
      <c r="AC34" s="126" t="n">
        <v>0.426</v>
      </c>
      <c r="AD34" s="126" t="n">
        <v>0.213</v>
      </c>
      <c r="AE34" s="126" t="n">
        <v>0.269</v>
      </c>
      <c r="AF34" s="125" t="n">
        <v>141650</v>
      </c>
      <c r="AG34" s="116" t="n">
        <v>1.1</v>
      </c>
      <c r="AH34" s="116" t="n">
        <v>68</v>
      </c>
      <c r="AI34" s="116" t="n">
        <v>63</v>
      </c>
      <c r="AJ34" s="116" t="n">
        <v>68</v>
      </c>
      <c r="AK34" s="125" t="n">
        <v>6736</v>
      </c>
      <c r="AL34" s="125" t="n">
        <v>7867</v>
      </c>
      <c r="AM34" s="125" t="n">
        <v>15016</v>
      </c>
      <c r="AN34" s="116" t="n">
        <v>872</v>
      </c>
      <c r="AO34" s="125" t="n">
        <v>5872</v>
      </c>
      <c r="AP34" s="116" t="n">
        <v>72</v>
      </c>
      <c r="AQ34" s="116" t="n">
        <v>32</v>
      </c>
      <c r="AR34" s="116" t="n">
        <v>32</v>
      </c>
      <c r="AS34" s="116" t="n">
        <v>32</v>
      </c>
      <c r="AT34" s="116" t="n">
        <v>24</v>
      </c>
      <c r="AU34" s="116" t="n">
        <v>24</v>
      </c>
      <c r="AV34" s="116" t="n">
        <v>4</v>
      </c>
      <c r="AW34" s="116" t="n">
        <v>4</v>
      </c>
      <c r="AX34" s="125" t="n">
        <v>13404</v>
      </c>
      <c r="AY34" s="116" t="n">
        <v>13404</v>
      </c>
      <c r="AZ34" s="126" t="n">
        <v>1</v>
      </c>
      <c r="BA34" s="116" t="n">
        <v>3351</v>
      </c>
      <c r="BB34" s="126" t="n">
        <v>0.444</v>
      </c>
      <c r="BC34" s="126" t="n">
        <v>1</v>
      </c>
      <c r="BD34" s="126" t="n">
        <v>0.444</v>
      </c>
      <c r="BE34" s="126" t="n">
        <v>0.75</v>
      </c>
      <c r="BF34" s="126" t="n">
        <v>0.75</v>
      </c>
      <c r="BG34" s="126" t="n">
        <v>0.167</v>
      </c>
      <c r="BH34" s="126" t="n">
        <v>0.056</v>
      </c>
      <c r="BI34" s="126" t="n">
        <v>0.0556</v>
      </c>
      <c r="BJ34" s="116" t="n">
        <v>32</v>
      </c>
      <c r="BK34" s="116" t="n">
        <v>24</v>
      </c>
      <c r="BL34" s="116" t="n">
        <v>28</v>
      </c>
      <c r="BM34" s="125" t="n">
        <v>4030</v>
      </c>
      <c r="BN34" s="125" t="n">
        <v>2879</v>
      </c>
      <c r="BO34" s="125" t="n">
        <v>1393</v>
      </c>
      <c r="BP34" s="116" t="n">
        <v>581</v>
      </c>
      <c r="BQ34" s="125" t="n">
        <v>2211</v>
      </c>
      <c r="BR34" s="125" t="n">
        <v>137828</v>
      </c>
      <c r="BS34" s="125" t="n">
        <v>168956</v>
      </c>
      <c r="BT34" s="126" t="n">
        <v>1</v>
      </c>
      <c r="BU34" s="125" t="n">
        <v>36691</v>
      </c>
      <c r="BV34" s="125" t="n">
        <v>32373</v>
      </c>
      <c r="BW34" s="125" t="n">
        <v>10767</v>
      </c>
      <c r="BX34" s="125" t="n">
        <v>105683</v>
      </c>
      <c r="BY34" s="125" t="n">
        <v>104615</v>
      </c>
      <c r="BZ34" s="125" t="n">
        <v>147755</v>
      </c>
      <c r="CA34" s="116" t="n">
        <v>0.93</v>
      </c>
      <c r="CB34" s="125" t="n">
        <v>5558</v>
      </c>
      <c r="CC34" s="125" t="n">
        <v>153141</v>
      </c>
      <c r="CD34" s="116" t="n">
        <v>1.1</v>
      </c>
      <c r="CE34" s="127" t="n">
        <v>155874</v>
      </c>
      <c r="CF34" s="128" t="n">
        <v>1.08</v>
      </c>
    </row>
    <row r="35">
      <c r="A35" s="116" t="inlineStr">
        <is>
          <t>2025年-7月Bob</t>
        </is>
      </c>
      <c r="B35" s="107" t="n"/>
      <c r="C35" s="108" t="n"/>
      <c r="D35" s="108" t="n"/>
      <c r="E35" s="108" t="n"/>
      <c r="F35" s="108" t="n"/>
      <c r="G35" s="124" t="n"/>
      <c r="H35" s="116" t="n"/>
      <c r="I35" s="125" t="n">
        <v>53515</v>
      </c>
      <c r="J35" s="125" t="n">
        <v>52280</v>
      </c>
      <c r="K35" s="125" t="n">
        <v>1274</v>
      </c>
      <c r="L35" s="116" t="n">
        <v>42</v>
      </c>
      <c r="M35" s="116" t="n">
        <v>21</v>
      </c>
      <c r="N35" s="116" t="n">
        <v>28</v>
      </c>
      <c r="O35" s="116" t="n">
        <v>21</v>
      </c>
      <c r="P35" s="116" t="n">
        <v>18</v>
      </c>
      <c r="Q35" s="116" t="n">
        <v>25</v>
      </c>
      <c r="R35" s="116" t="n">
        <v>4</v>
      </c>
      <c r="S35" s="116" t="n">
        <v>7</v>
      </c>
      <c r="T35" s="125" t="n">
        <v>26852</v>
      </c>
      <c r="U35" s="125" t="n">
        <v>44916</v>
      </c>
      <c r="V35" s="126" t="n">
        <v>1</v>
      </c>
      <c r="W35" s="125" t="n">
        <v>6417</v>
      </c>
      <c r="X35" s="126" t="n">
        <v>0.5</v>
      </c>
      <c r="Y35" s="126" t="n">
        <v>1</v>
      </c>
      <c r="Z35" s="126" t="n">
        <v>0.5</v>
      </c>
      <c r="AA35" s="126" t="n">
        <v>0.857</v>
      </c>
      <c r="AB35" s="126" t="n">
        <v>0.962</v>
      </c>
      <c r="AC35" s="126" t="n">
        <v>0.222</v>
      </c>
      <c r="AD35" s="126" t="n">
        <v>0.095</v>
      </c>
      <c r="AE35" s="126" t="n">
        <v>0.167</v>
      </c>
      <c r="AF35" s="125" t="n">
        <v>65977</v>
      </c>
      <c r="AG35" s="116" t="n">
        <v>0.68</v>
      </c>
      <c r="AH35" s="116" t="n">
        <v>26</v>
      </c>
      <c r="AI35" s="116" t="n">
        <v>25</v>
      </c>
      <c r="AJ35" s="116" t="n">
        <v>30</v>
      </c>
      <c r="AK35" s="125" t="n">
        <v>1848</v>
      </c>
      <c r="AL35" s="125" t="n">
        <v>2938</v>
      </c>
      <c r="AM35" s="125" t="n">
        <v>4599</v>
      </c>
      <c r="AN35" s="116" t="n">
        <v>432</v>
      </c>
      <c r="AO35" s="125" t="n">
        <v>2644</v>
      </c>
      <c r="AP35" s="116" t="n">
        <v>0</v>
      </c>
      <c r="AQ35" s="116" t="n">
        <v>0</v>
      </c>
      <c r="AR35" s="116" t="n">
        <v>0</v>
      </c>
      <c r="AS35" s="116" t="n">
        <v>0</v>
      </c>
      <c r="AT35" s="116" t="n">
        <v>0</v>
      </c>
      <c r="AU35" s="116" t="n">
        <v>1</v>
      </c>
      <c r="AV35" s="116" t="n">
        <v>0</v>
      </c>
      <c r="AW35" s="116" t="n">
        <v>0</v>
      </c>
      <c r="AX35" s="116" t="n">
        <v>0</v>
      </c>
      <c r="AY35" s="116" t="n">
        <v>0</v>
      </c>
      <c r="AZ35" s="116" t="n"/>
      <c r="BA35" s="116" t="n"/>
      <c r="BB35" s="116" t="n"/>
      <c r="BC35" s="116" t="n"/>
      <c r="BD35" s="116" t="n"/>
      <c r="BE35" s="116" t="n"/>
      <c r="BF35" s="126" t="n">
        <v>1</v>
      </c>
      <c r="BG35" s="116" t="n"/>
      <c r="BH35" s="116" t="n"/>
      <c r="BI35" s="116" t="n"/>
      <c r="BJ35" s="116" t="n">
        <v>1</v>
      </c>
      <c r="BK35" s="116" t="n">
        <v>1</v>
      </c>
      <c r="BL35" s="116" t="n">
        <v>1</v>
      </c>
      <c r="BM35" s="116" t="n">
        <v>0</v>
      </c>
      <c r="BN35" s="116" t="n">
        <v>0</v>
      </c>
      <c r="BO35" s="116" t="n">
        <v>0</v>
      </c>
      <c r="BP35" s="116" t="n">
        <v>0</v>
      </c>
      <c r="BQ35" s="116" t="n">
        <v>82</v>
      </c>
      <c r="BR35" s="125" t="n">
        <v>26852</v>
      </c>
      <c r="BS35" s="125" t="n">
        <v>44916</v>
      </c>
      <c r="BT35" s="126" t="n">
        <v>1</v>
      </c>
      <c r="BU35" s="125" t="n">
        <v>10696</v>
      </c>
      <c r="BV35" s="125" t="n">
        <v>7237</v>
      </c>
      <c r="BW35" s="125" t="n">
        <v>1848</v>
      </c>
      <c r="BX35" s="125" t="n">
        <v>53515</v>
      </c>
      <c r="BY35" s="125" t="n">
        <v>52986</v>
      </c>
      <c r="BZ35" s="125" t="n">
        <v>62070</v>
      </c>
      <c r="CA35" s="116" t="n">
        <v>0.43</v>
      </c>
      <c r="CB35" s="125" t="n">
        <v>1235</v>
      </c>
      <c r="CC35" s="125" t="n">
        <v>66059</v>
      </c>
      <c r="CD35" s="116" t="n">
        <v>0.68</v>
      </c>
      <c r="CE35" s="127" t="n">
        <v>67361</v>
      </c>
      <c r="CF35" s="128" t="n">
        <v>0.67</v>
      </c>
    </row>
    <row r="36">
      <c r="A36" s="130" t="inlineStr">
        <is>
          <t>2025-11月Bob</t>
        </is>
      </c>
      <c r="B36" s="112" t="n"/>
      <c r="C36" s="113" t="n"/>
      <c r="D36" s="113" t="n"/>
      <c r="E36" s="113" t="n"/>
      <c r="F36" s="113" t="n"/>
      <c r="G36" s="131" t="n"/>
      <c r="H36" s="130" t="n"/>
      <c r="I36" s="114" t="n">
        <v>19015</v>
      </c>
      <c r="J36" s="114" t="n">
        <v>18657</v>
      </c>
      <c r="K36" s="114" t="n">
        <v>1729</v>
      </c>
      <c r="L36" s="113" t="n">
        <v>11</v>
      </c>
      <c r="M36" s="113" t="n">
        <v>4</v>
      </c>
      <c r="N36" s="113" t="n">
        <v>4</v>
      </c>
      <c r="O36" s="113" t="n">
        <v>4</v>
      </c>
      <c r="P36" s="113" t="n">
        <v>2</v>
      </c>
      <c r="Q36" s="113" t="n">
        <v>2</v>
      </c>
      <c r="R36" s="113" t="n">
        <v>2</v>
      </c>
      <c r="S36" s="113" t="n">
        <v>2</v>
      </c>
      <c r="T36" s="114" t="n">
        <v>10598</v>
      </c>
      <c r="U36" s="114" t="n">
        <v>10598</v>
      </c>
      <c r="V36" s="115" t="n">
        <v>1</v>
      </c>
      <c r="W36" s="114" t="n">
        <v>5299</v>
      </c>
      <c r="X36" s="115" t="n">
        <v>0.364</v>
      </c>
      <c r="Y36" s="115" t="n">
        <v>1</v>
      </c>
      <c r="Z36" s="115" t="n">
        <v>0.364</v>
      </c>
      <c r="AA36" s="115" t="n">
        <v>0.5</v>
      </c>
      <c r="AB36" s="115" t="n">
        <v>1</v>
      </c>
      <c r="AC36" s="115" t="n">
        <v>1</v>
      </c>
      <c r="AD36" s="115" t="n">
        <v>0.182</v>
      </c>
      <c r="AE36" s="115" t="n">
        <v>0.182</v>
      </c>
      <c r="AF36" s="114" t="n">
        <v>21733</v>
      </c>
      <c r="AG36" s="113" t="n">
        <v>0.49</v>
      </c>
      <c r="AH36" s="113" t="n">
        <v>2</v>
      </c>
      <c r="AI36" s="113" t="n">
        <v>2</v>
      </c>
      <c r="AJ36" s="113" t="n">
        <v>3</v>
      </c>
      <c r="AK36" s="113" t="n">
        <v>716</v>
      </c>
      <c r="AL36" s="113" t="n">
        <v>472</v>
      </c>
      <c r="AM36" s="114" t="n">
        <v>1166</v>
      </c>
      <c r="AN36" s="113" t="n">
        <v>110</v>
      </c>
      <c r="AO36" s="113" t="n">
        <v>254</v>
      </c>
      <c r="AP36" s="113" t="n">
        <v>0</v>
      </c>
      <c r="AQ36" s="113" t="n">
        <v>0</v>
      </c>
      <c r="AR36" s="113" t="n">
        <v>0</v>
      </c>
      <c r="AS36" s="113" t="n">
        <v>0</v>
      </c>
      <c r="AT36" s="113" t="n">
        <v>0</v>
      </c>
      <c r="AU36" s="113" t="n">
        <v>0</v>
      </c>
      <c r="AV36" s="113" t="n">
        <v>0</v>
      </c>
      <c r="AW36" s="113" t="n">
        <v>0</v>
      </c>
      <c r="AX36" s="113" t="n">
        <v>0</v>
      </c>
      <c r="AY36" s="113" t="n">
        <v>0</v>
      </c>
      <c r="AZ36" s="113" t="n"/>
      <c r="BA36" s="113" t="n"/>
      <c r="BB36" s="113" t="n"/>
      <c r="BC36" s="113" t="n"/>
      <c r="BD36" s="113" t="n"/>
      <c r="BE36" s="113" t="n"/>
      <c r="BF36" s="113" t="n"/>
      <c r="BG36" s="113" t="n"/>
      <c r="BH36" s="113" t="n"/>
      <c r="BI36" s="113" t="n"/>
      <c r="BJ36" s="113" t="n">
        <v>0</v>
      </c>
      <c r="BK36" s="113" t="n">
        <v>0</v>
      </c>
      <c r="BL36" s="113" t="n">
        <v>0</v>
      </c>
      <c r="BM36" s="113" t="n">
        <v>0</v>
      </c>
      <c r="BN36" s="113" t="n">
        <v>0</v>
      </c>
      <c r="BO36" s="113" t="n">
        <v>0</v>
      </c>
      <c r="BP36" s="113" t="n">
        <v>0</v>
      </c>
      <c r="BQ36" s="113" t="n">
        <v>0</v>
      </c>
      <c r="BR36" s="114" t="n">
        <v>10598</v>
      </c>
      <c r="BS36" s="114" t="n">
        <v>10598</v>
      </c>
      <c r="BT36" s="115" t="n">
        <v>1</v>
      </c>
      <c r="BU36" s="114" t="n">
        <v>2003</v>
      </c>
      <c r="BV36" s="114" t="n">
        <v>2003</v>
      </c>
      <c r="BW36" s="113" t="n">
        <v>716</v>
      </c>
      <c r="BX36" s="114" t="n">
        <v>19015</v>
      </c>
      <c r="BY36" s="114" t="n">
        <v>19015</v>
      </c>
      <c r="BZ36" s="114" t="n">
        <v>21733</v>
      </c>
      <c r="CA36" s="113" t="n">
        <v>0.49</v>
      </c>
      <c r="CB36" s="113" t="n">
        <v>357</v>
      </c>
      <c r="CC36" s="114" t="n">
        <v>21733</v>
      </c>
      <c r="CD36" s="113" t="n">
        <v>0.49</v>
      </c>
      <c r="CE36" s="114" t="n">
        <v>21842</v>
      </c>
      <c r="CF36" s="113" t="n">
        <v>0.49</v>
      </c>
    </row>
    <row r="37">
      <c r="A37" s="116" t="inlineStr">
        <is>
          <t>Bob-汇总</t>
        </is>
      </c>
      <c r="B37" s="107" t="n"/>
      <c r="C37" s="108" t="n"/>
      <c r="D37" s="108" t="n"/>
      <c r="E37" s="108" t="n"/>
      <c r="F37" s="108" t="n"/>
      <c r="G37" s="124" t="n"/>
      <c r="H37" s="116" t="n"/>
      <c r="I37" s="96" t="n">
        <v>389290</v>
      </c>
      <c r="J37" s="96" t="n">
        <v>382139</v>
      </c>
      <c r="K37" s="95" t="n">
        <v>722</v>
      </c>
      <c r="L37" s="95" t="n">
        <v>529</v>
      </c>
      <c r="M37" s="95" t="n">
        <v>258</v>
      </c>
      <c r="N37" s="95" t="n">
        <v>276</v>
      </c>
      <c r="O37" s="95" t="n">
        <v>262</v>
      </c>
      <c r="P37" s="95" t="n">
        <v>199</v>
      </c>
      <c r="Q37" s="95" t="n">
        <v>233</v>
      </c>
      <c r="R37" s="95" t="n">
        <v>74</v>
      </c>
      <c r="S37" s="95" t="n">
        <v>87</v>
      </c>
      <c r="T37" s="96" t="n">
        <v>389734</v>
      </c>
      <c r="U37" s="96" t="n">
        <v>453378</v>
      </c>
      <c r="V37" s="95" t="n"/>
      <c r="W37" s="96" t="n">
        <v>5211</v>
      </c>
      <c r="X37" s="97" t="n">
        <v>0.4877</v>
      </c>
      <c r="Y37" s="97" t="n">
        <v>1.0155</v>
      </c>
      <c r="Z37" s="97" t="n">
        <v>0.4953</v>
      </c>
      <c r="AA37" s="97" t="n">
        <v>0.7595</v>
      </c>
      <c r="AB37" s="97" t="n">
        <v>0.9663</v>
      </c>
      <c r="AC37" s="97" t="n">
        <v>0.3719</v>
      </c>
      <c r="AD37" s="97" t="n">
        <v>0.1399</v>
      </c>
      <c r="AE37" s="97" t="n">
        <v>0.1645</v>
      </c>
      <c r="AF37" s="96" t="n">
        <v>531633</v>
      </c>
      <c r="AG37" s="95" t="n">
        <v>0.85</v>
      </c>
      <c r="AH37" s="95" t="n">
        <v>243</v>
      </c>
      <c r="AI37" s="95" t="n">
        <v>233</v>
      </c>
      <c r="AJ37" s="95" t="n">
        <v>249</v>
      </c>
      <c r="AK37" s="96" t="n">
        <v>38220</v>
      </c>
      <c r="AL37" s="96" t="n">
        <v>34714</v>
      </c>
      <c r="AM37" s="96" t="n">
        <v>43415</v>
      </c>
      <c r="AN37" s="96" t="n">
        <v>4924</v>
      </c>
      <c r="AO37" s="96" t="n">
        <v>21466</v>
      </c>
      <c r="AP37" s="95" t="n">
        <v>72</v>
      </c>
      <c r="AQ37" s="95" t="n">
        <v>32</v>
      </c>
      <c r="AR37" s="95" t="n"/>
      <c r="AS37" s="95" t="n">
        <v>32</v>
      </c>
      <c r="AT37" s="95" t="n">
        <v>24</v>
      </c>
      <c r="AU37" s="95" t="n">
        <v>25</v>
      </c>
      <c r="AV37" s="95" t="n">
        <v>4</v>
      </c>
      <c r="AW37" s="95" t="n">
        <v>4</v>
      </c>
      <c r="AX37" s="96" t="n">
        <v>13404</v>
      </c>
      <c r="AY37" s="95" t="n">
        <v>13404</v>
      </c>
      <c r="AZ37" s="95" t="n"/>
      <c r="BA37" s="95" t="n">
        <v>3351</v>
      </c>
      <c r="BB37" s="97" t="n">
        <v>0.4444</v>
      </c>
      <c r="BC37" s="97" t="n">
        <v>1</v>
      </c>
      <c r="BD37" s="97" t="n">
        <v>0.4444</v>
      </c>
      <c r="BE37" s="97" t="n">
        <v>0.75</v>
      </c>
      <c r="BF37" s="97" t="n">
        <v>0.875</v>
      </c>
      <c r="BG37" s="97" t="n">
        <v>0.1667</v>
      </c>
      <c r="BH37" s="97" t="n">
        <v>0.0556</v>
      </c>
      <c r="BI37" s="97" t="n">
        <v>0.0556</v>
      </c>
      <c r="BJ37" s="95" t="n">
        <v>33</v>
      </c>
      <c r="BK37" s="95" t="n">
        <v>25</v>
      </c>
      <c r="BL37" s="95" t="n">
        <v>29</v>
      </c>
      <c r="BM37" s="96" t="n">
        <v>4030</v>
      </c>
      <c r="BN37" s="96" t="n">
        <v>2879</v>
      </c>
      <c r="BO37" s="96" t="n">
        <v>1393</v>
      </c>
      <c r="BP37" s="95" t="n">
        <v>581</v>
      </c>
      <c r="BQ37" s="96" t="n">
        <v>2293</v>
      </c>
      <c r="BR37" s="96" t="n">
        <v>403138</v>
      </c>
      <c r="BS37" s="96" t="n">
        <v>466782</v>
      </c>
      <c r="BT37" s="95" t="n"/>
      <c r="BU37" s="96" t="n">
        <v>111665</v>
      </c>
      <c r="BV37" s="96" t="n">
        <v>99991</v>
      </c>
      <c r="BW37" s="96" t="n">
        <v>42251</v>
      </c>
      <c r="BX37" s="96" t="n">
        <v>389290</v>
      </c>
      <c r="BY37" s="96" t="n">
        <v>387693</v>
      </c>
      <c r="BZ37" s="96" t="n">
        <v>529935</v>
      </c>
      <c r="CA37" s="95" t="n">
        <v>0.76</v>
      </c>
      <c r="CB37" s="96" t="n">
        <v>7151</v>
      </c>
      <c r="CC37" s="96" t="n">
        <v>543206</v>
      </c>
      <c r="CD37" s="95" t="n">
        <v>0.86</v>
      </c>
      <c r="CE37" s="96" t="n">
        <v>546030</v>
      </c>
      <c r="CF37" s="95" t="n">
        <v>0.85</v>
      </c>
    </row>
    <row r="38">
      <c r="A38" s="116" t="inlineStr">
        <is>
          <t>2025年-4月叶翠翠</t>
        </is>
      </c>
      <c r="B38" s="107" t="n"/>
      <c r="C38" s="108" t="n"/>
      <c r="D38" s="108" t="n"/>
      <c r="E38" s="108" t="n"/>
      <c r="F38" s="108" t="n"/>
      <c r="G38" s="124" t="n"/>
      <c r="H38" s="116" t="n"/>
      <c r="I38" s="125" t="n">
        <v>15481</v>
      </c>
      <c r="J38" s="125" t="n">
        <v>15481</v>
      </c>
      <c r="K38" s="116" t="n">
        <v>418</v>
      </c>
      <c r="L38" s="116" t="n">
        <v>37</v>
      </c>
      <c r="M38" s="116" t="n">
        <v>15</v>
      </c>
      <c r="N38" s="116" t="n">
        <v>15</v>
      </c>
      <c r="O38" s="116" t="n">
        <v>15</v>
      </c>
      <c r="P38" s="116" t="n">
        <v>9</v>
      </c>
      <c r="Q38" s="116" t="n">
        <v>9</v>
      </c>
      <c r="R38" s="116" t="n">
        <v>4</v>
      </c>
      <c r="S38" s="116" t="n">
        <v>4</v>
      </c>
      <c r="T38" s="125" t="n">
        <v>16752</v>
      </c>
      <c r="U38" s="125" t="n">
        <v>16752</v>
      </c>
      <c r="V38" s="126" t="n">
        <v>1</v>
      </c>
      <c r="W38" s="125" t="n">
        <v>4188</v>
      </c>
      <c r="X38" s="126" t="n">
        <v>0.405</v>
      </c>
      <c r="Y38" s="126" t="n">
        <v>1</v>
      </c>
      <c r="Z38" s="126" t="n">
        <v>0.405</v>
      </c>
      <c r="AA38" s="126" t="n">
        <v>0.6</v>
      </c>
      <c r="AB38" s="126" t="n">
        <v>1</v>
      </c>
      <c r="AC38" s="126" t="n">
        <v>0.444</v>
      </c>
      <c r="AD38" s="126" t="n">
        <v>0.108</v>
      </c>
      <c r="AE38" s="126" t="n">
        <v>0.108</v>
      </c>
      <c r="AF38" s="125" t="n">
        <v>24425</v>
      </c>
      <c r="AG38" s="116" t="n">
        <v>0.6899999999999999</v>
      </c>
      <c r="AH38" s="116" t="n">
        <v>9</v>
      </c>
      <c r="AI38" s="116" t="n">
        <v>9</v>
      </c>
      <c r="AJ38" s="116" t="n">
        <v>9</v>
      </c>
      <c r="AK38" s="125" t="n">
        <v>4098</v>
      </c>
      <c r="AL38" s="125" t="n">
        <v>2222</v>
      </c>
      <c r="AM38" s="125" t="n">
        <v>1502</v>
      </c>
      <c r="AN38" s="116" t="n">
        <v>366</v>
      </c>
      <c r="AO38" s="116" t="n">
        <v>757</v>
      </c>
      <c r="AP38" s="116" t="n">
        <v>0</v>
      </c>
      <c r="AQ38" s="116" t="n">
        <v>0</v>
      </c>
      <c r="AR38" s="116" t="n">
        <v>0</v>
      </c>
      <c r="AS38" s="116" t="n">
        <v>0</v>
      </c>
      <c r="AT38" s="116" t="n">
        <v>0</v>
      </c>
      <c r="AU38" s="116" t="n">
        <v>0</v>
      </c>
      <c r="AV38" s="116" t="n">
        <v>0</v>
      </c>
      <c r="AW38" s="116" t="n">
        <v>0</v>
      </c>
      <c r="AX38" s="116" t="n">
        <v>0</v>
      </c>
      <c r="AY38" s="116" t="n">
        <v>0</v>
      </c>
      <c r="AZ38" s="116" t="n"/>
      <c r="BA38" s="116" t="n"/>
      <c r="BB38" s="116" t="n"/>
      <c r="BC38" s="116" t="n"/>
      <c r="BD38" s="116" t="n"/>
      <c r="BE38" s="116" t="n"/>
      <c r="BF38" s="116" t="n"/>
      <c r="BG38" s="116" t="n"/>
      <c r="BH38" s="116" t="n"/>
      <c r="BI38" s="116" t="n"/>
      <c r="BJ38" s="116" t="n">
        <v>0</v>
      </c>
      <c r="BK38" s="116" t="n">
        <v>0</v>
      </c>
      <c r="BL38" s="116" t="n">
        <v>0</v>
      </c>
      <c r="BM38" s="116" t="n">
        <v>0</v>
      </c>
      <c r="BN38" s="116" t="n">
        <v>0</v>
      </c>
      <c r="BO38" s="116" t="n">
        <v>0</v>
      </c>
      <c r="BP38" s="116" t="n">
        <v>0</v>
      </c>
      <c r="BQ38" s="116" t="n">
        <v>0</v>
      </c>
      <c r="BR38" s="125" t="n">
        <v>16752</v>
      </c>
      <c r="BS38" s="125" t="n">
        <v>16752</v>
      </c>
      <c r="BT38" s="126" t="n">
        <v>1</v>
      </c>
      <c r="BU38" s="125" t="n">
        <v>4846</v>
      </c>
      <c r="BV38" s="125" t="n">
        <v>4846</v>
      </c>
      <c r="BW38" s="125" t="n">
        <v>4098</v>
      </c>
      <c r="BX38" s="125" t="n">
        <v>15481</v>
      </c>
      <c r="BY38" s="125" t="n">
        <v>15481</v>
      </c>
      <c r="BZ38" s="125" t="n">
        <v>24425</v>
      </c>
      <c r="CA38" s="116" t="n">
        <v>0.6899999999999999</v>
      </c>
      <c r="CB38" s="116" t="n"/>
      <c r="CC38" s="125" t="n">
        <v>24425</v>
      </c>
      <c r="CD38" s="116" t="n">
        <v>0.6899999999999999</v>
      </c>
      <c r="CE38" s="127" t="n">
        <v>23102</v>
      </c>
      <c r="CF38" s="128" t="n">
        <v>0.73</v>
      </c>
    </row>
    <row r="39">
      <c r="A39" s="116" t="inlineStr">
        <is>
          <t>2025年-5月叶翠翠</t>
        </is>
      </c>
      <c r="B39" s="107" t="n"/>
      <c r="C39" s="108" t="n"/>
      <c r="D39" s="108" t="n"/>
      <c r="E39" s="108" t="n"/>
      <c r="F39" s="108" t="n"/>
      <c r="G39" s="124" t="n"/>
      <c r="H39" s="116" t="n"/>
      <c r="I39" s="125" t="n">
        <v>73877</v>
      </c>
      <c r="J39" s="125" t="n">
        <v>73877</v>
      </c>
      <c r="K39" s="125" t="n">
        <v>1192</v>
      </c>
      <c r="L39" s="116" t="n">
        <v>62</v>
      </c>
      <c r="M39" s="116" t="n">
        <v>29</v>
      </c>
      <c r="N39" s="116" t="n">
        <v>32</v>
      </c>
      <c r="O39" s="116" t="n">
        <v>28</v>
      </c>
      <c r="P39" s="116" t="n">
        <v>18</v>
      </c>
      <c r="Q39" s="116" t="n">
        <v>24</v>
      </c>
      <c r="R39" s="116" t="n">
        <v>5</v>
      </c>
      <c r="S39" s="116" t="n">
        <v>5</v>
      </c>
      <c r="T39" s="125" t="n">
        <v>18140</v>
      </c>
      <c r="U39" s="125" t="n">
        <v>18140</v>
      </c>
      <c r="V39" s="126" t="n">
        <v>1</v>
      </c>
      <c r="W39" s="125" t="n">
        <v>3628</v>
      </c>
      <c r="X39" s="126" t="n">
        <v>0.468</v>
      </c>
      <c r="Y39" s="126" t="n">
        <v>0.966</v>
      </c>
      <c r="Z39" s="126" t="n">
        <v>0.452</v>
      </c>
      <c r="AA39" s="126" t="n">
        <v>0.643</v>
      </c>
      <c r="AB39" s="126" t="n">
        <v>0.889</v>
      </c>
      <c r="AC39" s="126" t="n">
        <v>0.278</v>
      </c>
      <c r="AD39" s="126" t="n">
        <v>0.081</v>
      </c>
      <c r="AE39" s="126" t="n">
        <v>0.081</v>
      </c>
      <c r="AF39" s="125" t="n">
        <v>85894</v>
      </c>
      <c r="AG39" s="116" t="n">
        <v>0.21</v>
      </c>
      <c r="AH39" s="116" t="n">
        <v>27</v>
      </c>
      <c r="AI39" s="116" t="n">
        <v>24</v>
      </c>
      <c r="AJ39" s="116" t="n">
        <v>26</v>
      </c>
      <c r="AK39" s="125" t="n">
        <v>3515</v>
      </c>
      <c r="AL39" s="125" t="n">
        <v>3927</v>
      </c>
      <c r="AM39" s="125" t="n">
        <v>1740</v>
      </c>
      <c r="AN39" s="116" t="n">
        <v>577</v>
      </c>
      <c r="AO39" s="125" t="n">
        <v>2258</v>
      </c>
      <c r="AP39" s="116" t="n">
        <v>0</v>
      </c>
      <c r="AQ39" s="116" t="n">
        <v>0</v>
      </c>
      <c r="AR39" s="116" t="n">
        <v>0</v>
      </c>
      <c r="AS39" s="116" t="n">
        <v>0</v>
      </c>
      <c r="AT39" s="116" t="n">
        <v>0</v>
      </c>
      <c r="AU39" s="116" t="n">
        <v>0</v>
      </c>
      <c r="AV39" s="116" t="n">
        <v>0</v>
      </c>
      <c r="AW39" s="116" t="n">
        <v>0</v>
      </c>
      <c r="AX39" s="116" t="n">
        <v>0</v>
      </c>
      <c r="AY39" s="116" t="n">
        <v>0</v>
      </c>
      <c r="AZ39" s="116" t="n"/>
      <c r="BA39" s="116" t="n"/>
      <c r="BB39" s="116" t="n"/>
      <c r="BC39" s="116" t="n"/>
      <c r="BD39" s="116" t="n"/>
      <c r="BE39" s="116" t="n"/>
      <c r="BF39" s="116" t="n"/>
      <c r="BG39" s="116" t="n"/>
      <c r="BH39" s="116" t="n"/>
      <c r="BI39" s="116" t="n"/>
      <c r="BJ39" s="116" t="n">
        <v>0</v>
      </c>
      <c r="BK39" s="116" t="n">
        <v>0</v>
      </c>
      <c r="BL39" s="116" t="n">
        <v>0</v>
      </c>
      <c r="BM39" s="116" t="n">
        <v>0</v>
      </c>
      <c r="BN39" s="116" t="n">
        <v>0</v>
      </c>
      <c r="BO39" s="116" t="n">
        <v>0</v>
      </c>
      <c r="BP39" s="116" t="n">
        <v>0</v>
      </c>
      <c r="BQ39" s="116" t="n">
        <v>0</v>
      </c>
      <c r="BR39" s="125" t="n">
        <v>18140</v>
      </c>
      <c r="BS39" s="125" t="n">
        <v>18140</v>
      </c>
      <c r="BT39" s="126" t="n">
        <v>1</v>
      </c>
      <c r="BU39" s="125" t="n">
        <v>8502</v>
      </c>
      <c r="BV39" s="125" t="n">
        <v>7439</v>
      </c>
      <c r="BW39" s="125" t="n">
        <v>3515</v>
      </c>
      <c r="BX39" s="125" t="n">
        <v>73877</v>
      </c>
      <c r="BY39" s="125" t="n">
        <v>73877</v>
      </c>
      <c r="BZ39" s="125" t="n">
        <v>84831</v>
      </c>
      <c r="CA39" s="116" t="n">
        <v>0.21</v>
      </c>
      <c r="CB39" s="116" t="n"/>
      <c r="CC39" s="125" t="n">
        <v>85894</v>
      </c>
      <c r="CD39" s="116" t="n">
        <v>0.21</v>
      </c>
      <c r="CE39" s="127" t="n">
        <v>87029</v>
      </c>
      <c r="CF39" s="128" t="n">
        <v>0.21</v>
      </c>
    </row>
    <row r="40">
      <c r="A40" s="116" t="inlineStr">
        <is>
          <t>2025年-6月叶翠翠</t>
        </is>
      </c>
      <c r="B40" s="107" t="n"/>
      <c r="C40" s="108" t="n"/>
      <c r="D40" s="108" t="n"/>
      <c r="E40" s="108" t="n"/>
      <c r="F40" s="108" t="n"/>
      <c r="G40" s="124" t="n"/>
      <c r="H40" s="116" t="n"/>
      <c r="I40" s="125" t="n">
        <v>27428</v>
      </c>
      <c r="J40" s="125" t="n">
        <v>26538</v>
      </c>
      <c r="K40" s="125" t="n">
        <v>2286</v>
      </c>
      <c r="L40" s="116" t="n">
        <v>12</v>
      </c>
      <c r="M40" s="116" t="n">
        <v>7</v>
      </c>
      <c r="N40" s="116" t="n">
        <v>7</v>
      </c>
      <c r="O40" s="116" t="n">
        <v>7</v>
      </c>
      <c r="P40" s="116" t="n">
        <v>7</v>
      </c>
      <c r="Q40" s="116" t="n">
        <v>8</v>
      </c>
      <c r="R40" s="116" t="n">
        <v>4</v>
      </c>
      <c r="S40" s="116" t="n">
        <v>5</v>
      </c>
      <c r="T40" s="125" t="n">
        <v>14252</v>
      </c>
      <c r="U40" s="125" t="n">
        <v>17840</v>
      </c>
      <c r="V40" s="126" t="n">
        <v>1</v>
      </c>
      <c r="W40" s="125" t="n">
        <v>3568</v>
      </c>
      <c r="X40" s="126" t="n">
        <v>0.583</v>
      </c>
      <c r="Y40" s="126" t="n">
        <v>1</v>
      </c>
      <c r="Z40" s="126" t="n">
        <v>0.583</v>
      </c>
      <c r="AA40" s="126" t="n">
        <v>1</v>
      </c>
      <c r="AB40" s="126" t="n">
        <v>0.889</v>
      </c>
      <c r="AC40" s="126" t="n">
        <v>0.571</v>
      </c>
      <c r="AD40" s="126" t="n">
        <v>0.333</v>
      </c>
      <c r="AE40" s="126" t="n">
        <v>0.417</v>
      </c>
      <c r="AF40" s="125" t="n">
        <v>31473</v>
      </c>
      <c r="AG40" s="116" t="n">
        <v>0.57</v>
      </c>
      <c r="AH40" s="116" t="n">
        <v>9</v>
      </c>
      <c r="AI40" s="116" t="n">
        <v>8</v>
      </c>
      <c r="AJ40" s="116" t="n">
        <v>8</v>
      </c>
      <c r="AK40" s="116" t="n">
        <v>748</v>
      </c>
      <c r="AL40" s="116" t="n">
        <v>787</v>
      </c>
      <c r="AM40" s="125" t="n">
        <v>1722</v>
      </c>
      <c r="AN40" s="116" t="n">
        <v>97</v>
      </c>
      <c r="AO40" s="116" t="n">
        <v>691</v>
      </c>
      <c r="AP40" s="116" t="n">
        <v>0</v>
      </c>
      <c r="AQ40" s="116" t="n">
        <v>0</v>
      </c>
      <c r="AR40" s="116" t="n">
        <v>0</v>
      </c>
      <c r="AS40" s="116" t="n">
        <v>0</v>
      </c>
      <c r="AT40" s="116" t="n">
        <v>0</v>
      </c>
      <c r="AU40" s="116" t="n">
        <v>0</v>
      </c>
      <c r="AV40" s="116" t="n">
        <v>0</v>
      </c>
      <c r="AW40" s="116" t="n">
        <v>0</v>
      </c>
      <c r="AX40" s="116" t="n">
        <v>0</v>
      </c>
      <c r="AY40" s="116" t="n">
        <v>0</v>
      </c>
      <c r="AZ40" s="116" t="n"/>
      <c r="BA40" s="116" t="n"/>
      <c r="BB40" s="116" t="n"/>
      <c r="BC40" s="116" t="n"/>
      <c r="BD40" s="116" t="n"/>
      <c r="BE40" s="116" t="n"/>
      <c r="BF40" s="116" t="n"/>
      <c r="BG40" s="116" t="n"/>
      <c r="BH40" s="116" t="n"/>
      <c r="BI40" s="116" t="n"/>
      <c r="BJ40" s="116" t="n">
        <v>0</v>
      </c>
      <c r="BK40" s="116" t="n">
        <v>0</v>
      </c>
      <c r="BL40" s="116" t="n">
        <v>0</v>
      </c>
      <c r="BM40" s="116" t="n">
        <v>0</v>
      </c>
      <c r="BN40" s="116" t="n">
        <v>0</v>
      </c>
      <c r="BO40" s="116" t="n">
        <v>0</v>
      </c>
      <c r="BP40" s="116" t="n">
        <v>0</v>
      </c>
      <c r="BQ40" s="116" t="n">
        <v>0</v>
      </c>
      <c r="BR40" s="125" t="n">
        <v>14252</v>
      </c>
      <c r="BS40" s="125" t="n">
        <v>17840</v>
      </c>
      <c r="BT40" s="126" t="n">
        <v>1</v>
      </c>
      <c r="BU40" s="125" t="n">
        <v>3297</v>
      </c>
      <c r="BV40" s="125" t="n">
        <v>2864</v>
      </c>
      <c r="BW40" s="116" t="n">
        <v>748</v>
      </c>
      <c r="BX40" s="125" t="n">
        <v>27428</v>
      </c>
      <c r="BY40" s="125" t="n">
        <v>27250</v>
      </c>
      <c r="BZ40" s="125" t="n">
        <v>30862</v>
      </c>
      <c r="CA40" s="116" t="n">
        <v>0.46</v>
      </c>
      <c r="CB40" s="116" t="n">
        <v>890</v>
      </c>
      <c r="CC40" s="125" t="n">
        <v>31473</v>
      </c>
      <c r="CD40" s="116" t="n">
        <v>0.57</v>
      </c>
      <c r="CE40" s="127" t="n">
        <v>31624</v>
      </c>
      <c r="CF40" s="128" t="n">
        <v>0.5600000000000001</v>
      </c>
    </row>
    <row r="41">
      <c r="A41" s="116" t="inlineStr">
        <is>
          <t>2025年-7月叶翠翠</t>
        </is>
      </c>
      <c r="B41" s="107" t="n"/>
      <c r="C41" s="108" t="n"/>
      <c r="D41" s="108" t="n"/>
      <c r="E41" s="108" t="n"/>
      <c r="F41" s="108" t="n"/>
      <c r="G41" s="124" t="n"/>
      <c r="H41" s="116" t="n"/>
      <c r="I41" s="125" t="n">
        <v>13816</v>
      </c>
      <c r="J41" s="125" t="n">
        <v>13640</v>
      </c>
      <c r="K41" s="116" t="n"/>
      <c r="L41" s="116" t="n">
        <v>0</v>
      </c>
      <c r="M41" s="116" t="n">
        <v>0</v>
      </c>
      <c r="N41" s="116" t="n">
        <v>1</v>
      </c>
      <c r="O41" s="116" t="n">
        <v>0</v>
      </c>
      <c r="P41" s="116" t="n">
        <v>0</v>
      </c>
      <c r="Q41" s="116" t="n">
        <v>1</v>
      </c>
      <c r="R41" s="116" t="n">
        <v>0</v>
      </c>
      <c r="S41" s="116" t="n">
        <v>1</v>
      </c>
      <c r="T41" s="116" t="n">
        <v>0</v>
      </c>
      <c r="U41" s="125" t="n">
        <v>3588</v>
      </c>
      <c r="V41" s="126" t="n">
        <v>1</v>
      </c>
      <c r="W41" s="125" t="n">
        <v>3588</v>
      </c>
      <c r="X41" s="116" t="n"/>
      <c r="Y41" s="116" t="n"/>
      <c r="Z41" s="116" t="n"/>
      <c r="AA41" s="116" t="n"/>
      <c r="AB41" s="126" t="n">
        <v>1</v>
      </c>
      <c r="AC41" s="116" t="n"/>
      <c r="AD41" s="116" t="n"/>
      <c r="AE41" s="116" t="n"/>
      <c r="AF41" s="125" t="n">
        <v>14377</v>
      </c>
      <c r="AG41" s="116" t="n">
        <v>0.25</v>
      </c>
      <c r="AH41" s="116" t="n">
        <v>1</v>
      </c>
      <c r="AI41" s="116" t="n">
        <v>1</v>
      </c>
      <c r="AJ41" s="116" t="n">
        <v>1</v>
      </c>
      <c r="AK41" s="116" t="n">
        <v>0</v>
      </c>
      <c r="AL41" s="116" t="n">
        <v>105</v>
      </c>
      <c r="AM41" s="116" t="n">
        <v>367</v>
      </c>
      <c r="AN41" s="116" t="n">
        <v>0</v>
      </c>
      <c r="AO41" s="116" t="n">
        <v>88</v>
      </c>
      <c r="AP41" s="116" t="n">
        <v>0</v>
      </c>
      <c r="AQ41" s="116" t="n">
        <v>0</v>
      </c>
      <c r="AR41" s="116" t="n">
        <v>0</v>
      </c>
      <c r="AS41" s="116" t="n">
        <v>0</v>
      </c>
      <c r="AT41" s="116" t="n">
        <v>0</v>
      </c>
      <c r="AU41" s="116" t="n">
        <v>0</v>
      </c>
      <c r="AV41" s="116" t="n">
        <v>0</v>
      </c>
      <c r="AW41" s="116" t="n">
        <v>0</v>
      </c>
      <c r="AX41" s="116" t="n">
        <v>0</v>
      </c>
      <c r="AY41" s="116" t="n">
        <v>0</v>
      </c>
      <c r="AZ41" s="116" t="n"/>
      <c r="BA41" s="116" t="n"/>
      <c r="BB41" s="116" t="n"/>
      <c r="BC41" s="116" t="n"/>
      <c r="BD41" s="116" t="n"/>
      <c r="BE41" s="116" t="n"/>
      <c r="BF41" s="116" t="n"/>
      <c r="BG41" s="116" t="n"/>
      <c r="BH41" s="116" t="n"/>
      <c r="BI41" s="116" t="n"/>
      <c r="BJ41" s="116" t="n">
        <v>0</v>
      </c>
      <c r="BK41" s="116" t="n">
        <v>0</v>
      </c>
      <c r="BL41" s="116" t="n">
        <v>0</v>
      </c>
      <c r="BM41" s="116" t="n">
        <v>0</v>
      </c>
      <c r="BN41" s="116" t="n">
        <v>0</v>
      </c>
      <c r="BO41" s="116" t="n">
        <v>0</v>
      </c>
      <c r="BP41" s="116" t="n">
        <v>0</v>
      </c>
      <c r="BQ41" s="116" t="n">
        <v>0</v>
      </c>
      <c r="BR41" s="116" t="n">
        <v>0</v>
      </c>
      <c r="BS41" s="125" t="n">
        <v>3588</v>
      </c>
      <c r="BT41" s="126" t="n">
        <v>1</v>
      </c>
      <c r="BU41" s="116" t="n">
        <v>560</v>
      </c>
      <c r="BV41" s="116" t="n">
        <v>0</v>
      </c>
      <c r="BW41" s="116" t="n">
        <v>0</v>
      </c>
      <c r="BX41" s="125" t="n">
        <v>13816</v>
      </c>
      <c r="BY41" s="125" t="n">
        <v>13640</v>
      </c>
      <c r="BZ41" s="125" t="n">
        <v>13640</v>
      </c>
      <c r="CA41" s="116" t="n"/>
      <c r="CB41" s="116" t="n">
        <v>176</v>
      </c>
      <c r="CC41" s="125" t="n">
        <v>14377</v>
      </c>
      <c r="CD41" s="116" t="n">
        <v>0.25</v>
      </c>
      <c r="CE41" s="127" t="n">
        <v>14377</v>
      </c>
      <c r="CF41" s="128" t="n">
        <v>0.25</v>
      </c>
    </row>
    <row r="42">
      <c r="A42" s="116" t="inlineStr">
        <is>
          <t>叶翠翠-汇总</t>
        </is>
      </c>
      <c r="B42" s="107" t="n"/>
      <c r="C42" s="108" t="n"/>
      <c r="D42" s="108" t="n"/>
      <c r="E42" s="108" t="n"/>
      <c r="F42" s="108" t="n"/>
      <c r="G42" s="124" t="n"/>
      <c r="H42" s="116" t="n"/>
      <c r="I42" s="125" t="n">
        <v>130601</v>
      </c>
      <c r="J42" s="125" t="n">
        <v>129535</v>
      </c>
      <c r="K42" s="125" t="n">
        <v>1167</v>
      </c>
      <c r="L42" s="116" t="n">
        <v>111</v>
      </c>
      <c r="M42" s="116" t="n">
        <v>51</v>
      </c>
      <c r="N42" s="116" t="n">
        <v>55</v>
      </c>
      <c r="O42" s="116" t="n">
        <v>50</v>
      </c>
      <c r="P42" s="116" t="n">
        <v>34</v>
      </c>
      <c r="Q42" s="116" t="n">
        <v>42</v>
      </c>
      <c r="R42" s="116" t="n">
        <v>13</v>
      </c>
      <c r="S42" s="116" t="n">
        <v>15</v>
      </c>
      <c r="T42" s="125" t="n">
        <v>49144</v>
      </c>
      <c r="U42" s="125" t="n">
        <v>56320</v>
      </c>
      <c r="V42" s="116" t="n"/>
      <c r="W42" s="125" t="n">
        <v>3755</v>
      </c>
      <c r="X42" s="126" t="n">
        <v>0.4595</v>
      </c>
      <c r="Y42" s="126" t="n">
        <v>0.9804</v>
      </c>
      <c r="Z42" s="126" t="n">
        <v>0.4505</v>
      </c>
      <c r="AA42" s="126" t="n">
        <v>0.68</v>
      </c>
      <c r="AB42" s="126" t="n">
        <v>0.9444</v>
      </c>
      <c r="AC42" s="126" t="n">
        <v>0.3824</v>
      </c>
      <c r="AD42" s="126" t="n">
        <v>0.1171</v>
      </c>
      <c r="AE42" s="126" t="n">
        <v>0.1351</v>
      </c>
      <c r="AF42" s="125" t="n">
        <v>156168</v>
      </c>
      <c r="AG42" s="116" t="n">
        <v>0.36</v>
      </c>
      <c r="AH42" s="116" t="n">
        <v>46</v>
      </c>
      <c r="AI42" s="116" t="n">
        <v>42</v>
      </c>
      <c r="AJ42" s="116" t="n">
        <v>44</v>
      </c>
      <c r="AK42" s="125" t="n">
        <v>8362</v>
      </c>
      <c r="AL42" s="125" t="n">
        <v>7041</v>
      </c>
      <c r="AM42" s="125" t="n">
        <v>5331</v>
      </c>
      <c r="AN42" s="125" t="n">
        <v>1039</v>
      </c>
      <c r="AO42" s="125" t="n">
        <v>3794</v>
      </c>
      <c r="AP42" s="116" t="n">
        <v>0</v>
      </c>
      <c r="AQ42" s="116" t="n">
        <v>0</v>
      </c>
      <c r="AR42" s="116" t="n"/>
      <c r="AS42" s="116" t="n">
        <v>0</v>
      </c>
      <c r="AT42" s="116" t="n">
        <v>0</v>
      </c>
      <c r="AU42" s="116" t="n">
        <v>0</v>
      </c>
      <c r="AV42" s="116" t="n">
        <v>0</v>
      </c>
      <c r="AW42" s="116" t="n">
        <v>0</v>
      </c>
      <c r="AX42" s="116" t="n">
        <v>0</v>
      </c>
      <c r="AY42" s="116" t="n">
        <v>0</v>
      </c>
      <c r="AZ42" s="116" t="n"/>
      <c r="BA42" s="116" t="e">
        <v>#DIV/0!</v>
      </c>
      <c r="BB42" s="116" t="e">
        <v>#DIV/0!</v>
      </c>
      <c r="BC42" s="116" t="e">
        <v>#DIV/0!</v>
      </c>
      <c r="BD42" s="116" t="e">
        <v>#DIV/0!</v>
      </c>
      <c r="BE42" s="116" t="e">
        <v>#DIV/0!</v>
      </c>
      <c r="BF42" s="116" t="e">
        <v>#DIV/0!</v>
      </c>
      <c r="BG42" s="116" t="e">
        <v>#DIV/0!</v>
      </c>
      <c r="BH42" s="116" t="e">
        <v>#DIV/0!</v>
      </c>
      <c r="BI42" s="116" t="e">
        <v>#DIV/0!</v>
      </c>
      <c r="BJ42" s="116" t="n">
        <v>0</v>
      </c>
      <c r="BK42" s="116" t="n">
        <v>0</v>
      </c>
      <c r="BL42" s="116" t="n">
        <v>0</v>
      </c>
      <c r="BM42" s="116" t="n">
        <v>0</v>
      </c>
      <c r="BN42" s="116" t="n">
        <v>0</v>
      </c>
      <c r="BO42" s="116" t="n">
        <v>0</v>
      </c>
      <c r="BP42" s="116" t="n">
        <v>0</v>
      </c>
      <c r="BQ42" s="116" t="n">
        <v>0</v>
      </c>
      <c r="BR42" s="125" t="n">
        <v>49144</v>
      </c>
      <c r="BS42" s="125" t="n">
        <v>56320</v>
      </c>
      <c r="BT42" s="116" t="n"/>
      <c r="BU42" s="125" t="n">
        <v>17205</v>
      </c>
      <c r="BV42" s="125" t="n">
        <v>15149</v>
      </c>
      <c r="BW42" s="125" t="n">
        <v>8362</v>
      </c>
      <c r="BX42" s="125" t="n">
        <v>130601</v>
      </c>
      <c r="BY42" s="125" t="n">
        <v>130247</v>
      </c>
      <c r="BZ42" s="125" t="n">
        <v>153758</v>
      </c>
      <c r="CA42" s="116" t="n">
        <v>0.32</v>
      </c>
      <c r="CB42" s="125" t="n">
        <v>1066</v>
      </c>
      <c r="CC42" s="125" t="n">
        <v>156168</v>
      </c>
      <c r="CD42" s="116" t="n">
        <v>0.36</v>
      </c>
      <c r="CE42" s="127" t="n">
        <v>156131</v>
      </c>
      <c r="CF42" s="128" t="n">
        <v>0.36</v>
      </c>
    </row>
    <row r="43">
      <c r="A43" s="116" t="inlineStr">
        <is>
          <t>2025年-5月陈山聪</t>
        </is>
      </c>
      <c r="B43" s="107" t="n"/>
      <c r="C43" s="108" t="n"/>
      <c r="D43" s="108" t="n"/>
      <c r="E43" s="108" t="n"/>
      <c r="F43" s="108" t="n"/>
      <c r="G43" s="124" t="n"/>
      <c r="H43" s="116" t="n"/>
      <c r="I43" s="125" t="n">
        <v>139976</v>
      </c>
      <c r="J43" s="125" t="n">
        <v>139976</v>
      </c>
      <c r="K43" s="116" t="n">
        <v>467</v>
      </c>
      <c r="L43" s="116" t="n">
        <v>300</v>
      </c>
      <c r="M43" s="116" t="n">
        <v>133</v>
      </c>
      <c r="N43" s="116" t="n">
        <v>133</v>
      </c>
      <c r="O43" s="116" t="n">
        <v>135</v>
      </c>
      <c r="P43" s="116" t="n">
        <v>94</v>
      </c>
      <c r="Q43" s="116" t="n">
        <v>94</v>
      </c>
      <c r="R43" s="116" t="n">
        <v>34</v>
      </c>
      <c r="S43" s="116" t="n">
        <v>34</v>
      </c>
      <c r="T43" s="125" t="n">
        <v>172292</v>
      </c>
      <c r="U43" s="125" t="n">
        <v>172292</v>
      </c>
      <c r="V43" s="126" t="n">
        <v>1</v>
      </c>
      <c r="W43" s="125" t="n">
        <v>5067</v>
      </c>
      <c r="X43" s="126" t="n">
        <v>0.443</v>
      </c>
      <c r="Y43" s="126" t="n">
        <v>1.015</v>
      </c>
      <c r="Z43" s="126" t="n">
        <v>0.45</v>
      </c>
      <c r="AA43" s="126" t="n">
        <v>0.696</v>
      </c>
      <c r="AB43" s="126" t="n">
        <v>0.904</v>
      </c>
      <c r="AC43" s="126" t="n">
        <v>0.362</v>
      </c>
      <c r="AD43" s="126" t="n">
        <v>0.113</v>
      </c>
      <c r="AE43" s="126" t="n">
        <v>0.113</v>
      </c>
      <c r="AF43" s="125" t="n">
        <v>201653</v>
      </c>
      <c r="AG43" s="116" t="n">
        <v>0.85</v>
      </c>
      <c r="AH43" s="116" t="n">
        <v>104</v>
      </c>
      <c r="AI43" s="116" t="n">
        <v>94</v>
      </c>
      <c r="AJ43" s="116" t="n">
        <v>104</v>
      </c>
      <c r="AK43" s="125" t="n">
        <v>17009</v>
      </c>
      <c r="AL43" s="125" t="n">
        <v>16322</v>
      </c>
      <c r="AM43" s="125" t="n">
        <v>16523</v>
      </c>
      <c r="AN43" s="125" t="n">
        <v>2790</v>
      </c>
      <c r="AO43" s="125" t="n">
        <v>9034</v>
      </c>
      <c r="AP43" s="116" t="n">
        <v>0</v>
      </c>
      <c r="AQ43" s="116" t="n">
        <v>0</v>
      </c>
      <c r="AR43" s="116" t="n">
        <v>0</v>
      </c>
      <c r="AS43" s="116" t="n">
        <v>0</v>
      </c>
      <c r="AT43" s="116" t="n">
        <v>0</v>
      </c>
      <c r="AU43" s="116" t="n">
        <v>0</v>
      </c>
      <c r="AV43" s="116" t="n">
        <v>0</v>
      </c>
      <c r="AW43" s="116" t="n">
        <v>0</v>
      </c>
      <c r="AX43" s="116" t="n">
        <v>0</v>
      </c>
      <c r="AY43" s="116" t="n">
        <v>0</v>
      </c>
      <c r="AZ43" s="116" t="n"/>
      <c r="BA43" s="116" t="n"/>
      <c r="BB43" s="116" t="n"/>
      <c r="BC43" s="116" t="n"/>
      <c r="BD43" s="116" t="n"/>
      <c r="BE43" s="116" t="n"/>
      <c r="BF43" s="116" t="n"/>
      <c r="BG43" s="116" t="n"/>
      <c r="BH43" s="116" t="n"/>
      <c r="BI43" s="116" t="n"/>
      <c r="BJ43" s="116" t="n">
        <v>0</v>
      </c>
      <c r="BK43" s="116" t="n">
        <v>0</v>
      </c>
      <c r="BL43" s="116" t="n">
        <v>0</v>
      </c>
      <c r="BM43" s="116" t="n">
        <v>0</v>
      </c>
      <c r="BN43" s="116" t="n">
        <v>0</v>
      </c>
      <c r="BO43" s="116" t="n">
        <v>0</v>
      </c>
      <c r="BP43" s="116" t="n">
        <v>0</v>
      </c>
      <c r="BQ43" s="116" t="n">
        <v>0</v>
      </c>
      <c r="BR43" s="125" t="n">
        <v>172292</v>
      </c>
      <c r="BS43" s="125" t="n">
        <v>172292</v>
      </c>
      <c r="BT43" s="126" t="n">
        <v>1</v>
      </c>
      <c r="BU43" s="125" t="n">
        <v>44669</v>
      </c>
      <c r="BV43" s="125" t="n">
        <v>44669</v>
      </c>
      <c r="BW43" s="125" t="n">
        <v>17009</v>
      </c>
      <c r="BX43" s="125" t="n">
        <v>139976</v>
      </c>
      <c r="BY43" s="125" t="n">
        <v>139976</v>
      </c>
      <c r="BZ43" s="125" t="n">
        <v>201653</v>
      </c>
      <c r="CA43" s="116" t="n">
        <v>0.85</v>
      </c>
      <c r="CB43" s="116" t="n"/>
      <c r="CC43" s="125" t="n">
        <v>201653</v>
      </c>
      <c r="CD43" s="116" t="n">
        <v>0.85</v>
      </c>
      <c r="CE43" s="127" t="n">
        <v>207144</v>
      </c>
      <c r="CF43" s="128" t="n">
        <v>0.83</v>
      </c>
    </row>
    <row r="44">
      <c r="A44" s="116" t="inlineStr">
        <is>
          <t>2025年-6月陈山聪</t>
        </is>
      </c>
      <c r="B44" s="107" t="n"/>
      <c r="C44" s="108" t="n"/>
      <c r="D44" s="108" t="n"/>
      <c r="E44" s="108" t="n"/>
      <c r="F44" s="108" t="n"/>
      <c r="G44" s="124" t="n"/>
      <c r="H44" s="116" t="n"/>
      <c r="I44" s="125" t="n">
        <v>109228</v>
      </c>
      <c r="J44" s="125" t="n">
        <v>104223</v>
      </c>
      <c r="K44" s="116" t="n">
        <v>1148</v>
      </c>
      <c r="L44" s="116" t="n">
        <v>95</v>
      </c>
      <c r="M44" s="116" t="n">
        <v>47</v>
      </c>
      <c r="N44" s="116" t="n">
        <v>53</v>
      </c>
      <c r="O44" s="116" t="n">
        <v>47</v>
      </c>
      <c r="P44" s="116" t="n">
        <v>33</v>
      </c>
      <c r="Q44" s="116" t="n">
        <v>63</v>
      </c>
      <c r="R44" s="116" t="n">
        <v>13</v>
      </c>
      <c r="S44" s="116" t="n">
        <v>27</v>
      </c>
      <c r="T44" s="125" t="n">
        <v>55144</v>
      </c>
      <c r="U44" s="125" t="n">
        <v>122076</v>
      </c>
      <c r="V44" s="126" t="n">
        <v>1</v>
      </c>
      <c r="W44" s="125" t="n">
        <v>4521</v>
      </c>
      <c r="X44" s="126" t="n">
        <v>0.495</v>
      </c>
      <c r="Y44" s="126" t="n">
        <v>1</v>
      </c>
      <c r="Z44" s="126" t="n">
        <v>0.495</v>
      </c>
      <c r="AA44" s="126" t="n">
        <v>0.702</v>
      </c>
      <c r="AB44" s="126" t="n">
        <v>0.875</v>
      </c>
      <c r="AC44" s="126" t="n">
        <v>0.394</v>
      </c>
      <c r="AD44" s="126" t="n">
        <v>0.137</v>
      </c>
      <c r="AE44" s="126" t="n">
        <v>0.284</v>
      </c>
      <c r="AF44" s="125" t="n">
        <v>139767</v>
      </c>
      <c r="AG44" s="116" t="n">
        <v>0.87</v>
      </c>
      <c r="AH44" s="116" t="n">
        <v>72</v>
      </c>
      <c r="AI44" s="116" t="n">
        <v>63</v>
      </c>
      <c r="AJ44" s="116" t="n">
        <v>73</v>
      </c>
      <c r="AK44" s="125" t="n">
        <v>5926</v>
      </c>
      <c r="AL44" s="125" t="n">
        <v>5956</v>
      </c>
      <c r="AM44" s="125" t="n">
        <v>11784</v>
      </c>
      <c r="AN44" s="116" t="n">
        <v>767</v>
      </c>
      <c r="AO44" s="125" t="n">
        <v>6304</v>
      </c>
      <c r="AP44" s="116" t="n">
        <v>37</v>
      </c>
      <c r="AQ44" s="116" t="n">
        <v>18</v>
      </c>
      <c r="AR44" s="116" t="n">
        <v>18</v>
      </c>
      <c r="AS44" s="116" t="n">
        <v>19</v>
      </c>
      <c r="AT44" s="116" t="n">
        <v>10</v>
      </c>
      <c r="AU44" s="116" t="n">
        <v>10</v>
      </c>
      <c r="AV44" s="116" t="n">
        <v>2</v>
      </c>
      <c r="AW44" s="116" t="n">
        <v>2</v>
      </c>
      <c r="AX44" s="125" t="n">
        <v>6817</v>
      </c>
      <c r="AY44" s="116" t="n">
        <v>6817</v>
      </c>
      <c r="AZ44" s="126" t="n">
        <v>1</v>
      </c>
      <c r="BA44" s="116" t="n">
        <v>3409</v>
      </c>
      <c r="BB44" s="126" t="n">
        <v>0.486</v>
      </c>
      <c r="BC44" s="126" t="n">
        <v>1.056</v>
      </c>
      <c r="BD44" s="126" t="n">
        <v>0.514</v>
      </c>
      <c r="BE44" s="126" t="n">
        <v>0.526</v>
      </c>
      <c r="BF44" s="126" t="n">
        <v>0.526</v>
      </c>
      <c r="BG44" s="126" t="n">
        <v>0.2</v>
      </c>
      <c r="BH44" s="126" t="n">
        <v>0.054</v>
      </c>
      <c r="BI44" s="126" t="n">
        <v>0.0541</v>
      </c>
      <c r="BJ44" s="116" t="n">
        <v>19</v>
      </c>
      <c r="BK44" s="116" t="n">
        <v>10</v>
      </c>
      <c r="BL44" s="116" t="n">
        <v>10</v>
      </c>
      <c r="BM44" s="125" t="n">
        <v>2071</v>
      </c>
      <c r="BN44" s="125" t="n">
        <v>1619</v>
      </c>
      <c r="BO44" s="116" t="n">
        <v>709</v>
      </c>
      <c r="BP44" s="116" t="n">
        <v>299</v>
      </c>
      <c r="BQ44" s="116" t="n">
        <v>789</v>
      </c>
      <c r="BR44" s="125" t="n">
        <v>61961</v>
      </c>
      <c r="BS44" s="125" t="n">
        <v>128893</v>
      </c>
      <c r="BT44" s="126" t="n">
        <v>1</v>
      </c>
      <c r="BU44" s="125" t="n">
        <v>28228</v>
      </c>
      <c r="BV44" s="125" t="n">
        <v>18070</v>
      </c>
      <c r="BW44" s="125" t="n">
        <v>7997</v>
      </c>
      <c r="BX44" s="125" t="n">
        <v>109228</v>
      </c>
      <c r="BY44" s="125" t="n">
        <v>106736</v>
      </c>
      <c r="BZ44" s="125" t="n">
        <v>132803</v>
      </c>
      <c r="CA44" s="116" t="n">
        <v>0.47</v>
      </c>
      <c r="CB44" s="125" t="n">
        <v>5004</v>
      </c>
      <c r="CC44" s="125" t="n">
        <v>145452</v>
      </c>
      <c r="CD44" s="116" t="n">
        <v>0.89</v>
      </c>
      <c r="CE44" s="127" t="n">
        <v>147356</v>
      </c>
      <c r="CF44" s="128" t="n">
        <v>0.87</v>
      </c>
    </row>
    <row r="45">
      <c r="A45" s="116" t="inlineStr">
        <is>
          <t>2025年-7月陈山聪</t>
        </is>
      </c>
      <c r="B45" s="107" t="n"/>
      <c r="C45" s="108" t="n"/>
      <c r="D45" s="108" t="n"/>
      <c r="E45" s="108" t="n"/>
      <c r="F45" s="108" t="n"/>
      <c r="G45" s="124" t="n"/>
      <c r="H45" s="116" t="n"/>
      <c r="I45" s="125" t="n">
        <v>84509</v>
      </c>
      <c r="J45" s="125" t="n">
        <v>81686</v>
      </c>
      <c r="K45" s="116" t="n">
        <v>994</v>
      </c>
      <c r="L45" s="116" t="n">
        <v>85</v>
      </c>
      <c r="M45" s="116" t="n">
        <v>47</v>
      </c>
      <c r="N45" s="116" t="n">
        <v>49</v>
      </c>
      <c r="O45" s="116" t="n">
        <v>47</v>
      </c>
      <c r="P45" s="116" t="n">
        <v>34</v>
      </c>
      <c r="Q45" s="116" t="n">
        <v>44</v>
      </c>
      <c r="R45" s="116" t="n">
        <v>8</v>
      </c>
      <c r="S45" s="116" t="n">
        <v>16</v>
      </c>
      <c r="T45" s="125" t="n">
        <v>31304</v>
      </c>
      <c r="U45" s="125" t="n">
        <v>74108</v>
      </c>
      <c r="V45" s="126" t="n">
        <v>1</v>
      </c>
      <c r="W45" s="125" t="n">
        <v>4632</v>
      </c>
      <c r="X45" s="126" t="n">
        <v>0.5528999999999999</v>
      </c>
      <c r="Y45" s="126" t="n">
        <v>1</v>
      </c>
      <c r="Z45" s="126" t="n">
        <v>0.5528999999999999</v>
      </c>
      <c r="AA45" s="126" t="n">
        <v>0.7234</v>
      </c>
      <c r="AB45" s="126" t="n">
        <v>1</v>
      </c>
      <c r="AC45" s="126" t="n">
        <v>0.2353</v>
      </c>
      <c r="AD45" s="126" t="n">
        <v>0.0941</v>
      </c>
      <c r="AE45" s="126" t="n">
        <v>0.1882</v>
      </c>
      <c r="AF45" s="125" t="n">
        <v>106173</v>
      </c>
      <c r="AG45" s="116" t="n">
        <v>0.7</v>
      </c>
      <c r="AH45" s="116" t="n">
        <v>44</v>
      </c>
      <c r="AI45" s="116" t="n">
        <v>44</v>
      </c>
      <c r="AJ45" s="116" t="n">
        <v>49</v>
      </c>
      <c r="AK45" s="125" t="n">
        <v>3740</v>
      </c>
      <c r="AL45" s="125" t="n">
        <v>5142</v>
      </c>
      <c r="AM45" s="125" t="n">
        <v>7589</v>
      </c>
      <c r="AN45" s="116" t="n">
        <v>875</v>
      </c>
      <c r="AO45" s="125" t="n">
        <v>4319</v>
      </c>
      <c r="AP45" s="116" t="n">
        <v>0</v>
      </c>
      <c r="AQ45" s="116" t="n">
        <v>0</v>
      </c>
      <c r="AR45" s="116" t="n">
        <v>0</v>
      </c>
      <c r="AS45" s="116" t="n">
        <v>0</v>
      </c>
      <c r="AT45" s="116" t="n">
        <v>0</v>
      </c>
      <c r="AU45" s="116" t="n">
        <v>0</v>
      </c>
      <c r="AV45" s="116" t="n">
        <v>0</v>
      </c>
      <c r="AW45" s="116" t="n">
        <v>0</v>
      </c>
      <c r="AX45" s="116" t="n">
        <v>0</v>
      </c>
      <c r="AY45" s="116" t="n">
        <v>0</v>
      </c>
      <c r="AZ45" s="116" t="n"/>
      <c r="BA45" s="116" t="n"/>
      <c r="BB45" s="116" t="n"/>
      <c r="BC45" s="116" t="n"/>
      <c r="BD45" s="116" t="n"/>
      <c r="BE45" s="116" t="n"/>
      <c r="BF45" s="116" t="n"/>
      <c r="BG45" s="116" t="n"/>
      <c r="BH45" s="116" t="n"/>
      <c r="BI45" s="116" t="n"/>
      <c r="BJ45" s="116" t="n">
        <v>0</v>
      </c>
      <c r="BK45" s="116" t="n">
        <v>0</v>
      </c>
      <c r="BL45" s="116" t="n">
        <v>0</v>
      </c>
      <c r="BM45" s="116" t="n">
        <v>0</v>
      </c>
      <c r="BN45" s="116" t="n">
        <v>0</v>
      </c>
      <c r="BO45" s="116" t="n">
        <v>0</v>
      </c>
      <c r="BP45" s="116" t="n">
        <v>0</v>
      </c>
      <c r="BQ45" s="116" t="n">
        <v>0</v>
      </c>
      <c r="BR45" s="125" t="n">
        <v>31304</v>
      </c>
      <c r="BS45" s="125" t="n">
        <v>74108</v>
      </c>
      <c r="BT45" s="126" t="n">
        <v>1</v>
      </c>
      <c r="BU45" s="125" t="n">
        <v>17924</v>
      </c>
      <c r="BV45" s="125" t="n">
        <v>12274</v>
      </c>
      <c r="BW45" s="125" t="n">
        <v>3740</v>
      </c>
      <c r="BX45" s="125" t="n">
        <v>84509</v>
      </c>
      <c r="BY45" s="125" t="n">
        <v>83097</v>
      </c>
      <c r="BZ45" s="125" t="n">
        <v>99111</v>
      </c>
      <c r="CA45" s="116" t="n">
        <v>0.32</v>
      </c>
      <c r="CB45" s="125" t="n">
        <v>2823</v>
      </c>
      <c r="CC45" s="125" t="n">
        <v>106173</v>
      </c>
      <c r="CD45" s="116" t="n">
        <v>0.7</v>
      </c>
      <c r="CE45" s="127" t="n">
        <v>108808</v>
      </c>
      <c r="CF45" s="128" t="n">
        <v>0.68</v>
      </c>
    </row>
    <row r="46">
      <c r="A46" s="116" t="inlineStr">
        <is>
          <t>2025年-8月陈山聪</t>
        </is>
      </c>
      <c r="B46" s="107" t="n"/>
      <c r="C46" s="108" t="n"/>
      <c r="D46" s="108" t="n"/>
      <c r="E46" s="108" t="n"/>
      <c r="F46" s="108" t="n"/>
      <c r="G46" s="124" t="n"/>
      <c r="H46" s="116" t="n"/>
      <c r="I46" s="109" t="n">
        <v>9753</v>
      </c>
      <c r="J46" s="109" t="n">
        <v>9753</v>
      </c>
      <c r="K46" s="108" t="n">
        <v>813</v>
      </c>
      <c r="L46" s="108" t="n">
        <v>12</v>
      </c>
      <c r="M46" s="108" t="n">
        <v>2</v>
      </c>
      <c r="N46" s="108" t="n">
        <v>2</v>
      </c>
      <c r="O46" s="108" t="n">
        <v>2</v>
      </c>
      <c r="P46" s="108" t="n">
        <v>1</v>
      </c>
      <c r="Q46" s="108" t="n">
        <v>6</v>
      </c>
      <c r="R46" s="108" t="n">
        <v>0</v>
      </c>
      <c r="S46" s="108" t="n">
        <v>1</v>
      </c>
      <c r="T46" s="108" t="n">
        <v>0</v>
      </c>
      <c r="U46" s="109" t="n">
        <v>3588</v>
      </c>
      <c r="V46" s="110" t="n">
        <v>1</v>
      </c>
      <c r="W46" s="109" t="n">
        <v>3588</v>
      </c>
      <c r="X46" s="110" t="n">
        <v>0.167</v>
      </c>
      <c r="Y46" s="110" t="n">
        <v>1</v>
      </c>
      <c r="Z46" s="110" t="n">
        <v>0.167</v>
      </c>
      <c r="AA46" s="110" t="n">
        <v>0.5</v>
      </c>
      <c r="AB46" s="110" t="n">
        <v>1</v>
      </c>
      <c r="AC46" s="110" t="n">
        <v>0</v>
      </c>
      <c r="AD46" s="110" t="n">
        <v>0</v>
      </c>
      <c r="AE46" s="110" t="n">
        <v>0.083</v>
      </c>
      <c r="AF46" s="109" t="n">
        <v>12212</v>
      </c>
      <c r="AG46" s="108" t="n">
        <v>0.29</v>
      </c>
      <c r="AH46" s="108" t="n">
        <v>6</v>
      </c>
      <c r="AI46" s="108" t="n">
        <v>6</v>
      </c>
      <c r="AJ46" s="108" t="n">
        <v>6</v>
      </c>
      <c r="AK46" s="109" t="n">
        <v>1187</v>
      </c>
      <c r="AL46" s="108" t="n">
        <v>263</v>
      </c>
      <c r="AM46" s="108" t="n">
        <v>384</v>
      </c>
      <c r="AN46" s="108" t="n">
        <v>120</v>
      </c>
      <c r="AO46" s="108" t="n">
        <v>505</v>
      </c>
      <c r="AP46" s="108" t="n">
        <v>0</v>
      </c>
      <c r="AQ46" s="108" t="n">
        <v>0</v>
      </c>
      <c r="AR46" s="108" t="n">
        <v>0</v>
      </c>
      <c r="AS46" s="108" t="n">
        <v>0</v>
      </c>
      <c r="AT46" s="108" t="n">
        <v>0</v>
      </c>
      <c r="AU46" s="108" t="n">
        <v>0</v>
      </c>
      <c r="AV46" s="108" t="n">
        <v>0</v>
      </c>
      <c r="AW46" s="108" t="n">
        <v>0</v>
      </c>
      <c r="AX46" s="108" t="n">
        <v>0</v>
      </c>
      <c r="AY46" s="108" t="n">
        <v>0</v>
      </c>
      <c r="AZ46" s="108" t="n"/>
      <c r="BA46" s="108" t="n"/>
      <c r="BB46" s="108" t="n"/>
      <c r="BC46" s="108" t="n"/>
      <c r="BD46" s="108" t="n"/>
      <c r="BE46" s="108" t="n"/>
      <c r="BF46" s="108" t="n"/>
      <c r="BG46" s="108" t="n"/>
      <c r="BH46" s="108" t="n"/>
      <c r="BI46" s="108" t="n"/>
      <c r="BJ46" s="108" t="n">
        <v>0</v>
      </c>
      <c r="BK46" s="108" t="n">
        <v>0</v>
      </c>
      <c r="BL46" s="108" t="n">
        <v>0</v>
      </c>
      <c r="BM46" s="108" t="n">
        <v>0</v>
      </c>
      <c r="BN46" s="108" t="n">
        <v>0</v>
      </c>
      <c r="BO46" s="108" t="n">
        <v>0</v>
      </c>
      <c r="BP46" s="108" t="n">
        <v>0</v>
      </c>
      <c r="BQ46" s="108" t="n">
        <v>0</v>
      </c>
      <c r="BR46" s="108" t="n">
        <v>0</v>
      </c>
      <c r="BS46" s="109" t="n">
        <v>3588</v>
      </c>
      <c r="BT46" s="110" t="n">
        <v>1</v>
      </c>
      <c r="BU46" s="109" t="n">
        <v>1272</v>
      </c>
      <c r="BV46" s="108" t="n">
        <v>467</v>
      </c>
      <c r="BW46" s="109" t="n">
        <v>1187</v>
      </c>
      <c r="BX46" s="109" t="n">
        <v>9753</v>
      </c>
      <c r="BY46" s="109" t="n">
        <v>9753</v>
      </c>
      <c r="BZ46" s="109" t="n">
        <v>11408</v>
      </c>
      <c r="CA46" s="108" t="n">
        <v>0</v>
      </c>
      <c r="CB46" s="108" t="inlineStr">
        <is>
          <t>-</t>
        </is>
      </c>
      <c r="CC46" s="109" t="n">
        <v>12212</v>
      </c>
      <c r="CD46" s="108" t="n">
        <v>0.29</v>
      </c>
      <c r="CE46" s="109" t="n">
        <v>11925</v>
      </c>
      <c r="CF46" s="108" t="n">
        <v>0.3</v>
      </c>
    </row>
    <row r="47">
      <c r="A47" s="116" t="inlineStr">
        <is>
          <t>2025年-9月陈山聪</t>
        </is>
      </c>
      <c r="B47" s="107" t="n"/>
      <c r="C47" s="108" t="n"/>
      <c r="D47" s="108" t="n"/>
      <c r="E47" s="108" t="n"/>
      <c r="F47" s="108" t="n"/>
      <c r="G47" s="124" t="n"/>
      <c r="H47" s="125" t="n">
        <v>2480</v>
      </c>
      <c r="I47" s="109" t="n">
        <v>22183</v>
      </c>
      <c r="J47" s="109" t="n">
        <v>21826</v>
      </c>
      <c r="K47" s="108" t="n">
        <v>693</v>
      </c>
      <c r="L47" s="108" t="n">
        <v>32</v>
      </c>
      <c r="M47" s="108" t="n">
        <v>9</v>
      </c>
      <c r="N47" s="108" t="n">
        <v>9</v>
      </c>
      <c r="O47" s="108" t="n">
        <v>9</v>
      </c>
      <c r="P47" s="108" t="n">
        <v>5</v>
      </c>
      <c r="Q47" s="108" t="n">
        <v>10</v>
      </c>
      <c r="R47" s="108" t="n">
        <v>1</v>
      </c>
      <c r="S47" s="108" t="n">
        <v>2</v>
      </c>
      <c r="T47" s="109" t="n">
        <v>3588</v>
      </c>
      <c r="U47" s="109" t="n">
        <v>7176</v>
      </c>
      <c r="V47" s="110" t="n">
        <v>1</v>
      </c>
      <c r="W47" s="109" t="n">
        <v>3588</v>
      </c>
      <c r="X47" s="110" t="n">
        <v>0.281</v>
      </c>
      <c r="Y47" s="110" t="n">
        <v>1</v>
      </c>
      <c r="Z47" s="110" t="n">
        <v>0.281</v>
      </c>
      <c r="AA47" s="110" t="n">
        <v>0.556</v>
      </c>
      <c r="AB47" s="110" t="n">
        <v>1</v>
      </c>
      <c r="AC47" s="110" t="n">
        <v>0.2</v>
      </c>
      <c r="AD47" s="110" t="n">
        <v>0.031</v>
      </c>
      <c r="AE47" s="110" t="n">
        <v>0.063</v>
      </c>
      <c r="AF47" s="109" t="n">
        <v>28054</v>
      </c>
      <c r="AG47" s="108" t="n">
        <v>0.26</v>
      </c>
      <c r="AH47" s="108" t="n">
        <v>10</v>
      </c>
      <c r="AI47" s="108" t="n">
        <v>10</v>
      </c>
      <c r="AJ47" s="108" t="n">
        <v>12</v>
      </c>
      <c r="AK47" s="109" t="n">
        <v>2425</v>
      </c>
      <c r="AL47" s="109" t="n">
        <v>1301</v>
      </c>
      <c r="AM47" s="108" t="n">
        <v>806</v>
      </c>
      <c r="AN47" s="108" t="n">
        <v>320</v>
      </c>
      <c r="AO47" s="109" t="n">
        <v>1019</v>
      </c>
      <c r="AP47" s="108" t="n">
        <v>0</v>
      </c>
      <c r="AQ47" s="108" t="n">
        <v>0</v>
      </c>
      <c r="AR47" s="108" t="n">
        <v>0</v>
      </c>
      <c r="AS47" s="108" t="n">
        <v>0</v>
      </c>
      <c r="AT47" s="108" t="n">
        <v>0</v>
      </c>
      <c r="AU47" s="108" t="n">
        <v>0</v>
      </c>
      <c r="AV47" s="108" t="n">
        <v>0</v>
      </c>
      <c r="AW47" s="108" t="n">
        <v>0</v>
      </c>
      <c r="AX47" s="108" t="n">
        <v>0</v>
      </c>
      <c r="AY47" s="108" t="n">
        <v>0</v>
      </c>
      <c r="AZ47" s="108" t="n"/>
      <c r="BA47" s="108" t="n"/>
      <c r="BB47" s="108" t="n"/>
      <c r="BC47" s="108" t="n"/>
      <c r="BD47" s="108" t="n"/>
      <c r="BE47" s="108" t="n"/>
      <c r="BF47" s="108" t="n"/>
      <c r="BG47" s="108" t="n"/>
      <c r="BH47" s="108" t="n"/>
      <c r="BI47" s="108" t="n"/>
      <c r="BJ47" s="108" t="n">
        <v>0</v>
      </c>
      <c r="BK47" s="108" t="n">
        <v>0</v>
      </c>
      <c r="BL47" s="108" t="n">
        <v>0</v>
      </c>
      <c r="BM47" s="108" t="n">
        <v>0</v>
      </c>
      <c r="BN47" s="108" t="n">
        <v>0</v>
      </c>
      <c r="BO47" s="108" t="n">
        <v>0</v>
      </c>
      <c r="BP47" s="108" t="n">
        <v>0</v>
      </c>
      <c r="BQ47" s="108" t="n">
        <v>0</v>
      </c>
      <c r="BR47" s="109" t="n">
        <v>3588</v>
      </c>
      <c r="BS47" s="109" t="n">
        <v>7176</v>
      </c>
      <c r="BT47" s="110" t="n">
        <v>1</v>
      </c>
      <c r="BU47" s="109" t="n">
        <v>3446</v>
      </c>
      <c r="BV47" s="109" t="n">
        <v>2534</v>
      </c>
      <c r="BW47" s="109" t="n">
        <v>2425</v>
      </c>
      <c r="BX47" s="109" t="n">
        <v>22183</v>
      </c>
      <c r="BY47" s="109" t="n">
        <v>22005</v>
      </c>
      <c r="BZ47" s="109" t="n">
        <v>26963</v>
      </c>
      <c r="CA47" s="108" t="n">
        <v>0.13</v>
      </c>
      <c r="CB47" s="108" t="n">
        <v>357</v>
      </c>
      <c r="CC47" s="109" t="n">
        <v>28054</v>
      </c>
      <c r="CD47" s="108" t="n">
        <v>0.26</v>
      </c>
      <c r="CE47" s="109" t="n">
        <v>28030</v>
      </c>
      <c r="CF47" s="108" t="n">
        <v>0.26</v>
      </c>
    </row>
    <row r="48">
      <c r="A48" s="132" t="inlineStr">
        <is>
          <t>2025年-10月陈山聪</t>
        </is>
      </c>
      <c r="B48" s="112" t="n"/>
      <c r="C48" s="113" t="n"/>
      <c r="D48" s="113" t="n"/>
      <c r="E48" s="113" t="n"/>
      <c r="F48" s="113" t="n"/>
      <c r="G48" s="131" t="n"/>
      <c r="H48" s="130" t="n"/>
      <c r="I48" s="114" t="n">
        <v>14376</v>
      </c>
      <c r="J48" s="114" t="n">
        <v>14198</v>
      </c>
      <c r="K48" s="113" t="n">
        <v>899</v>
      </c>
      <c r="L48" s="113" t="n">
        <v>16</v>
      </c>
      <c r="M48" s="113" t="n">
        <v>1</v>
      </c>
      <c r="N48" s="113" t="n">
        <v>1</v>
      </c>
      <c r="O48" s="113" t="n">
        <v>1</v>
      </c>
      <c r="P48" s="113" t="n">
        <v>1</v>
      </c>
      <c r="Q48" s="113" t="n">
        <v>2</v>
      </c>
      <c r="R48" s="113" t="n">
        <v>0</v>
      </c>
      <c r="S48" s="113" t="n">
        <v>1</v>
      </c>
      <c r="T48" s="113" t="n">
        <v>0</v>
      </c>
      <c r="U48" s="114" t="n">
        <v>5888</v>
      </c>
      <c r="V48" s="115" t="n">
        <v>1</v>
      </c>
      <c r="W48" s="114" t="n">
        <v>5888</v>
      </c>
      <c r="X48" s="115" t="n">
        <v>0.063</v>
      </c>
      <c r="Y48" s="115" t="n">
        <v>1</v>
      </c>
      <c r="Z48" s="133" t="n">
        <v>0.063</v>
      </c>
      <c r="AA48" s="115" t="n">
        <v>1</v>
      </c>
      <c r="AB48" s="115" t="n">
        <v>1</v>
      </c>
      <c r="AC48" s="115" t="n">
        <v>0</v>
      </c>
      <c r="AD48" s="115" t="n">
        <v>0</v>
      </c>
      <c r="AE48" s="115" t="n">
        <v>0.063</v>
      </c>
      <c r="AF48" s="114" t="n">
        <v>16496</v>
      </c>
      <c r="AG48" s="134" t="n">
        <v>0.36</v>
      </c>
      <c r="AH48" s="113" t="n">
        <v>2</v>
      </c>
      <c r="AI48" s="113" t="n">
        <v>2</v>
      </c>
      <c r="AJ48" s="113" t="n">
        <v>2</v>
      </c>
      <c r="AK48" s="114" t="n">
        <v>1000</v>
      </c>
      <c r="AL48" s="113" t="n">
        <v>142</v>
      </c>
      <c r="AM48" s="113" t="n">
        <v>648</v>
      </c>
      <c r="AN48" s="113" t="n">
        <v>160</v>
      </c>
      <c r="AO48" s="113" t="n">
        <v>170</v>
      </c>
      <c r="AP48" s="113" t="n">
        <v>0</v>
      </c>
      <c r="AQ48" s="113" t="n">
        <v>0</v>
      </c>
      <c r="AR48" s="113" t="n">
        <v>0</v>
      </c>
      <c r="AS48" s="113" t="n">
        <v>0</v>
      </c>
      <c r="AT48" s="113" t="n">
        <v>0</v>
      </c>
      <c r="AU48" s="113" t="n">
        <v>0</v>
      </c>
      <c r="AV48" s="113" t="n">
        <v>0</v>
      </c>
      <c r="AW48" s="113" t="n">
        <v>0</v>
      </c>
      <c r="AX48" s="113" t="n">
        <v>0</v>
      </c>
      <c r="AY48" s="113" t="n">
        <v>0</v>
      </c>
      <c r="AZ48" s="113" t="n"/>
      <c r="BA48" s="113" t="n"/>
      <c r="BB48" s="113" t="n"/>
      <c r="BC48" s="113" t="n"/>
      <c r="BD48" s="113" t="n"/>
      <c r="BE48" s="113" t="n"/>
      <c r="BF48" s="113" t="n"/>
      <c r="BG48" s="113" t="n"/>
      <c r="BH48" s="113" t="n"/>
      <c r="BI48" s="113" t="n"/>
      <c r="BJ48" s="113" t="n">
        <v>0</v>
      </c>
      <c r="BK48" s="113" t="n">
        <v>0</v>
      </c>
      <c r="BL48" s="113" t="n">
        <v>0</v>
      </c>
      <c r="BM48" s="113" t="n">
        <v>0</v>
      </c>
      <c r="BN48" s="113" t="n">
        <v>0</v>
      </c>
      <c r="BO48" s="113" t="n">
        <v>0</v>
      </c>
      <c r="BP48" s="113" t="n">
        <v>0</v>
      </c>
      <c r="BQ48" s="113" t="n">
        <v>0</v>
      </c>
      <c r="BR48" s="113" t="n">
        <v>0</v>
      </c>
      <c r="BS48" s="114" t="n">
        <v>5888</v>
      </c>
      <c r="BT48" s="115" t="n">
        <v>1</v>
      </c>
      <c r="BU48" s="114" t="n">
        <v>1119</v>
      </c>
      <c r="BV48" s="113" t="n">
        <v>387</v>
      </c>
      <c r="BW48" s="114" t="n">
        <v>1000</v>
      </c>
      <c r="BX48" s="114" t="n">
        <v>14376</v>
      </c>
      <c r="BY48" s="114" t="n">
        <v>14198</v>
      </c>
      <c r="BZ48" s="114" t="n">
        <v>15584</v>
      </c>
      <c r="CA48" s="113" t="n">
        <v>0</v>
      </c>
      <c r="CB48" s="113" t="n">
        <v>179</v>
      </c>
      <c r="CC48" s="114" t="n">
        <v>16496</v>
      </c>
      <c r="CD48" s="113" t="n">
        <v>0.36</v>
      </c>
      <c r="CE48" s="114" t="n">
        <v>16696</v>
      </c>
      <c r="CF48" s="113" t="n">
        <v>0.35</v>
      </c>
    </row>
    <row r="49">
      <c r="A49" s="116" t="inlineStr">
        <is>
          <t>陈山聪-汇总</t>
        </is>
      </c>
      <c r="B49" s="107" t="n"/>
      <c r="C49" s="108" t="n"/>
      <c r="D49" s="108" t="n"/>
      <c r="E49" s="108" t="n"/>
      <c r="F49" s="108" t="n"/>
      <c r="G49" s="124" t="n"/>
      <c r="H49" s="116" t="n"/>
      <c r="I49" s="125" t="n">
        <v>418827</v>
      </c>
      <c r="J49" s="125" t="n">
        <v>408873</v>
      </c>
      <c r="K49" s="116" t="n">
        <v>699</v>
      </c>
      <c r="L49" s="116" t="n">
        <v>585</v>
      </c>
      <c r="M49" s="116" t="n">
        <v>260</v>
      </c>
      <c r="N49" s="116" t="n">
        <v>272</v>
      </c>
      <c r="O49" s="116" t="n">
        <v>263</v>
      </c>
      <c r="P49" s="116" t="n">
        <v>185</v>
      </c>
      <c r="Q49" s="116" t="n">
        <v>239</v>
      </c>
      <c r="R49" s="116" t="n">
        <v>64</v>
      </c>
      <c r="S49" s="116" t="n">
        <v>89</v>
      </c>
      <c r="T49" s="125" t="n">
        <v>312132</v>
      </c>
      <c r="U49" s="125" t="n">
        <v>434932</v>
      </c>
      <c r="V49" s="116" t="n"/>
      <c r="W49" s="125" t="n">
        <v>4887</v>
      </c>
      <c r="X49" s="126" t="n">
        <v>0.4444</v>
      </c>
      <c r="Y49" s="126" t="n">
        <v>1.0115</v>
      </c>
      <c r="Z49" s="126" t="n">
        <v>0.4496</v>
      </c>
      <c r="AA49" s="126" t="n">
        <v>0.7034</v>
      </c>
      <c r="AB49" s="126" t="n">
        <v>0.9631</v>
      </c>
      <c r="AC49" s="126" t="n">
        <v>0.3459</v>
      </c>
      <c r="AD49" s="126" t="n">
        <v>0.1094</v>
      </c>
      <c r="AE49" s="126" t="n">
        <v>0.1521</v>
      </c>
      <c r="AF49" s="125" t="n">
        <v>559728</v>
      </c>
      <c r="AG49" s="116" t="n">
        <v>0.78</v>
      </c>
      <c r="AH49" s="116" t="n">
        <v>258</v>
      </c>
      <c r="AI49" s="116" t="n">
        <v>239</v>
      </c>
      <c r="AJ49" s="116" t="n">
        <v>271</v>
      </c>
      <c r="AK49" s="125" t="n">
        <v>36054</v>
      </c>
      <c r="AL49" s="125" t="n">
        <v>33048</v>
      </c>
      <c r="AM49" s="125" t="n">
        <v>43064</v>
      </c>
      <c r="AN49" s="125" t="n">
        <v>5482</v>
      </c>
      <c r="AO49" s="125" t="n">
        <v>23452</v>
      </c>
      <c r="AP49" s="116" t="n">
        <v>37</v>
      </c>
      <c r="AQ49" s="116" t="n">
        <v>18</v>
      </c>
      <c r="AR49" s="116" t="n"/>
      <c r="AS49" s="116" t="n">
        <v>19</v>
      </c>
      <c r="AT49" s="116" t="n">
        <v>10</v>
      </c>
      <c r="AU49" s="116" t="n">
        <v>10</v>
      </c>
      <c r="AV49" s="116" t="n">
        <v>2</v>
      </c>
      <c r="AW49" s="116" t="n">
        <v>2</v>
      </c>
      <c r="AX49" s="125" t="n">
        <v>6817</v>
      </c>
      <c r="AY49" s="116" t="n">
        <v>6817</v>
      </c>
      <c r="AZ49" s="116" t="n"/>
      <c r="BA49" s="116" t="n">
        <v>3409</v>
      </c>
      <c r="BB49" s="126" t="n">
        <v>0.4865</v>
      </c>
      <c r="BC49" s="126" t="n">
        <v>1.0556</v>
      </c>
      <c r="BD49" s="126" t="n">
        <v>0.5135</v>
      </c>
      <c r="BE49" s="126" t="n">
        <v>0.5263</v>
      </c>
      <c r="BF49" s="126" t="n">
        <v>0.5263</v>
      </c>
      <c r="BG49" s="126" t="n">
        <v>0.2</v>
      </c>
      <c r="BH49" s="126" t="n">
        <v>0.0541</v>
      </c>
      <c r="BI49" s="126" t="n">
        <v>0.0541</v>
      </c>
      <c r="BJ49" s="116" t="n">
        <v>19</v>
      </c>
      <c r="BK49" s="116" t="n">
        <v>10</v>
      </c>
      <c r="BL49" s="116" t="n">
        <v>10</v>
      </c>
      <c r="BM49" s="125" t="n">
        <v>2071</v>
      </c>
      <c r="BN49" s="125" t="n">
        <v>1619</v>
      </c>
      <c r="BO49" s="116" t="n">
        <v>709</v>
      </c>
      <c r="BP49" s="116" t="n">
        <v>299</v>
      </c>
      <c r="BQ49" s="116" t="n">
        <v>789</v>
      </c>
      <c r="BR49" s="125" t="n">
        <v>318949</v>
      </c>
      <c r="BS49" s="125" t="n">
        <v>441749</v>
      </c>
      <c r="BT49" s="116" t="n"/>
      <c r="BU49" s="125" t="n">
        <v>108462</v>
      </c>
      <c r="BV49" s="125" t="n">
        <v>89079</v>
      </c>
      <c r="BW49" s="125" t="n">
        <v>38125</v>
      </c>
      <c r="BX49" s="125" t="n">
        <v>418827</v>
      </c>
      <c r="BY49" s="125" t="n">
        <v>414389</v>
      </c>
      <c r="BZ49" s="125" t="n">
        <v>541594</v>
      </c>
      <c r="CA49" s="116" t="n">
        <v>0.59</v>
      </c>
      <c r="CB49" s="125" t="n">
        <v>9954</v>
      </c>
      <c r="CC49" s="125" t="n">
        <v>565413</v>
      </c>
      <c r="CD49" s="116" t="n">
        <v>0.78</v>
      </c>
      <c r="CE49" s="127" t="n">
        <v>573938</v>
      </c>
      <c r="CF49" s="128" t="n">
        <v>0.77</v>
      </c>
    </row>
    <row r="50">
      <c r="A50" s="116" t="inlineStr">
        <is>
          <t>2025年-6月陈敏之</t>
        </is>
      </c>
      <c r="B50" s="107" t="n"/>
      <c r="C50" s="108" t="n"/>
      <c r="D50" s="108" t="n"/>
      <c r="E50" s="108" t="n"/>
      <c r="F50" s="108" t="n"/>
      <c r="G50" s="124" t="n"/>
      <c r="H50" s="116" t="n"/>
      <c r="I50" s="125" t="n">
        <v>175980</v>
      </c>
      <c r="J50" s="125" t="n">
        <v>168939</v>
      </c>
      <c r="K50" s="116" t="n">
        <v>660</v>
      </c>
      <c r="L50" s="116" t="n">
        <v>256</v>
      </c>
      <c r="M50" s="116" t="n">
        <v>137</v>
      </c>
      <c r="N50" s="116" t="n">
        <v>137</v>
      </c>
      <c r="O50" s="116" t="n">
        <v>141</v>
      </c>
      <c r="P50" s="116" t="n">
        <v>103</v>
      </c>
      <c r="Q50" s="116" t="n">
        <v>103</v>
      </c>
      <c r="R50" s="116" t="n">
        <v>39</v>
      </c>
      <c r="S50" s="116" t="n">
        <v>39</v>
      </c>
      <c r="T50" s="125" t="n">
        <v>190732</v>
      </c>
      <c r="U50" s="125" t="n">
        <v>190732</v>
      </c>
      <c r="V50" s="116" t="n"/>
      <c r="W50" s="125" t="n">
        <v>4891</v>
      </c>
      <c r="X50" s="126" t="n">
        <v>0.5352</v>
      </c>
      <c r="Y50" s="126" t="n">
        <v>1.0292</v>
      </c>
      <c r="Z50" s="126" t="n">
        <v>0.5508</v>
      </c>
      <c r="AA50" s="126" t="n">
        <v>0.7305</v>
      </c>
      <c r="AB50" s="126" t="n">
        <v>0.9626</v>
      </c>
      <c r="AC50" s="126" t="n">
        <v>0.3786</v>
      </c>
      <c r="AD50" s="126" t="n">
        <v>0.1523</v>
      </c>
      <c r="AE50" s="126" t="n">
        <v>0.1523</v>
      </c>
      <c r="AF50" s="125" t="n">
        <v>237743</v>
      </c>
      <c r="AG50" s="116" t="n">
        <v>0.8</v>
      </c>
      <c r="AH50" s="116" t="n">
        <v>107</v>
      </c>
      <c r="AI50" s="116" t="n">
        <v>103</v>
      </c>
      <c r="AJ50" s="116" t="n">
        <v>116</v>
      </c>
      <c r="AK50" s="125" t="n">
        <v>15968</v>
      </c>
      <c r="AL50" s="125" t="n">
        <v>15397</v>
      </c>
      <c r="AM50" s="125" t="n">
        <v>18412</v>
      </c>
      <c r="AN50" s="125" t="n">
        <v>2067</v>
      </c>
      <c r="AO50" s="125" t="n">
        <v>10017</v>
      </c>
      <c r="AP50" s="116" t="n">
        <v>135</v>
      </c>
      <c r="AQ50" s="116" t="n">
        <v>46</v>
      </c>
      <c r="AR50" s="116" t="n"/>
      <c r="AS50" s="116" t="n">
        <v>46</v>
      </c>
      <c r="AT50" s="116" t="n">
        <v>24</v>
      </c>
      <c r="AU50" s="116" t="n">
        <v>24</v>
      </c>
      <c r="AV50" s="116" t="n">
        <v>1</v>
      </c>
      <c r="AW50" s="116" t="n">
        <v>1</v>
      </c>
      <c r="AX50" s="125" t="n">
        <v>3588</v>
      </c>
      <c r="AY50" s="116" t="n">
        <v>3588</v>
      </c>
      <c r="AZ50" s="116" t="n"/>
      <c r="BA50" s="116" t="n">
        <v>3588</v>
      </c>
      <c r="BB50" s="126" t="n">
        <v>0.3407</v>
      </c>
      <c r="BC50" s="126" t="n">
        <v>1</v>
      </c>
      <c r="BD50" s="126" t="n">
        <v>0.3407</v>
      </c>
      <c r="BE50" s="126" t="n">
        <v>0.5217000000000001</v>
      </c>
      <c r="BF50" s="126" t="n">
        <v>0.5217000000000001</v>
      </c>
      <c r="BG50" s="126" t="n">
        <v>0.0417</v>
      </c>
      <c r="BH50" s="126" t="n">
        <v>0.0074</v>
      </c>
      <c r="BI50" s="126" t="n">
        <v>0.0074</v>
      </c>
      <c r="BJ50" s="116" t="n">
        <v>46</v>
      </c>
      <c r="BK50" s="116" t="n">
        <v>24</v>
      </c>
      <c r="BL50" s="116" t="n">
        <v>24</v>
      </c>
      <c r="BM50" s="125" t="n">
        <v>7557</v>
      </c>
      <c r="BN50" s="125" t="n">
        <v>4138</v>
      </c>
      <c r="BO50" s="116" t="n">
        <v>373</v>
      </c>
      <c r="BP50" s="125" t="n">
        <v>1090</v>
      </c>
      <c r="BQ50" s="125" t="n">
        <v>1895</v>
      </c>
      <c r="BR50" s="125" t="n">
        <v>194320</v>
      </c>
      <c r="BS50" s="125" t="n">
        <v>194320</v>
      </c>
      <c r="BT50" s="116" t="n"/>
      <c r="BU50" s="125" t="n">
        <v>53389</v>
      </c>
      <c r="BV50" s="125" t="n">
        <v>53389</v>
      </c>
      <c r="BW50" s="125" t="n">
        <v>23525</v>
      </c>
      <c r="BX50" s="125" t="n">
        <v>175980</v>
      </c>
      <c r="BY50" s="125" t="n">
        <v>175980</v>
      </c>
      <c r="BZ50" s="125" t="n">
        <v>252895</v>
      </c>
      <c r="CA50" s="116" t="n">
        <v>0.77</v>
      </c>
      <c r="CB50" s="125" t="n">
        <v>7041</v>
      </c>
      <c r="CC50" s="125" t="n">
        <v>252895</v>
      </c>
      <c r="CD50" s="116" t="n">
        <v>0.77</v>
      </c>
      <c r="CE50" s="127" t="n">
        <v>258695</v>
      </c>
      <c r="CF50" s="128" t="n">
        <v>0.75</v>
      </c>
    </row>
    <row r="51">
      <c r="A51" s="116" t="inlineStr">
        <is>
          <t>2025年-7月陈敏之</t>
        </is>
      </c>
      <c r="B51" s="107" t="n"/>
      <c r="C51" s="108" t="n"/>
      <c r="D51" s="108" t="n"/>
      <c r="E51" s="108" t="n"/>
      <c r="F51" s="108" t="n"/>
      <c r="G51" s="124" t="n"/>
      <c r="H51" s="116" t="n"/>
      <c r="I51" s="125" t="n">
        <v>160447</v>
      </c>
      <c r="J51" s="125" t="n">
        <v>153115</v>
      </c>
      <c r="K51" s="116" t="n">
        <v>922</v>
      </c>
      <c r="L51" s="116" t="n">
        <v>174</v>
      </c>
      <c r="M51" s="116" t="n">
        <v>105</v>
      </c>
      <c r="N51" s="116" t="n">
        <v>109</v>
      </c>
      <c r="O51" s="116" t="n">
        <v>113</v>
      </c>
      <c r="P51" s="116" t="n">
        <v>89</v>
      </c>
      <c r="Q51" s="116" t="n">
        <v>105</v>
      </c>
      <c r="R51" s="116" t="n">
        <v>33</v>
      </c>
      <c r="S51" s="116" t="n">
        <v>41</v>
      </c>
      <c r="T51" s="125" t="n">
        <v>148304</v>
      </c>
      <c r="U51" s="125" t="n">
        <v>185408</v>
      </c>
      <c r="V51" s="126" t="n">
        <v>1</v>
      </c>
      <c r="W51" s="125" t="n">
        <v>4522</v>
      </c>
      <c r="X51" s="126" t="n">
        <v>0.603</v>
      </c>
      <c r="Y51" s="126" t="n">
        <v>1.076</v>
      </c>
      <c r="Z51" s="135" t="n">
        <v>0.649</v>
      </c>
      <c r="AA51" s="126" t="n">
        <v>0.788</v>
      </c>
      <c r="AB51" s="126" t="n">
        <v>0.9379999999999999</v>
      </c>
      <c r="AC51" s="126" t="n">
        <v>0.371</v>
      </c>
      <c r="AD51" s="126" t="n">
        <v>0.19</v>
      </c>
      <c r="AE51" s="126" t="n">
        <v>0.236</v>
      </c>
      <c r="AF51" s="125" t="n">
        <v>210268</v>
      </c>
      <c r="AG51" s="116" t="n">
        <v>0.88</v>
      </c>
      <c r="AH51" s="116" t="n">
        <v>112</v>
      </c>
      <c r="AI51" s="116" t="n">
        <v>105</v>
      </c>
      <c r="AJ51" s="116" t="n">
        <v>114</v>
      </c>
      <c r="AK51" s="125" t="n">
        <v>7657</v>
      </c>
      <c r="AL51" s="125" t="n">
        <v>11438</v>
      </c>
      <c r="AM51" s="125" t="n">
        <v>18985</v>
      </c>
      <c r="AN51" s="125" t="n">
        <v>1791</v>
      </c>
      <c r="AO51" s="125" t="n">
        <v>10048</v>
      </c>
      <c r="AP51" s="116" t="n">
        <v>0</v>
      </c>
      <c r="AQ51" s="116" t="n">
        <v>0</v>
      </c>
      <c r="AR51" s="116" t="n">
        <v>0</v>
      </c>
      <c r="AS51" s="116" t="n">
        <v>0</v>
      </c>
      <c r="AT51" s="116" t="n">
        <v>0</v>
      </c>
      <c r="AU51" s="116" t="n">
        <v>0</v>
      </c>
      <c r="AV51" s="116" t="n">
        <v>0</v>
      </c>
      <c r="AW51" s="116" t="n">
        <v>1</v>
      </c>
      <c r="AX51" s="116" t="n">
        <v>0</v>
      </c>
      <c r="AY51" s="116" t="n">
        <v>1880</v>
      </c>
      <c r="AZ51" s="126" t="n">
        <v>1</v>
      </c>
      <c r="BA51" s="116" t="n">
        <v>1880</v>
      </c>
      <c r="BB51" s="116" t="n"/>
      <c r="BC51" s="116" t="n"/>
      <c r="BD51" s="116" t="n"/>
      <c r="BE51" s="116" t="n"/>
      <c r="BF51" s="116" t="n"/>
      <c r="BG51" s="116" t="n"/>
      <c r="BH51" s="116" t="n"/>
      <c r="BI51" s="116" t="n"/>
      <c r="BJ51" s="116" t="n">
        <v>0</v>
      </c>
      <c r="BK51" s="116" t="n">
        <v>0</v>
      </c>
      <c r="BL51" s="116" t="n">
        <v>0</v>
      </c>
      <c r="BM51" s="116" t="n">
        <v>0</v>
      </c>
      <c r="BN51" s="116" t="n">
        <v>0</v>
      </c>
      <c r="BO51" s="116" t="n">
        <v>197</v>
      </c>
      <c r="BP51" s="116" t="n">
        <v>0</v>
      </c>
      <c r="BQ51" s="116" t="n">
        <v>0</v>
      </c>
      <c r="BR51" s="125" t="n">
        <v>148304</v>
      </c>
      <c r="BS51" s="125" t="n">
        <v>187288</v>
      </c>
      <c r="BT51" s="126" t="n">
        <v>1</v>
      </c>
      <c r="BU51" s="125" t="n">
        <v>42460</v>
      </c>
      <c r="BV51" s="125" t="n">
        <v>36721</v>
      </c>
      <c r="BW51" s="125" t="n">
        <v>7657</v>
      </c>
      <c r="BX51" s="125" t="n">
        <v>160447</v>
      </c>
      <c r="BY51" s="125" t="n">
        <v>158937</v>
      </c>
      <c r="BZ51" s="125" t="n">
        <v>203315</v>
      </c>
      <c r="CA51" s="116" t="n">
        <v>0.73</v>
      </c>
      <c r="CB51" s="125" t="n">
        <v>7332</v>
      </c>
      <c r="CC51" s="125" t="n">
        <v>210564</v>
      </c>
      <c r="CD51" s="116" t="n">
        <v>0.89</v>
      </c>
      <c r="CE51" s="127" t="n">
        <v>215957</v>
      </c>
      <c r="CF51" s="128" t="n">
        <v>0.87</v>
      </c>
    </row>
    <row r="52">
      <c r="A52" s="116" t="inlineStr">
        <is>
          <t>2025年-8月陈敏之</t>
        </is>
      </c>
      <c r="B52" s="107" t="n"/>
      <c r="C52" s="108" t="n"/>
      <c r="D52" s="108" t="n"/>
      <c r="E52" s="108" t="n"/>
      <c r="F52" s="108" t="n"/>
      <c r="G52" s="124" t="n"/>
      <c r="H52" s="116" t="n"/>
      <c r="I52" s="125" t="n">
        <v>107876</v>
      </c>
      <c r="J52" s="125" t="n">
        <v>103455</v>
      </c>
      <c r="K52" s="116" t="n">
        <v>627</v>
      </c>
      <c r="L52" s="116" t="n">
        <v>172</v>
      </c>
      <c r="M52" s="116" t="n">
        <v>46</v>
      </c>
      <c r="N52" s="116" t="n">
        <v>48</v>
      </c>
      <c r="O52" s="116" t="n">
        <v>49</v>
      </c>
      <c r="P52" s="116" t="n">
        <v>37</v>
      </c>
      <c r="Q52" s="116" t="n">
        <v>54</v>
      </c>
      <c r="R52" s="116" t="n">
        <v>17</v>
      </c>
      <c r="S52" s="116" t="n">
        <v>25</v>
      </c>
      <c r="T52" s="125" t="n">
        <v>81896</v>
      </c>
      <c r="U52" s="125" t="n">
        <v>110600</v>
      </c>
      <c r="V52" s="126" t="n">
        <v>1</v>
      </c>
      <c r="W52" s="125" t="n">
        <v>4424</v>
      </c>
      <c r="X52" s="126" t="n">
        <v>0.267</v>
      </c>
      <c r="Y52" s="126" t="n">
        <v>1.065</v>
      </c>
      <c r="Z52" s="135" t="n">
        <v>0.285</v>
      </c>
      <c r="AA52" s="126" t="n">
        <v>0.755</v>
      </c>
      <c r="AB52" s="126" t="n">
        <v>1</v>
      </c>
      <c r="AC52" s="126" t="n">
        <v>0.459</v>
      </c>
      <c r="AD52" s="126" t="n">
        <v>0.099</v>
      </c>
      <c r="AE52" s="126" t="n">
        <v>0.145</v>
      </c>
      <c r="AF52" s="125" t="n">
        <v>147578</v>
      </c>
      <c r="AG52" s="116" t="n">
        <v>0.75</v>
      </c>
      <c r="AH52" s="116" t="n">
        <v>54</v>
      </c>
      <c r="AI52" s="116" t="n">
        <v>54</v>
      </c>
      <c r="AJ52" s="116" t="n">
        <v>59</v>
      </c>
      <c r="AK52" s="125" t="n">
        <v>15528</v>
      </c>
      <c r="AL52" s="125" t="n">
        <v>5929</v>
      </c>
      <c r="AM52" s="125" t="n">
        <v>11325</v>
      </c>
      <c r="AN52" s="125" t="n">
        <v>1720</v>
      </c>
      <c r="AO52" s="125" t="n">
        <v>5200</v>
      </c>
      <c r="AP52" s="116" t="n">
        <v>0</v>
      </c>
      <c r="AQ52" s="116" t="n">
        <v>0</v>
      </c>
      <c r="AR52" s="116" t="n">
        <v>0</v>
      </c>
      <c r="AS52" s="116" t="n">
        <v>0</v>
      </c>
      <c r="AT52" s="116" t="n">
        <v>0</v>
      </c>
      <c r="AU52" s="116" t="n">
        <v>0</v>
      </c>
      <c r="AV52" s="116" t="n">
        <v>0</v>
      </c>
      <c r="AW52" s="116" t="n">
        <v>0</v>
      </c>
      <c r="AX52" s="116" t="n">
        <v>0</v>
      </c>
      <c r="AY52" s="116" t="n">
        <v>0</v>
      </c>
      <c r="AZ52" s="116" t="n"/>
      <c r="BA52" s="116" t="n"/>
      <c r="BB52" s="116" t="n"/>
      <c r="BC52" s="116" t="n"/>
      <c r="BD52" s="116" t="n"/>
      <c r="BE52" s="116" t="n"/>
      <c r="BF52" s="116" t="n"/>
      <c r="BG52" s="116" t="n"/>
      <c r="BH52" s="116" t="n"/>
      <c r="BI52" s="116" t="n"/>
      <c r="BJ52" s="116" t="n">
        <v>0</v>
      </c>
      <c r="BK52" s="116" t="n">
        <v>0</v>
      </c>
      <c r="BL52" s="116" t="n">
        <v>0</v>
      </c>
      <c r="BM52" s="116" t="n">
        <v>0</v>
      </c>
      <c r="BN52" s="116" t="n">
        <v>0</v>
      </c>
      <c r="BO52" s="116" t="n">
        <v>0</v>
      </c>
      <c r="BP52" s="116" t="n">
        <v>0</v>
      </c>
      <c r="BQ52" s="116" t="n">
        <v>0</v>
      </c>
      <c r="BR52" s="125" t="n">
        <v>81896</v>
      </c>
      <c r="BS52" s="125" t="n">
        <v>110600</v>
      </c>
      <c r="BT52" s="126" t="n">
        <v>1</v>
      </c>
      <c r="BU52" s="125" t="n">
        <v>24174</v>
      </c>
      <c r="BV52" s="125" t="n">
        <v>19314</v>
      </c>
      <c r="BW52" s="125" t="n">
        <v>15528</v>
      </c>
      <c r="BX52" s="125" t="n">
        <v>107876</v>
      </c>
      <c r="BY52" s="125" t="n">
        <v>106461</v>
      </c>
      <c r="BZ52" s="125" t="n">
        <v>141303</v>
      </c>
      <c r="CA52" s="116" t="n">
        <v>0.58</v>
      </c>
      <c r="CB52" s="125" t="n">
        <v>4421</v>
      </c>
      <c r="CC52" s="125" t="n">
        <v>147578</v>
      </c>
      <c r="CD52" s="116" t="n">
        <v>0.75</v>
      </c>
      <c r="CE52" s="127" t="n">
        <v>144950</v>
      </c>
      <c r="CF52" s="128" t="n">
        <v>0.76</v>
      </c>
    </row>
    <row r="53">
      <c r="A53" s="116" t="inlineStr">
        <is>
          <t>2025年-9月陈敏之</t>
        </is>
      </c>
      <c r="B53" s="107" t="n"/>
      <c r="C53" s="108" t="n"/>
      <c r="D53" s="108" t="n"/>
      <c r="E53" s="108" t="n"/>
      <c r="F53" s="108" t="n"/>
      <c r="G53" s="124" t="n"/>
      <c r="H53" s="116" t="n">
        <v>2790</v>
      </c>
      <c r="I53" s="109" t="n">
        <v>150854</v>
      </c>
      <c r="J53" s="109" t="n">
        <v>145673</v>
      </c>
      <c r="K53" s="108" t="n">
        <v>435</v>
      </c>
      <c r="L53" s="108" t="n">
        <v>347</v>
      </c>
      <c r="M53" s="108" t="n">
        <v>77</v>
      </c>
      <c r="N53" s="108" t="n">
        <v>77</v>
      </c>
      <c r="O53" s="108" t="n">
        <v>80</v>
      </c>
      <c r="P53" s="108" t="n">
        <v>63</v>
      </c>
      <c r="Q53" s="108" t="n">
        <v>66</v>
      </c>
      <c r="R53" s="108" t="n">
        <v>25</v>
      </c>
      <c r="S53" s="108" t="n">
        <v>29</v>
      </c>
      <c r="T53" s="109" t="n">
        <v>132300</v>
      </c>
      <c r="U53" s="109" t="n">
        <v>149952</v>
      </c>
      <c r="V53" s="110" t="n">
        <v>1</v>
      </c>
      <c r="W53" s="109" t="n">
        <v>5171</v>
      </c>
      <c r="X53" s="110" t="n">
        <v>0.222</v>
      </c>
      <c r="Y53" s="110" t="n">
        <v>1.039</v>
      </c>
      <c r="Z53" s="135" t="n">
        <v>0.231</v>
      </c>
      <c r="AA53" s="110" t="n">
        <v>0.788</v>
      </c>
      <c r="AB53" s="110" t="n">
        <v>0.971</v>
      </c>
      <c r="AC53" s="110" t="n">
        <v>0.397</v>
      </c>
      <c r="AD53" s="110" t="n">
        <v>0.07199999999999999</v>
      </c>
      <c r="AE53" s="110" t="n">
        <v>0.08400000000000001</v>
      </c>
      <c r="AF53" s="109" t="n">
        <v>214955</v>
      </c>
      <c r="AG53" s="108" t="n">
        <v>0.7</v>
      </c>
      <c r="AH53" s="108" t="n">
        <v>68</v>
      </c>
      <c r="AI53" s="108" t="n">
        <v>66</v>
      </c>
      <c r="AJ53" s="108" t="n">
        <v>75</v>
      </c>
      <c r="AK53" s="109" t="n">
        <v>26292</v>
      </c>
      <c r="AL53" s="109" t="n">
        <v>11133</v>
      </c>
      <c r="AM53" s="109" t="n">
        <v>16836</v>
      </c>
      <c r="AN53" s="109" t="n">
        <v>3470</v>
      </c>
      <c r="AO53" s="109" t="n">
        <v>6370</v>
      </c>
      <c r="AP53" s="108" t="n">
        <v>0</v>
      </c>
      <c r="AQ53" s="108" t="n">
        <v>0</v>
      </c>
      <c r="AR53" s="108" t="n">
        <v>0</v>
      </c>
      <c r="AS53" s="108" t="n">
        <v>0</v>
      </c>
      <c r="AT53" s="108" t="n">
        <v>0</v>
      </c>
      <c r="AU53" s="108" t="n">
        <v>0</v>
      </c>
      <c r="AV53" s="108" t="n">
        <v>0</v>
      </c>
      <c r="AW53" s="108" t="n">
        <v>0</v>
      </c>
      <c r="AX53" s="108" t="n">
        <v>0</v>
      </c>
      <c r="AY53" s="108" t="n">
        <v>0</v>
      </c>
      <c r="AZ53" s="108" t="n"/>
      <c r="BA53" s="108" t="n"/>
      <c r="BB53" s="108" t="n"/>
      <c r="BC53" s="108" t="n"/>
      <c r="BD53" s="108" t="n"/>
      <c r="BE53" s="108" t="n"/>
      <c r="BF53" s="108" t="n"/>
      <c r="BG53" s="108" t="n"/>
      <c r="BH53" s="108" t="n"/>
      <c r="BI53" s="108" t="n"/>
      <c r="BJ53" s="108" t="n">
        <v>0</v>
      </c>
      <c r="BK53" s="108" t="n">
        <v>0</v>
      </c>
      <c r="BL53" s="108" t="n">
        <v>0</v>
      </c>
      <c r="BM53" s="108" t="n">
        <v>0</v>
      </c>
      <c r="BN53" s="108" t="n">
        <v>0</v>
      </c>
      <c r="BO53" s="108" t="n">
        <v>0</v>
      </c>
      <c r="BP53" s="108" t="n">
        <v>0</v>
      </c>
      <c r="BQ53" s="108" t="n">
        <v>0</v>
      </c>
      <c r="BR53" s="109" t="n">
        <v>132300</v>
      </c>
      <c r="BS53" s="109" t="n">
        <v>149952</v>
      </c>
      <c r="BT53" s="110" t="n">
        <v>1</v>
      </c>
      <c r="BU53" s="109" t="n">
        <v>37809</v>
      </c>
      <c r="BV53" s="109" t="n">
        <v>35573</v>
      </c>
      <c r="BW53" s="109" t="n">
        <v>26292</v>
      </c>
      <c r="BX53" s="109" t="n">
        <v>150854</v>
      </c>
      <c r="BY53" s="109" t="n">
        <v>150139</v>
      </c>
      <c r="BZ53" s="109" t="n">
        <v>212004</v>
      </c>
      <c r="CA53" s="108" t="n">
        <v>0.62</v>
      </c>
      <c r="CB53" s="109" t="n">
        <v>5181</v>
      </c>
      <c r="CC53" s="109" t="n">
        <v>214955</v>
      </c>
      <c r="CD53" s="108" t="n">
        <v>0.7</v>
      </c>
      <c r="CE53" s="109" t="n">
        <v>214688</v>
      </c>
      <c r="CF53" s="108" t="n">
        <v>0.7</v>
      </c>
    </row>
    <row r="54">
      <c r="A54" s="130" t="inlineStr">
        <is>
          <t>2025年-10月陈敏之</t>
        </is>
      </c>
      <c r="B54" s="112" t="n"/>
      <c r="C54" s="113" t="n"/>
      <c r="D54" s="113" t="n"/>
      <c r="E54" s="113" t="n"/>
      <c r="F54" s="113" t="n"/>
      <c r="G54" s="131" t="n"/>
      <c r="H54" s="130" t="n"/>
      <c r="I54" s="114" t="n">
        <v>32842</v>
      </c>
      <c r="J54" s="114" t="n">
        <v>30877</v>
      </c>
      <c r="K54" s="113" t="n">
        <v>586</v>
      </c>
      <c r="L54" s="113" t="n">
        <v>56</v>
      </c>
      <c r="M54" s="113" t="n">
        <v>19</v>
      </c>
      <c r="N54" s="113" t="n">
        <v>20</v>
      </c>
      <c r="O54" s="113" t="n">
        <v>22</v>
      </c>
      <c r="P54" s="113" t="n">
        <v>18</v>
      </c>
      <c r="Q54" s="113" t="n">
        <v>23</v>
      </c>
      <c r="R54" s="113" t="n">
        <v>9</v>
      </c>
      <c r="S54" s="113" t="n">
        <v>11</v>
      </c>
      <c r="T54" s="114" t="n">
        <v>52203</v>
      </c>
      <c r="U54" s="114" t="n">
        <v>63979</v>
      </c>
      <c r="V54" s="115" t="n">
        <v>1</v>
      </c>
      <c r="W54" s="114" t="n">
        <v>5816</v>
      </c>
      <c r="X54" s="115" t="n">
        <v>0.339</v>
      </c>
      <c r="Y54" s="115" t="n">
        <v>1.158</v>
      </c>
      <c r="Z54" s="133" t="n">
        <v>0.393</v>
      </c>
      <c r="AA54" s="115" t="n">
        <v>0.8179999999999999</v>
      </c>
      <c r="AB54" s="115" t="n">
        <v>0.958</v>
      </c>
      <c r="AC54" s="115" t="n">
        <v>0.5</v>
      </c>
      <c r="AD54" s="115" t="n">
        <v>0.161</v>
      </c>
      <c r="AE54" s="115" t="n">
        <v>0.196</v>
      </c>
      <c r="AF54" s="114" t="n">
        <v>48818</v>
      </c>
      <c r="AG54" s="113" t="n">
        <v>1.31</v>
      </c>
      <c r="AH54" s="113" t="n">
        <v>24</v>
      </c>
      <c r="AI54" s="113" t="n">
        <v>23</v>
      </c>
      <c r="AJ54" s="113" t="n">
        <v>24</v>
      </c>
      <c r="AK54" s="114" t="n">
        <v>3499</v>
      </c>
      <c r="AL54" s="114" t="n">
        <v>2845</v>
      </c>
      <c r="AM54" s="114" t="n">
        <v>7038</v>
      </c>
      <c r="AN54" s="113" t="n">
        <v>560</v>
      </c>
      <c r="AO54" s="114" t="n">
        <v>2034</v>
      </c>
      <c r="AP54" s="113" t="n">
        <v>0</v>
      </c>
      <c r="AQ54" s="113" t="n">
        <v>0</v>
      </c>
      <c r="AR54" s="113" t="n">
        <v>0</v>
      </c>
      <c r="AS54" s="113" t="n">
        <v>0</v>
      </c>
      <c r="AT54" s="113" t="n">
        <v>0</v>
      </c>
      <c r="AU54" s="113" t="n">
        <v>0</v>
      </c>
      <c r="AV54" s="113" t="n">
        <v>0</v>
      </c>
      <c r="AW54" s="113" t="n">
        <v>0</v>
      </c>
      <c r="AX54" s="113" t="n">
        <v>0</v>
      </c>
      <c r="AY54" s="113" t="n">
        <v>0</v>
      </c>
      <c r="AZ54" s="113" t="n"/>
      <c r="BA54" s="113" t="n"/>
      <c r="BB54" s="113" t="n"/>
      <c r="BC54" s="113" t="n"/>
      <c r="BD54" s="113" t="n"/>
      <c r="BE54" s="113" t="n"/>
      <c r="BF54" s="113" t="n"/>
      <c r="BG54" s="113" t="n"/>
      <c r="BH54" s="113" t="n"/>
      <c r="BI54" s="113" t="n"/>
      <c r="BJ54" s="113" t="n">
        <v>0</v>
      </c>
      <c r="BK54" s="113" t="n">
        <v>0</v>
      </c>
      <c r="BL54" s="113" t="n">
        <v>0</v>
      </c>
      <c r="BM54" s="113" t="n">
        <v>0</v>
      </c>
      <c r="BN54" s="113" t="n">
        <v>0</v>
      </c>
      <c r="BO54" s="113" t="n">
        <v>0</v>
      </c>
      <c r="BP54" s="113" t="n">
        <v>0</v>
      </c>
      <c r="BQ54" s="113" t="n">
        <v>0</v>
      </c>
      <c r="BR54" s="114" t="n">
        <v>52203</v>
      </c>
      <c r="BS54" s="114" t="n">
        <v>63979</v>
      </c>
      <c r="BT54" s="115" t="n">
        <v>1</v>
      </c>
      <c r="BU54" s="114" t="n">
        <v>12477</v>
      </c>
      <c r="BV54" s="114" t="n">
        <v>10616</v>
      </c>
      <c r="BW54" s="114" t="n">
        <v>3499</v>
      </c>
      <c r="BX54" s="114" t="n">
        <v>32842</v>
      </c>
      <c r="BY54" s="114" t="n">
        <v>32485</v>
      </c>
      <c r="BZ54" s="114" t="n">
        <v>46599</v>
      </c>
      <c r="CA54" s="113" t="n">
        <v>1.12</v>
      </c>
      <c r="CB54" s="114" t="n">
        <v>1965</v>
      </c>
      <c r="CC54" s="114" t="n">
        <v>48818</v>
      </c>
      <c r="CD54" s="113" t="n">
        <v>1.31</v>
      </c>
      <c r="CE54" s="114" t="n">
        <v>49519</v>
      </c>
      <c r="CF54" s="113" t="n">
        <v>1.29</v>
      </c>
    </row>
    <row r="55">
      <c r="A55" s="116" t="inlineStr">
        <is>
          <t>陈敏之汇总</t>
        </is>
      </c>
      <c r="B55" s="107" t="n"/>
      <c r="C55" s="108" t="n"/>
      <c r="D55" s="108" t="n"/>
      <c r="E55" s="108" t="n"/>
      <c r="F55" s="108" t="n"/>
      <c r="G55" s="124" t="n"/>
      <c r="H55" s="116" t="n"/>
      <c r="I55" s="109" t="n">
        <v>627999</v>
      </c>
      <c r="J55" s="109" t="n">
        <v>602060</v>
      </c>
      <c r="K55" s="108" t="n">
        <v>599</v>
      </c>
      <c r="L55" s="108" t="n">
        <v>1005</v>
      </c>
      <c r="M55" s="108" t="n">
        <v>384</v>
      </c>
      <c r="N55" s="108" t="n">
        <v>391</v>
      </c>
      <c r="O55" s="108" t="n">
        <v>405</v>
      </c>
      <c r="P55" s="108" t="n">
        <v>310</v>
      </c>
      <c r="Q55" s="108" t="n">
        <v>351</v>
      </c>
      <c r="R55" s="108" t="n">
        <v>123</v>
      </c>
      <c r="S55" s="108" t="n">
        <v>145</v>
      </c>
      <c r="T55" s="109" t="n">
        <v>605435</v>
      </c>
      <c r="U55" s="109" t="n">
        <v>700671</v>
      </c>
      <c r="V55" s="108" t="n"/>
      <c r="W55" s="109" t="n">
        <v>4832</v>
      </c>
      <c r="X55" s="110" t="n">
        <v>0.3821</v>
      </c>
      <c r="Y55" s="110" t="n">
        <v>1.0547</v>
      </c>
      <c r="Z55" s="110" t="n">
        <v>0.403</v>
      </c>
      <c r="AA55" s="110" t="n">
        <v>0.7654</v>
      </c>
      <c r="AB55" s="110" t="n">
        <v>0.9658</v>
      </c>
      <c r="AC55" s="110" t="n">
        <v>0.3968</v>
      </c>
      <c r="AD55" s="110" t="n">
        <v>0.1224</v>
      </c>
      <c r="AE55" s="110" t="n">
        <v>0.1443</v>
      </c>
      <c r="AF55" s="109" t="n">
        <v>859362</v>
      </c>
      <c r="AG55" s="108" t="n">
        <v>0.82</v>
      </c>
      <c r="AH55" s="108" t="n">
        <v>365</v>
      </c>
      <c r="AI55" s="108" t="n">
        <v>351</v>
      </c>
      <c r="AJ55" s="108" t="n">
        <v>388</v>
      </c>
      <c r="AK55" s="109" t="n">
        <v>68944</v>
      </c>
      <c r="AL55" s="109" t="n">
        <v>46742</v>
      </c>
      <c r="AM55" s="109" t="n">
        <v>72597</v>
      </c>
      <c r="AN55" s="109" t="n">
        <v>9609</v>
      </c>
      <c r="AO55" s="109" t="n">
        <v>33670</v>
      </c>
      <c r="AP55" s="108" t="n">
        <v>135</v>
      </c>
      <c r="AQ55" s="108" t="n">
        <v>46</v>
      </c>
      <c r="AR55" s="108" t="n"/>
      <c r="AS55" s="108" t="n">
        <v>46</v>
      </c>
      <c r="AT55" s="108" t="n">
        <v>24</v>
      </c>
      <c r="AU55" s="108" t="n">
        <v>24</v>
      </c>
      <c r="AV55" s="108" t="n">
        <v>1</v>
      </c>
      <c r="AW55" s="108" t="n">
        <v>2</v>
      </c>
      <c r="AX55" s="109" t="n">
        <v>3588</v>
      </c>
      <c r="AY55" s="108" t="n">
        <v>5468</v>
      </c>
      <c r="AZ55" s="108" t="n"/>
      <c r="BA55" s="108" t="n">
        <v>2734</v>
      </c>
      <c r="BB55" s="110" t="n">
        <v>0.3407</v>
      </c>
      <c r="BC55" s="110" t="n">
        <v>1</v>
      </c>
      <c r="BD55" s="110" t="n">
        <v>0.3407</v>
      </c>
      <c r="BE55" s="110" t="n">
        <v>0.5217000000000001</v>
      </c>
      <c r="BF55" s="110" t="n">
        <v>0.5217000000000001</v>
      </c>
      <c r="BG55" s="110" t="n">
        <v>0.0417</v>
      </c>
      <c r="BH55" s="110" t="n">
        <v>0.0074</v>
      </c>
      <c r="BI55" s="110" t="n">
        <v>0.0148</v>
      </c>
      <c r="BJ55" s="108" t="n">
        <v>46</v>
      </c>
      <c r="BK55" s="108" t="n">
        <v>24</v>
      </c>
      <c r="BL55" s="108" t="n">
        <v>24</v>
      </c>
      <c r="BM55" s="109" t="n">
        <v>7557</v>
      </c>
      <c r="BN55" s="109" t="n">
        <v>4138</v>
      </c>
      <c r="BO55" s="108" t="n">
        <v>570</v>
      </c>
      <c r="BP55" s="109" t="n">
        <v>1090</v>
      </c>
      <c r="BQ55" s="109" t="n">
        <v>1895</v>
      </c>
      <c r="BR55" s="109" t="n">
        <v>609023</v>
      </c>
      <c r="BS55" s="109" t="n">
        <v>706139</v>
      </c>
      <c r="BT55" s="108" t="n"/>
      <c r="BU55" s="109" t="n">
        <v>170310</v>
      </c>
      <c r="BV55" s="109" t="n">
        <v>155612</v>
      </c>
      <c r="BW55" s="109" t="n">
        <v>76501</v>
      </c>
      <c r="BX55" s="109" t="n">
        <v>627999</v>
      </c>
      <c r="BY55" s="109" t="n">
        <v>624003</v>
      </c>
      <c r="BZ55" s="109" t="n">
        <v>856116</v>
      </c>
      <c r="CA55" s="108" t="n">
        <v>0.71</v>
      </c>
      <c r="CB55" s="109" t="n">
        <v>25939</v>
      </c>
      <c r="CC55" s="109" t="n">
        <v>874810</v>
      </c>
      <c r="CD55" s="108" t="n">
        <v>0.8100000000000001</v>
      </c>
      <c r="CE55" s="109" t="n">
        <v>883809</v>
      </c>
      <c r="CF55" s="108" t="n">
        <v>0.8</v>
      </c>
    </row>
    <row r="56">
      <c r="A56" s="116" t="inlineStr">
        <is>
          <t>2025年-6月林子善</t>
        </is>
      </c>
      <c r="B56" s="107" t="n"/>
      <c r="C56" s="108" t="n"/>
      <c r="D56" s="108" t="n"/>
      <c r="E56" s="108" t="n"/>
      <c r="F56" s="108" t="n"/>
      <c r="G56" s="124" t="n"/>
      <c r="H56" s="116" t="n"/>
      <c r="I56" s="125" t="n">
        <v>113220</v>
      </c>
      <c r="J56" s="125" t="n">
        <v>108216</v>
      </c>
      <c r="K56" s="116" t="n">
        <v>510</v>
      </c>
      <c r="L56" s="116" t="n">
        <v>212</v>
      </c>
      <c r="M56" s="116" t="n">
        <v>97</v>
      </c>
      <c r="N56" s="116" t="n">
        <v>97</v>
      </c>
      <c r="O56" s="116" t="n">
        <v>99</v>
      </c>
      <c r="P56" s="116" t="n">
        <v>75</v>
      </c>
      <c r="Q56" s="116" t="n">
        <v>75</v>
      </c>
      <c r="R56" s="116" t="n">
        <v>27</v>
      </c>
      <c r="S56" s="116" t="n">
        <v>27</v>
      </c>
      <c r="T56" s="125" t="n">
        <v>118357</v>
      </c>
      <c r="U56" s="125" t="n">
        <v>118357</v>
      </c>
      <c r="V56" s="116" t="n"/>
      <c r="W56" s="125" t="n">
        <v>4384</v>
      </c>
      <c r="X56" s="126" t="n">
        <v>0.4575</v>
      </c>
      <c r="Y56" s="126" t="n">
        <v>1.0206</v>
      </c>
      <c r="Z56" s="135" t="n">
        <v>0.467</v>
      </c>
      <c r="AA56" s="126" t="n">
        <v>0.7576000000000001</v>
      </c>
      <c r="AB56" s="126" t="n">
        <v>0.9615</v>
      </c>
      <c r="AC56" s="126" t="n">
        <v>0.36</v>
      </c>
      <c r="AD56" s="126" t="n">
        <v>0.1274</v>
      </c>
      <c r="AE56" s="126" t="n">
        <v>0.1274</v>
      </c>
      <c r="AF56" s="125" t="n">
        <v>157365</v>
      </c>
      <c r="AG56" s="116" t="n">
        <v>0.75</v>
      </c>
      <c r="AH56" s="116" t="n">
        <v>78</v>
      </c>
      <c r="AI56" s="116" t="n">
        <v>75</v>
      </c>
      <c r="AJ56" s="116" t="n">
        <v>82</v>
      </c>
      <c r="AK56" s="125" t="n">
        <v>13223</v>
      </c>
      <c r="AL56" s="125" t="n">
        <v>10901</v>
      </c>
      <c r="AM56" s="125" t="n">
        <v>11425</v>
      </c>
      <c r="AN56" s="125" t="n">
        <v>1712</v>
      </c>
      <c r="AO56" s="125" t="n">
        <v>7081</v>
      </c>
      <c r="AP56" s="116" t="n">
        <v>29</v>
      </c>
      <c r="AQ56" s="116" t="n">
        <v>29</v>
      </c>
      <c r="AR56" s="116" t="n"/>
      <c r="AS56" s="116" t="n">
        <v>29</v>
      </c>
      <c r="AT56" s="116" t="n">
        <v>15</v>
      </c>
      <c r="AU56" s="116" t="n">
        <v>15</v>
      </c>
      <c r="AV56" s="116" t="n">
        <v>2</v>
      </c>
      <c r="AW56" s="116" t="n">
        <v>2</v>
      </c>
      <c r="AX56" s="125" t="n">
        <v>7176</v>
      </c>
      <c r="AY56" s="116" t="n">
        <v>7176</v>
      </c>
      <c r="AZ56" s="116" t="n"/>
      <c r="BA56" s="116" t="n">
        <v>3588</v>
      </c>
      <c r="BB56" s="126" t="n">
        <v>1</v>
      </c>
      <c r="BC56" s="126" t="n">
        <v>1</v>
      </c>
      <c r="BD56" s="126" t="n">
        <v>1</v>
      </c>
      <c r="BE56" s="126" t="n">
        <v>0.5172</v>
      </c>
      <c r="BF56" s="126" t="n">
        <v>0.5172</v>
      </c>
      <c r="BG56" s="126" t="n">
        <v>0.1333</v>
      </c>
      <c r="BH56" s="126" t="n">
        <v>0.06900000000000001</v>
      </c>
      <c r="BI56" s="126" t="n">
        <v>0.06900000000000001</v>
      </c>
      <c r="BJ56" s="116" t="n">
        <v>29</v>
      </c>
      <c r="BK56" s="116" t="n">
        <v>15</v>
      </c>
      <c r="BL56" s="116" t="n">
        <v>15</v>
      </c>
      <c r="BM56" s="125" t="n">
        <v>1623</v>
      </c>
      <c r="BN56" s="125" t="n">
        <v>2609</v>
      </c>
      <c r="BO56" s="116" t="n">
        <v>746</v>
      </c>
      <c r="BP56" s="116" t="n">
        <v>234</v>
      </c>
      <c r="BQ56" s="125" t="n">
        <v>1184</v>
      </c>
      <c r="BR56" s="125" t="n">
        <v>125533</v>
      </c>
      <c r="BS56" s="125" t="n">
        <v>125533</v>
      </c>
      <c r="BT56" s="116" t="n"/>
      <c r="BU56" s="125" t="n">
        <v>35893</v>
      </c>
      <c r="BV56" s="125" t="n">
        <v>35893</v>
      </c>
      <c r="BW56" s="125" t="n">
        <v>14847</v>
      </c>
      <c r="BX56" s="125" t="n">
        <v>113220</v>
      </c>
      <c r="BY56" s="125" t="n">
        <v>113220</v>
      </c>
      <c r="BZ56" s="125" t="n">
        <v>163960</v>
      </c>
      <c r="CA56" s="116" t="n">
        <v>0.77</v>
      </c>
      <c r="CB56" s="125" t="n">
        <v>5004</v>
      </c>
      <c r="CC56" s="125" t="n">
        <v>163960</v>
      </c>
      <c r="CD56" s="116" t="n">
        <v>0.77</v>
      </c>
      <c r="CE56" s="127" t="n">
        <v>167188</v>
      </c>
      <c r="CF56" s="128" t="n">
        <v>0.75</v>
      </c>
    </row>
    <row r="57">
      <c r="A57" s="116" t="inlineStr">
        <is>
          <t>2025年-7月林子善</t>
        </is>
      </c>
      <c r="B57" s="107" t="n"/>
      <c r="C57" s="108" t="n"/>
      <c r="D57" s="108" t="n"/>
      <c r="E57" s="108" t="n"/>
      <c r="F57" s="108" t="n"/>
      <c r="G57" s="124" t="n"/>
      <c r="H57" s="116" t="n"/>
      <c r="I57" s="125" t="n">
        <v>79184</v>
      </c>
      <c r="J57" s="125" t="n">
        <v>77596</v>
      </c>
      <c r="K57" s="125" t="n">
        <v>1148</v>
      </c>
      <c r="L57" s="116" t="n">
        <v>69</v>
      </c>
      <c r="M57" s="116" t="n">
        <v>32</v>
      </c>
      <c r="N57" s="116" t="n">
        <v>37</v>
      </c>
      <c r="O57" s="116" t="n">
        <v>32</v>
      </c>
      <c r="P57" s="116" t="n">
        <v>25</v>
      </c>
      <c r="Q57" s="116" t="n">
        <v>35</v>
      </c>
      <c r="R57" s="116" t="n">
        <v>4</v>
      </c>
      <c r="S57" s="116" t="n">
        <v>9</v>
      </c>
      <c r="T57" s="125" t="n">
        <v>24352</v>
      </c>
      <c r="U57" s="125" t="n">
        <v>47892</v>
      </c>
      <c r="V57" s="126" t="n">
        <v>1</v>
      </c>
      <c r="W57" s="125" t="n">
        <v>5321</v>
      </c>
      <c r="X57" s="126" t="n">
        <v>0.464</v>
      </c>
      <c r="Y57" s="126" t="n">
        <v>1</v>
      </c>
      <c r="Z57" s="126" t="n">
        <v>0.464</v>
      </c>
      <c r="AA57" s="126" t="n">
        <v>0.781</v>
      </c>
      <c r="AB57" s="126" t="n">
        <v>0.946</v>
      </c>
      <c r="AC57" s="126" t="n">
        <v>0.16</v>
      </c>
      <c r="AD57" s="126" t="n">
        <v>0.058</v>
      </c>
      <c r="AE57" s="126" t="n">
        <v>0.13</v>
      </c>
      <c r="AF57" s="125" t="n">
        <v>95155</v>
      </c>
      <c r="AG57" s="116" t="n">
        <v>0.5</v>
      </c>
      <c r="AH57" s="116" t="n">
        <v>37</v>
      </c>
      <c r="AI57" s="116" t="n">
        <v>35</v>
      </c>
      <c r="AJ57" s="116" t="n">
        <v>39</v>
      </c>
      <c r="AK57" s="125" t="n">
        <v>3036</v>
      </c>
      <c r="AL57" s="125" t="n">
        <v>3883</v>
      </c>
      <c r="AM57" s="125" t="n">
        <v>4904</v>
      </c>
      <c r="AN57" s="116" t="n">
        <v>710</v>
      </c>
      <c r="AO57" s="125" t="n">
        <v>3438</v>
      </c>
      <c r="AP57" s="116" t="n">
        <v>0</v>
      </c>
      <c r="AQ57" s="116" t="n">
        <v>0</v>
      </c>
      <c r="AR57" s="116" t="n">
        <v>0</v>
      </c>
      <c r="AS57" s="116" t="n">
        <v>0</v>
      </c>
      <c r="AT57" s="116" t="n">
        <v>0</v>
      </c>
      <c r="AU57" s="116" t="n">
        <v>0</v>
      </c>
      <c r="AV57" s="116" t="n">
        <v>0</v>
      </c>
      <c r="AW57" s="116" t="n">
        <v>0</v>
      </c>
      <c r="AX57" s="116" t="n">
        <v>0</v>
      </c>
      <c r="AY57" s="116" t="n">
        <v>0</v>
      </c>
      <c r="AZ57" s="116" t="n"/>
      <c r="BA57" s="116" t="n"/>
      <c r="BB57" s="116" t="n"/>
      <c r="BC57" s="116" t="n"/>
      <c r="BD57" s="116" t="n"/>
      <c r="BE57" s="116" t="n"/>
      <c r="BF57" s="116" t="n"/>
      <c r="BG57" s="116" t="n"/>
      <c r="BH57" s="116" t="n"/>
      <c r="BI57" s="116" t="n"/>
      <c r="BJ57" s="116" t="n">
        <v>0</v>
      </c>
      <c r="BK57" s="116" t="n">
        <v>0</v>
      </c>
      <c r="BL57" s="116" t="n">
        <v>0</v>
      </c>
      <c r="BM57" s="116" t="n">
        <v>0</v>
      </c>
      <c r="BN57" s="116" t="n">
        <v>0</v>
      </c>
      <c r="BO57" s="116" t="n">
        <v>0</v>
      </c>
      <c r="BP57" s="116" t="n">
        <v>0</v>
      </c>
      <c r="BQ57" s="116" t="n">
        <v>0</v>
      </c>
      <c r="BR57" s="125" t="n">
        <v>24352</v>
      </c>
      <c r="BS57" s="125" t="n">
        <v>47892</v>
      </c>
      <c r="BT57" s="126" t="n">
        <v>1</v>
      </c>
      <c r="BU57" s="125" t="n">
        <v>12934</v>
      </c>
      <c r="BV57" s="125" t="n">
        <v>8942</v>
      </c>
      <c r="BW57" s="125" t="n">
        <v>3036</v>
      </c>
      <c r="BX57" s="125" t="n">
        <v>79184</v>
      </c>
      <c r="BY57" s="125" t="n">
        <v>78302</v>
      </c>
      <c r="BZ57" s="125" t="n">
        <v>90280</v>
      </c>
      <c r="CA57" s="116" t="n">
        <v>0.27</v>
      </c>
      <c r="CB57" s="125" t="n">
        <v>1588</v>
      </c>
      <c r="CC57" s="125" t="n">
        <v>95155</v>
      </c>
      <c r="CD57" s="116" t="n">
        <v>0.5</v>
      </c>
      <c r="CE57" s="127" t="n">
        <v>97294</v>
      </c>
      <c r="CF57" s="128" t="n">
        <v>0.49</v>
      </c>
    </row>
    <row r="58">
      <c r="A58" s="116" t="inlineStr">
        <is>
          <t>2025年-8月林子善</t>
        </is>
      </c>
      <c r="B58" s="107" t="n"/>
      <c r="C58" s="108" t="n"/>
      <c r="D58" s="108" t="n"/>
      <c r="E58" s="108" t="n"/>
      <c r="F58" s="108" t="n"/>
      <c r="G58" s="124" t="n"/>
      <c r="H58" s="116" t="n"/>
      <c r="I58" s="125" t="n">
        <v>44759</v>
      </c>
      <c r="J58" s="125" t="n">
        <v>43521</v>
      </c>
      <c r="K58" s="125" t="n">
        <v>1492</v>
      </c>
      <c r="L58" s="116" t="n">
        <v>30</v>
      </c>
      <c r="M58" s="116" t="n">
        <v>17</v>
      </c>
      <c r="N58" s="116" t="n">
        <v>21</v>
      </c>
      <c r="O58" s="116" t="n">
        <v>17</v>
      </c>
      <c r="P58" s="116" t="n">
        <v>15</v>
      </c>
      <c r="Q58" s="116" t="n">
        <v>19</v>
      </c>
      <c r="R58" s="116" t="n">
        <v>5</v>
      </c>
      <c r="S58" s="116" t="n">
        <v>7</v>
      </c>
      <c r="T58" s="125" t="n">
        <v>27940</v>
      </c>
      <c r="U58" s="125" t="n">
        <v>35116</v>
      </c>
      <c r="V58" s="126" t="n">
        <v>1</v>
      </c>
      <c r="W58" s="125" t="n">
        <v>5017</v>
      </c>
      <c r="X58" s="126" t="n">
        <v>0.5669999999999999</v>
      </c>
      <c r="Y58" s="126" t="n">
        <v>1</v>
      </c>
      <c r="Z58" s="126" t="n">
        <v>0.5669999999999999</v>
      </c>
      <c r="AA58" s="126" t="n">
        <v>0.882</v>
      </c>
      <c r="AB58" s="126" t="n">
        <v>1</v>
      </c>
      <c r="AC58" s="126" t="n">
        <v>0.333</v>
      </c>
      <c r="AD58" s="126" t="n">
        <v>0.167</v>
      </c>
      <c r="AE58" s="126" t="n">
        <v>0.233</v>
      </c>
      <c r="AF58" s="125" t="n">
        <v>55719</v>
      </c>
      <c r="AG58" s="116" t="n">
        <v>0.63</v>
      </c>
      <c r="AH58" s="116" t="n">
        <v>19</v>
      </c>
      <c r="AI58" s="116" t="n">
        <v>19</v>
      </c>
      <c r="AJ58" s="116" t="n">
        <v>20</v>
      </c>
      <c r="AK58" s="125" t="n">
        <v>2708</v>
      </c>
      <c r="AL58" s="125" t="n">
        <v>2594</v>
      </c>
      <c r="AM58" s="125" t="n">
        <v>3596</v>
      </c>
      <c r="AN58" s="116" t="n">
        <v>300</v>
      </c>
      <c r="AO58" s="125" t="n">
        <v>1763</v>
      </c>
      <c r="AP58" s="116" t="n">
        <v>0</v>
      </c>
      <c r="AQ58" s="116" t="n">
        <v>0</v>
      </c>
      <c r="AR58" s="116" t="n">
        <v>0</v>
      </c>
      <c r="AS58" s="116" t="n">
        <v>0</v>
      </c>
      <c r="AT58" s="116" t="n">
        <v>0</v>
      </c>
      <c r="AU58" s="116" t="n">
        <v>0</v>
      </c>
      <c r="AV58" s="116" t="n">
        <v>0</v>
      </c>
      <c r="AW58" s="116" t="n">
        <v>0</v>
      </c>
      <c r="AX58" s="116" t="n">
        <v>0</v>
      </c>
      <c r="AY58" s="116" t="n">
        <v>0</v>
      </c>
      <c r="AZ58" s="116" t="n"/>
      <c r="BA58" s="116" t="n"/>
      <c r="BB58" s="116" t="n"/>
      <c r="BC58" s="116" t="n"/>
      <c r="BD58" s="116" t="n"/>
      <c r="BE58" s="116" t="n"/>
      <c r="BF58" s="116" t="n"/>
      <c r="BG58" s="116" t="n"/>
      <c r="BH58" s="116" t="n"/>
      <c r="BI58" s="116" t="n"/>
      <c r="BJ58" s="116" t="n">
        <v>0</v>
      </c>
      <c r="BK58" s="116" t="n">
        <v>0</v>
      </c>
      <c r="BL58" s="116" t="n">
        <v>0</v>
      </c>
      <c r="BM58" s="116" t="n">
        <v>0</v>
      </c>
      <c r="BN58" s="116" t="n">
        <v>0</v>
      </c>
      <c r="BO58" s="116" t="n">
        <v>0</v>
      </c>
      <c r="BP58" s="116" t="n">
        <v>0</v>
      </c>
      <c r="BQ58" s="116" t="n">
        <v>0</v>
      </c>
      <c r="BR58" s="125" t="n">
        <v>27940</v>
      </c>
      <c r="BS58" s="125" t="n">
        <v>35116</v>
      </c>
      <c r="BT58" s="126" t="n">
        <v>1</v>
      </c>
      <c r="BU58" s="125" t="n">
        <v>8253</v>
      </c>
      <c r="BV58" s="125" t="n">
        <v>6671</v>
      </c>
      <c r="BW58" s="125" t="n">
        <v>2708</v>
      </c>
      <c r="BX58" s="125" t="n">
        <v>44759</v>
      </c>
      <c r="BY58" s="125" t="n">
        <v>44405</v>
      </c>
      <c r="BZ58" s="125" t="n">
        <v>53784</v>
      </c>
      <c r="CA58" s="116" t="n">
        <v>0.52</v>
      </c>
      <c r="CB58" s="125" t="n">
        <v>1238</v>
      </c>
      <c r="CC58" s="125" t="n">
        <v>55719</v>
      </c>
      <c r="CD58" s="116" t="n">
        <v>0.63</v>
      </c>
      <c r="CE58" s="127" t="n">
        <v>55261</v>
      </c>
      <c r="CF58" s="128" t="n">
        <v>0.64</v>
      </c>
    </row>
    <row r="59">
      <c r="A59" s="116" t="inlineStr">
        <is>
          <t>林子善汇总</t>
        </is>
      </c>
      <c r="B59" s="107" t="n"/>
      <c r="C59" s="108" t="n"/>
      <c r="D59" s="108" t="n"/>
      <c r="E59" s="108" t="n"/>
      <c r="F59" s="108" t="n"/>
      <c r="G59" s="124" t="n"/>
      <c r="H59" s="116" t="n"/>
      <c r="I59" s="125" t="n">
        <v>242003</v>
      </c>
      <c r="J59" s="125" t="n">
        <v>233816</v>
      </c>
      <c r="K59" s="116" t="n">
        <v>735</v>
      </c>
      <c r="L59" s="116" t="n">
        <v>318</v>
      </c>
      <c r="M59" s="116" t="n">
        <v>150</v>
      </c>
      <c r="N59" s="116" t="n">
        <v>159</v>
      </c>
      <c r="O59" s="116" t="n">
        <v>152</v>
      </c>
      <c r="P59" s="116" t="n">
        <v>117</v>
      </c>
      <c r="Q59" s="116" t="n">
        <v>133</v>
      </c>
      <c r="R59" s="116" t="n">
        <v>37</v>
      </c>
      <c r="S59" s="116" t="n">
        <v>45</v>
      </c>
      <c r="T59" s="125" t="n">
        <v>179237</v>
      </c>
      <c r="U59" s="125" t="n">
        <v>218541</v>
      </c>
      <c r="V59" s="116" t="n"/>
      <c r="W59" s="125" t="n">
        <v>4856</v>
      </c>
      <c r="X59" s="126" t="n">
        <v>0.4717</v>
      </c>
      <c r="Y59" s="126" t="n">
        <v>1.0133</v>
      </c>
      <c r="Z59" s="126" t="n">
        <v>0.478</v>
      </c>
      <c r="AA59" s="126" t="n">
        <v>0.7697000000000001</v>
      </c>
      <c r="AB59" s="126" t="n">
        <v>0.9769</v>
      </c>
      <c r="AC59" s="126" t="n">
        <v>0.3162</v>
      </c>
      <c r="AD59" s="126" t="n">
        <v>0.1164</v>
      </c>
      <c r="AE59" s="126" t="n">
        <v>0.1415</v>
      </c>
      <c r="AF59" s="125" t="n">
        <v>316628</v>
      </c>
      <c r="AG59" s="116" t="n">
        <v>0.6899999999999999</v>
      </c>
      <c r="AH59" s="116" t="n">
        <v>138</v>
      </c>
      <c r="AI59" s="116" t="n">
        <v>133</v>
      </c>
      <c r="AJ59" s="116" t="n">
        <v>146</v>
      </c>
      <c r="AK59" s="125" t="n">
        <v>19661</v>
      </c>
      <c r="AL59" s="125" t="n">
        <v>17904</v>
      </c>
      <c r="AM59" s="125" t="n">
        <v>21764</v>
      </c>
      <c r="AN59" s="125" t="n">
        <v>2792</v>
      </c>
      <c r="AO59" s="125" t="n">
        <v>12702</v>
      </c>
      <c r="AP59" s="116" t="n">
        <v>29</v>
      </c>
      <c r="AQ59" s="116" t="n">
        <v>29</v>
      </c>
      <c r="AR59" s="116" t="n"/>
      <c r="AS59" s="116" t="n">
        <v>29</v>
      </c>
      <c r="AT59" s="116" t="n">
        <v>15</v>
      </c>
      <c r="AU59" s="116" t="n">
        <v>15</v>
      </c>
      <c r="AV59" s="116" t="n">
        <v>2</v>
      </c>
      <c r="AW59" s="116" t="n">
        <v>2</v>
      </c>
      <c r="AX59" s="125" t="n">
        <v>7176</v>
      </c>
      <c r="AY59" s="116" t="n">
        <v>7176</v>
      </c>
      <c r="AZ59" s="116" t="n"/>
      <c r="BA59" s="116" t="n">
        <v>3588</v>
      </c>
      <c r="BB59" s="126" t="n">
        <v>1</v>
      </c>
      <c r="BC59" s="126" t="n">
        <v>1</v>
      </c>
      <c r="BD59" s="126" t="n">
        <v>1</v>
      </c>
      <c r="BE59" s="126" t="n">
        <v>0.5172</v>
      </c>
      <c r="BF59" s="126" t="n">
        <v>0.5172</v>
      </c>
      <c r="BG59" s="126" t="n">
        <v>0.1333</v>
      </c>
      <c r="BH59" s="126" t="n">
        <v>0.06900000000000001</v>
      </c>
      <c r="BI59" s="126" t="n">
        <v>0.06900000000000001</v>
      </c>
      <c r="BJ59" s="116" t="n">
        <v>29</v>
      </c>
      <c r="BK59" s="116" t="n">
        <v>15</v>
      </c>
      <c r="BL59" s="116" t="n">
        <v>15</v>
      </c>
      <c r="BM59" s="125" t="n">
        <v>1623</v>
      </c>
      <c r="BN59" s="125" t="n">
        <v>2609</v>
      </c>
      <c r="BO59" s="116" t="n">
        <v>746</v>
      </c>
      <c r="BP59" s="116" t="n">
        <v>234</v>
      </c>
      <c r="BQ59" s="125" t="n">
        <v>1184</v>
      </c>
      <c r="BR59" s="125" t="n">
        <v>186413</v>
      </c>
      <c r="BS59" s="125" t="n">
        <v>225717</v>
      </c>
      <c r="BT59" s="116" t="n"/>
      <c r="BU59" s="125" t="n">
        <v>59935</v>
      </c>
      <c r="BV59" s="125" t="n">
        <v>53190</v>
      </c>
      <c r="BW59" s="125" t="n">
        <v>21284</v>
      </c>
      <c r="BX59" s="125" t="n">
        <v>242003</v>
      </c>
      <c r="BY59" s="125" t="n">
        <v>240589</v>
      </c>
      <c r="BZ59" s="125" t="n">
        <v>315062</v>
      </c>
      <c r="CA59" s="116" t="n">
        <v>0.59</v>
      </c>
      <c r="CB59" s="125" t="n">
        <v>8187</v>
      </c>
      <c r="CC59" s="125" t="n">
        <v>323222</v>
      </c>
      <c r="CD59" s="116" t="n">
        <v>0.7</v>
      </c>
      <c r="CE59" s="127" t="n">
        <v>327963</v>
      </c>
      <c r="CF59" s="128" t="n">
        <v>0.6899999999999999</v>
      </c>
    </row>
    <row r="60">
      <c r="A60" s="116" t="inlineStr">
        <is>
          <t>2025年-6月mamidaily</t>
        </is>
      </c>
      <c r="B60" s="107" t="n"/>
      <c r="C60" s="108" t="n"/>
      <c r="D60" s="108" t="n"/>
      <c r="E60" s="108" t="n"/>
      <c r="F60" s="108" t="n"/>
      <c r="G60" s="124" t="n"/>
      <c r="H60" s="116" t="n"/>
      <c r="I60" s="125" t="n">
        <v>39073</v>
      </c>
      <c r="J60" s="125" t="n">
        <v>37827</v>
      </c>
      <c r="K60" s="116" t="n">
        <v>923</v>
      </c>
      <c r="L60" s="116" t="n">
        <v>41</v>
      </c>
      <c r="M60" s="116" t="n">
        <v>25</v>
      </c>
      <c r="N60" s="116" t="n">
        <v>25</v>
      </c>
      <c r="O60" s="116" t="n">
        <v>24</v>
      </c>
      <c r="P60" s="116" t="n">
        <v>21</v>
      </c>
      <c r="Q60" s="116" t="n">
        <v>21</v>
      </c>
      <c r="R60" s="116" t="n">
        <v>7</v>
      </c>
      <c r="S60" s="116" t="n">
        <v>7</v>
      </c>
      <c r="T60" s="125" t="n">
        <v>35916</v>
      </c>
      <c r="U60" s="125" t="n">
        <v>35916</v>
      </c>
      <c r="V60" s="116" t="n"/>
      <c r="W60" s="125" t="n">
        <v>5131</v>
      </c>
      <c r="X60" s="126" t="n">
        <v>0.6098</v>
      </c>
      <c r="Y60" s="126" t="n">
        <v>0.96</v>
      </c>
      <c r="Z60" s="126" t="n">
        <v>0.5854</v>
      </c>
      <c r="AA60" s="126" t="n">
        <v>0.875</v>
      </c>
      <c r="AB60" s="126" t="n">
        <v>0.913</v>
      </c>
      <c r="AC60" s="126" t="n">
        <v>0.3333</v>
      </c>
      <c r="AD60" s="126" t="n">
        <v>0.1707</v>
      </c>
      <c r="AE60" s="126" t="n">
        <v>0.1707</v>
      </c>
      <c r="AF60" s="125" t="n">
        <v>49111</v>
      </c>
      <c r="AG60" s="116" t="n">
        <v>0.73</v>
      </c>
      <c r="AH60" s="116" t="n">
        <v>23</v>
      </c>
      <c r="AI60" s="116" t="n">
        <v>21</v>
      </c>
      <c r="AJ60" s="116" t="n">
        <v>21</v>
      </c>
      <c r="AK60" s="125" t="n">
        <v>1616</v>
      </c>
      <c r="AL60" s="125" t="n">
        <v>2810</v>
      </c>
      <c r="AM60" s="125" t="n">
        <v>3467</v>
      </c>
      <c r="AN60" s="116" t="n">
        <v>331</v>
      </c>
      <c r="AO60" s="125" t="n">
        <v>1813</v>
      </c>
      <c r="AP60" s="116" t="n">
        <v>23</v>
      </c>
      <c r="AQ60" s="116" t="n">
        <v>7</v>
      </c>
      <c r="AR60" s="116" t="n"/>
      <c r="AS60" s="116" t="n">
        <v>7</v>
      </c>
      <c r="AT60" s="116" t="n">
        <v>1</v>
      </c>
      <c r="AU60" s="116" t="n">
        <v>1</v>
      </c>
      <c r="AV60" s="116" t="n">
        <v>0</v>
      </c>
      <c r="AW60" s="116" t="n">
        <v>0</v>
      </c>
      <c r="AX60" s="116" t="n">
        <v>0</v>
      </c>
      <c r="AY60" s="116" t="n">
        <v>0</v>
      </c>
      <c r="AZ60" s="116" t="n"/>
      <c r="BA60" s="116" t="e">
        <v>#DIV/0!</v>
      </c>
      <c r="BB60" s="126" t="n">
        <v>0.3043</v>
      </c>
      <c r="BC60" s="126" t="n">
        <v>1</v>
      </c>
      <c r="BD60" s="126" t="n">
        <v>0.3043</v>
      </c>
      <c r="BE60" s="126" t="n">
        <v>0.1429</v>
      </c>
      <c r="BF60" s="126" t="n">
        <v>0.1429</v>
      </c>
      <c r="BG60" s="126" t="n">
        <v>0</v>
      </c>
      <c r="BH60" s="126" t="n">
        <v>0</v>
      </c>
      <c r="BI60" s="126" t="n">
        <v>0</v>
      </c>
      <c r="BJ60" s="116" t="n">
        <v>7</v>
      </c>
      <c r="BK60" s="116" t="n">
        <v>1</v>
      </c>
      <c r="BL60" s="116" t="n">
        <v>1</v>
      </c>
      <c r="BM60" s="116" t="n">
        <v>907</v>
      </c>
      <c r="BN60" s="116" t="n">
        <v>630</v>
      </c>
      <c r="BO60" s="116" t="n">
        <v>0</v>
      </c>
      <c r="BP60" s="116" t="n">
        <v>186</v>
      </c>
      <c r="BQ60" s="116" t="n">
        <v>79</v>
      </c>
      <c r="BR60" s="125" t="n">
        <v>35916</v>
      </c>
      <c r="BS60" s="125" t="n">
        <v>35916</v>
      </c>
      <c r="BT60" s="116" t="n"/>
      <c r="BU60" s="125" t="n">
        <v>9316</v>
      </c>
      <c r="BV60" s="125" t="n">
        <v>9316</v>
      </c>
      <c r="BW60" s="125" t="n">
        <v>2523</v>
      </c>
      <c r="BX60" s="125" t="n">
        <v>39073</v>
      </c>
      <c r="BY60" s="125" t="n">
        <v>39073</v>
      </c>
      <c r="BZ60" s="125" t="n">
        <v>50912</v>
      </c>
      <c r="CA60" s="116" t="n">
        <v>0.71</v>
      </c>
      <c r="CB60" s="125" t="n">
        <v>1246</v>
      </c>
      <c r="CC60" s="125" t="n">
        <v>50912</v>
      </c>
      <c r="CD60" s="116" t="n">
        <v>0.71</v>
      </c>
      <c r="CE60" s="127" t="n">
        <v>53189</v>
      </c>
      <c r="CF60" s="128" t="n">
        <v>0.68</v>
      </c>
    </row>
    <row r="61">
      <c r="A61" s="116" t="inlineStr">
        <is>
          <t>2025年-7月mamidaily</t>
        </is>
      </c>
      <c r="B61" s="107" t="n"/>
      <c r="C61" s="108" t="n"/>
      <c r="D61" s="108" t="n"/>
      <c r="E61" s="108" t="n"/>
      <c r="F61" s="108" t="n"/>
      <c r="G61" s="124" t="n"/>
      <c r="H61" s="116" t="n"/>
      <c r="I61" s="125" t="n">
        <v>50216</v>
      </c>
      <c r="J61" s="125" t="n">
        <v>49158</v>
      </c>
      <c r="K61" s="117" t="n">
        <v>1522</v>
      </c>
      <c r="L61" s="116" t="n">
        <v>33</v>
      </c>
      <c r="M61" s="116" t="n">
        <v>18</v>
      </c>
      <c r="N61" s="116" t="n">
        <v>20</v>
      </c>
      <c r="O61" s="116" t="n">
        <v>19</v>
      </c>
      <c r="P61" s="116" t="n">
        <v>16</v>
      </c>
      <c r="Q61" s="116" t="n">
        <v>19</v>
      </c>
      <c r="R61" s="116" t="n">
        <v>5</v>
      </c>
      <c r="S61" s="116" t="n">
        <v>6</v>
      </c>
      <c r="T61" s="125" t="n">
        <v>25440</v>
      </c>
      <c r="U61" s="125" t="n">
        <v>34028</v>
      </c>
      <c r="V61" s="126" t="n">
        <v>1</v>
      </c>
      <c r="W61" s="125" t="n">
        <v>5671</v>
      </c>
      <c r="X61" s="126" t="n">
        <v>0.545</v>
      </c>
      <c r="Y61" s="126" t="n">
        <v>1.056</v>
      </c>
      <c r="Z61" s="126" t="n">
        <v>0.576</v>
      </c>
      <c r="AA61" s="126" t="n">
        <v>0.842</v>
      </c>
      <c r="AB61" s="126" t="n">
        <v>0.905</v>
      </c>
      <c r="AC61" s="126" t="n">
        <v>0.313</v>
      </c>
      <c r="AD61" s="126" t="n">
        <v>0.152</v>
      </c>
      <c r="AE61" s="126" t="n">
        <v>0.182</v>
      </c>
      <c r="AF61" s="125" t="n">
        <v>59354</v>
      </c>
      <c r="AG61" s="116" t="n">
        <v>0.57</v>
      </c>
      <c r="AH61" s="116" t="n">
        <v>21</v>
      </c>
      <c r="AI61" s="116" t="n">
        <v>19</v>
      </c>
      <c r="AJ61" s="116" t="n">
        <v>20</v>
      </c>
      <c r="AK61" s="125" t="n">
        <v>1452</v>
      </c>
      <c r="AL61" s="125" t="n">
        <v>2099</v>
      </c>
      <c r="AM61" s="125" t="n">
        <v>3484</v>
      </c>
      <c r="AN61" s="116" t="n">
        <v>340</v>
      </c>
      <c r="AO61" s="125" t="n">
        <v>1763</v>
      </c>
      <c r="AP61" s="116" t="n">
        <v>0</v>
      </c>
      <c r="AQ61" s="116" t="n">
        <v>0</v>
      </c>
      <c r="AR61" s="116" t="n">
        <v>0</v>
      </c>
      <c r="AS61" s="116" t="n">
        <v>0</v>
      </c>
      <c r="AT61" s="116" t="n">
        <v>0</v>
      </c>
      <c r="AU61" s="116" t="n">
        <v>0</v>
      </c>
      <c r="AV61" s="116" t="n">
        <v>0</v>
      </c>
      <c r="AW61" s="116" t="n">
        <v>0</v>
      </c>
      <c r="AX61" s="116" t="n">
        <v>0</v>
      </c>
      <c r="AY61" s="116" t="n">
        <v>0</v>
      </c>
      <c r="AZ61" s="116" t="n"/>
      <c r="BA61" s="116" t="n"/>
      <c r="BB61" s="116" t="n"/>
      <c r="BC61" s="116" t="n"/>
      <c r="BD61" s="116" t="n"/>
      <c r="BE61" s="116" t="n"/>
      <c r="BF61" s="116" t="n"/>
      <c r="BG61" s="116" t="n"/>
      <c r="BH61" s="116" t="n"/>
      <c r="BI61" s="116" t="n"/>
      <c r="BJ61" s="116" t="n">
        <v>0</v>
      </c>
      <c r="BK61" s="116" t="n">
        <v>0</v>
      </c>
      <c r="BL61" s="116" t="n">
        <v>0</v>
      </c>
      <c r="BM61" s="116" t="n">
        <v>0</v>
      </c>
      <c r="BN61" s="116" t="n">
        <v>0</v>
      </c>
      <c r="BO61" s="116" t="n">
        <v>0</v>
      </c>
      <c r="BP61" s="116" t="n">
        <v>0</v>
      </c>
      <c r="BQ61" s="116" t="n">
        <v>0</v>
      </c>
      <c r="BR61" s="125" t="n">
        <v>25440</v>
      </c>
      <c r="BS61" s="125" t="n">
        <v>34028</v>
      </c>
      <c r="BT61" s="126" t="n">
        <v>1</v>
      </c>
      <c r="BU61" s="125" t="n">
        <v>7686</v>
      </c>
      <c r="BV61" s="125" t="n">
        <v>6244</v>
      </c>
      <c r="BW61" s="125" t="n">
        <v>1452</v>
      </c>
      <c r="BX61" s="125" t="n">
        <v>50216</v>
      </c>
      <c r="BY61" s="125" t="n">
        <v>50040</v>
      </c>
      <c r="BZ61" s="125" t="n">
        <v>57736</v>
      </c>
      <c r="CA61" s="116" t="n">
        <v>0.44</v>
      </c>
      <c r="CB61" s="125" t="n">
        <v>1059</v>
      </c>
      <c r="CC61" s="125" t="n">
        <v>59354</v>
      </c>
      <c r="CD61" s="116" t="n">
        <v>0.57</v>
      </c>
      <c r="CE61" s="127" t="n">
        <v>60377</v>
      </c>
      <c r="CF61" s="128" t="n">
        <v>0.5600000000000001</v>
      </c>
    </row>
    <row r="62">
      <c r="A62" s="130" t="inlineStr">
        <is>
          <t>2025年-10月mamidaily</t>
        </is>
      </c>
      <c r="B62" s="112" t="n"/>
      <c r="C62" s="113" t="n"/>
      <c r="D62" s="113" t="n"/>
      <c r="E62" s="113" t="n"/>
      <c r="F62" s="113" t="n"/>
      <c r="G62" s="131" t="n"/>
      <c r="H62" s="136" t="n">
        <v>6148</v>
      </c>
      <c r="I62" s="114" t="n">
        <v>22910</v>
      </c>
      <c r="J62" s="114" t="n">
        <v>22374</v>
      </c>
      <c r="K62" s="113" t="n">
        <v>388</v>
      </c>
      <c r="L62" s="113" t="n">
        <v>59</v>
      </c>
      <c r="M62" s="113" t="n">
        <v>9</v>
      </c>
      <c r="N62" s="113" t="n">
        <v>9</v>
      </c>
      <c r="O62" s="113" t="n">
        <v>9</v>
      </c>
      <c r="P62" s="113" t="n">
        <v>7</v>
      </c>
      <c r="Q62" s="113" t="n">
        <v>9</v>
      </c>
      <c r="R62" s="113" t="n">
        <v>3</v>
      </c>
      <c r="S62" s="113" t="n">
        <v>3</v>
      </c>
      <c r="T62" s="114" t="n">
        <v>15664</v>
      </c>
      <c r="U62" s="114" t="n">
        <v>15664</v>
      </c>
      <c r="V62" s="115" t="n">
        <v>1</v>
      </c>
      <c r="W62" s="114" t="n">
        <v>5221</v>
      </c>
      <c r="X62" s="115" t="n">
        <v>0.153</v>
      </c>
      <c r="Y62" s="115" t="n">
        <v>1</v>
      </c>
      <c r="Z62" s="115" t="n">
        <v>0.153</v>
      </c>
      <c r="AA62" s="115" t="n">
        <v>0.778</v>
      </c>
      <c r="AB62" s="115" t="n">
        <v>1</v>
      </c>
      <c r="AC62" s="115" t="n">
        <v>0.429</v>
      </c>
      <c r="AD62" s="115" t="n">
        <v>0.051</v>
      </c>
      <c r="AE62" s="115" t="n">
        <v>0.051</v>
      </c>
      <c r="AF62" s="114" t="n">
        <v>28876</v>
      </c>
      <c r="AG62" s="113" t="n">
        <v>0.54</v>
      </c>
      <c r="AH62" s="113" t="n">
        <v>9</v>
      </c>
      <c r="AI62" s="113" t="n">
        <v>9</v>
      </c>
      <c r="AJ62" s="113" t="n">
        <v>9</v>
      </c>
      <c r="AK62" s="114" t="n">
        <v>1610</v>
      </c>
      <c r="AL62" s="114" t="n">
        <v>1280</v>
      </c>
      <c r="AM62" s="114" t="n">
        <v>1723</v>
      </c>
      <c r="AN62" s="113" t="n">
        <v>590</v>
      </c>
      <c r="AO62" s="113" t="n">
        <v>763</v>
      </c>
      <c r="AP62" s="113" t="n">
        <v>0</v>
      </c>
      <c r="AQ62" s="113" t="n">
        <v>0</v>
      </c>
      <c r="AR62" s="113" t="n">
        <v>0</v>
      </c>
      <c r="AS62" s="113" t="n">
        <v>0</v>
      </c>
      <c r="AT62" s="113" t="n">
        <v>0</v>
      </c>
      <c r="AU62" s="113" t="n">
        <v>0</v>
      </c>
      <c r="AV62" s="113" t="n">
        <v>0</v>
      </c>
      <c r="AW62" s="113" t="n">
        <v>0</v>
      </c>
      <c r="AX62" s="113" t="n">
        <v>0</v>
      </c>
      <c r="AY62" s="113" t="n">
        <v>0</v>
      </c>
      <c r="AZ62" s="113" t="n"/>
      <c r="BA62" s="113" t="n"/>
      <c r="BB62" s="113" t="n"/>
      <c r="BC62" s="113" t="n"/>
      <c r="BD62" s="113" t="n"/>
      <c r="BE62" s="113" t="n"/>
      <c r="BF62" s="113" t="n"/>
      <c r="BG62" s="113" t="n"/>
      <c r="BH62" s="113" t="n"/>
      <c r="BI62" s="113" t="n"/>
      <c r="BJ62" s="113" t="n">
        <v>0</v>
      </c>
      <c r="BK62" s="113" t="n">
        <v>0</v>
      </c>
      <c r="BL62" s="113" t="n">
        <v>0</v>
      </c>
      <c r="BM62" s="113" t="n">
        <v>0</v>
      </c>
      <c r="BN62" s="113" t="n">
        <v>0</v>
      </c>
      <c r="BO62" s="113" t="n">
        <v>0</v>
      </c>
      <c r="BP62" s="113" t="n">
        <v>0</v>
      </c>
      <c r="BQ62" s="113" t="n">
        <v>0</v>
      </c>
      <c r="BR62" s="114" t="n">
        <v>15664</v>
      </c>
      <c r="BS62" s="114" t="n">
        <v>15664</v>
      </c>
      <c r="BT62" s="115" t="n">
        <v>1</v>
      </c>
      <c r="BU62" s="114" t="n">
        <v>4356</v>
      </c>
      <c r="BV62" s="114" t="n">
        <v>4187</v>
      </c>
      <c r="BW62" s="114" t="n">
        <v>1610</v>
      </c>
      <c r="BX62" s="114" t="n">
        <v>22910</v>
      </c>
      <c r="BY62" s="114" t="n">
        <v>22910</v>
      </c>
      <c r="BZ62" s="114" t="n">
        <v>28706</v>
      </c>
      <c r="CA62" s="113" t="n">
        <v>0.55</v>
      </c>
      <c r="CB62" s="113" t="n">
        <v>536</v>
      </c>
      <c r="CC62" s="114" t="n">
        <v>28876</v>
      </c>
      <c r="CD62" s="113" t="n">
        <v>0.54</v>
      </c>
      <c r="CE62" s="114" t="n">
        <v>31691</v>
      </c>
      <c r="CF62" s="113" t="n">
        <v>0.49</v>
      </c>
    </row>
    <row r="63">
      <c r="A63" s="116" t="inlineStr">
        <is>
          <t>mamidaily汇总</t>
        </is>
      </c>
      <c r="B63" s="107" t="n"/>
      <c r="C63" s="108" t="n"/>
      <c r="D63" s="108" t="n"/>
      <c r="E63" s="108" t="n"/>
      <c r="F63" s="108" t="n"/>
      <c r="G63" s="124" t="n"/>
      <c r="H63" s="116" t="n"/>
      <c r="I63" s="109" t="n">
        <v>162859</v>
      </c>
      <c r="J63" s="109" t="n">
        <v>158951</v>
      </c>
      <c r="K63" s="108" t="n">
        <v>919</v>
      </c>
      <c r="L63" s="108" t="n">
        <v>173</v>
      </c>
      <c r="M63" s="108" t="n">
        <v>70</v>
      </c>
      <c r="N63" s="108" t="n">
        <v>72</v>
      </c>
      <c r="O63" s="108" t="n">
        <v>70</v>
      </c>
      <c r="P63" s="108" t="n">
        <v>59</v>
      </c>
      <c r="Q63" s="108" t="n">
        <v>69</v>
      </c>
      <c r="R63" s="108" t="n">
        <v>20</v>
      </c>
      <c r="S63" s="108" t="n">
        <v>22</v>
      </c>
      <c r="T63" s="109" t="n">
        <v>97460</v>
      </c>
      <c r="U63" s="109" t="n">
        <v>114636</v>
      </c>
      <c r="V63" s="108" t="n"/>
      <c r="W63" s="109" t="n">
        <v>5211</v>
      </c>
      <c r="X63" s="110" t="n">
        <v>0.4046</v>
      </c>
      <c r="Y63" s="110" t="n">
        <v>1</v>
      </c>
      <c r="Z63" s="110" t="n">
        <v>0.4046</v>
      </c>
      <c r="AA63" s="110" t="n">
        <v>0.8429</v>
      </c>
      <c r="AB63" s="110" t="n">
        <v>0.9636</v>
      </c>
      <c r="AC63" s="110" t="n">
        <v>0.339</v>
      </c>
      <c r="AD63" s="110" t="n">
        <v>0.1156</v>
      </c>
      <c r="AE63" s="110" t="n">
        <v>0.1272</v>
      </c>
      <c r="AF63" s="109" t="n">
        <v>197825</v>
      </c>
      <c r="AG63" s="108" t="n">
        <v>0.58</v>
      </c>
      <c r="AH63" s="108" t="n">
        <v>73</v>
      </c>
      <c r="AI63" s="108" t="n">
        <v>69</v>
      </c>
      <c r="AJ63" s="108" t="n">
        <v>74</v>
      </c>
      <c r="AK63" s="109" t="n">
        <v>6425</v>
      </c>
      <c r="AL63" s="109" t="n">
        <v>8623</v>
      </c>
      <c r="AM63" s="109" t="n">
        <v>11838</v>
      </c>
      <c r="AN63" s="109" t="n">
        <v>1661</v>
      </c>
      <c r="AO63" s="109" t="n">
        <v>6419</v>
      </c>
      <c r="AP63" s="108" t="n">
        <v>23</v>
      </c>
      <c r="AQ63" s="108" t="n">
        <v>7</v>
      </c>
      <c r="AR63" s="108" t="n"/>
      <c r="AS63" s="108" t="n">
        <v>7</v>
      </c>
      <c r="AT63" s="108" t="n">
        <v>1</v>
      </c>
      <c r="AU63" s="108" t="n">
        <v>1</v>
      </c>
      <c r="AV63" s="108" t="n">
        <v>0</v>
      </c>
      <c r="AW63" s="108" t="n">
        <v>0</v>
      </c>
      <c r="AX63" s="108" t="n">
        <v>0</v>
      </c>
      <c r="AY63" s="108" t="n">
        <v>0</v>
      </c>
      <c r="AZ63" s="108" t="n"/>
      <c r="BA63" s="108" t="e">
        <v>#DIV/0!</v>
      </c>
      <c r="BB63" s="110" t="n">
        <v>0.3043</v>
      </c>
      <c r="BC63" s="110" t="n">
        <v>1</v>
      </c>
      <c r="BD63" s="110" t="n">
        <v>0.3043</v>
      </c>
      <c r="BE63" s="110" t="n">
        <v>0.1429</v>
      </c>
      <c r="BF63" s="110" t="n">
        <v>0.1429</v>
      </c>
      <c r="BG63" s="110" t="n">
        <v>0</v>
      </c>
      <c r="BH63" s="110" t="n">
        <v>0</v>
      </c>
      <c r="BI63" s="110" t="n">
        <v>0</v>
      </c>
      <c r="BJ63" s="108" t="n">
        <v>7</v>
      </c>
      <c r="BK63" s="108" t="n">
        <v>1</v>
      </c>
      <c r="BL63" s="108" t="n">
        <v>1</v>
      </c>
      <c r="BM63" s="108" t="n">
        <v>907</v>
      </c>
      <c r="BN63" s="108" t="n">
        <v>630</v>
      </c>
      <c r="BO63" s="108" t="n">
        <v>0</v>
      </c>
      <c r="BP63" s="108" t="n">
        <v>186</v>
      </c>
      <c r="BQ63" s="108" t="n">
        <v>79</v>
      </c>
      <c r="BR63" s="109" t="n">
        <v>97460</v>
      </c>
      <c r="BS63" s="109" t="n">
        <v>114636</v>
      </c>
      <c r="BT63" s="108" t="n"/>
      <c r="BU63" s="109" t="n">
        <v>29435</v>
      </c>
      <c r="BV63" s="109" t="n">
        <v>26340</v>
      </c>
      <c r="BW63" s="109" t="n">
        <v>7332</v>
      </c>
      <c r="BX63" s="109" t="n">
        <v>162859</v>
      </c>
      <c r="BY63" s="109" t="n">
        <v>162504</v>
      </c>
      <c r="BZ63" s="109" t="n">
        <v>196177</v>
      </c>
      <c r="CA63" s="108" t="n">
        <v>0.5</v>
      </c>
      <c r="CB63" s="109" t="n">
        <v>3909</v>
      </c>
      <c r="CC63" s="109" t="n">
        <v>199627</v>
      </c>
      <c r="CD63" s="108" t="n">
        <v>0.57</v>
      </c>
      <c r="CE63" s="109" t="n">
        <v>206994</v>
      </c>
      <c r="CF63" s="108" t="n">
        <v>0.55</v>
      </c>
    </row>
    <row r="64">
      <c r="A64" s="116" t="inlineStr">
        <is>
          <t>2025年-7月吴若希</t>
        </is>
      </c>
      <c r="B64" s="107" t="n"/>
      <c r="C64" s="108" t="n"/>
      <c r="D64" s="108" t="n"/>
      <c r="E64" s="108" t="n"/>
      <c r="F64" s="108" t="n"/>
      <c r="G64" s="124" t="n"/>
      <c r="H64" s="116" t="n"/>
      <c r="I64" s="125" t="n">
        <v>68696</v>
      </c>
      <c r="J64" s="125" t="n">
        <v>67637</v>
      </c>
      <c r="K64" s="117" t="n">
        <v>1205</v>
      </c>
      <c r="L64" s="116" t="n">
        <v>57</v>
      </c>
      <c r="M64" s="116" t="n">
        <v>28</v>
      </c>
      <c r="N64" s="116" t="n">
        <v>28</v>
      </c>
      <c r="O64" s="116" t="n">
        <v>29</v>
      </c>
      <c r="P64" s="116" t="n">
        <v>25</v>
      </c>
      <c r="Q64" s="116" t="n">
        <v>25</v>
      </c>
      <c r="R64" s="116" t="n">
        <v>6</v>
      </c>
      <c r="S64" s="116" t="n">
        <v>6</v>
      </c>
      <c r="T64" s="125" t="n">
        <v>26528</v>
      </c>
      <c r="U64" s="125" t="n">
        <v>26528</v>
      </c>
      <c r="V64" s="126" t="n">
        <v>1</v>
      </c>
      <c r="W64" s="125" t="n">
        <v>4421</v>
      </c>
      <c r="X64" s="126" t="n">
        <v>0.491</v>
      </c>
      <c r="Y64" s="126" t="n">
        <v>1.036</v>
      </c>
      <c r="Z64" s="126" t="n">
        <v>0.509</v>
      </c>
      <c r="AA64" s="126" t="n">
        <v>0.862</v>
      </c>
      <c r="AB64" s="126" t="n">
        <v>0.962</v>
      </c>
      <c r="AC64" s="126" t="n">
        <v>0.24</v>
      </c>
      <c r="AD64" s="126" t="n">
        <v>0.105</v>
      </c>
      <c r="AE64" s="126" t="n">
        <v>0.105</v>
      </c>
      <c r="AF64" s="125" t="n">
        <v>79737</v>
      </c>
      <c r="AG64" s="116" t="n">
        <v>0.33</v>
      </c>
      <c r="AH64" s="116" t="n">
        <v>26</v>
      </c>
      <c r="AI64" s="116" t="n">
        <v>25</v>
      </c>
      <c r="AJ64" s="116" t="n">
        <v>26</v>
      </c>
      <c r="AK64" s="125" t="n">
        <v>2508</v>
      </c>
      <c r="AL64" s="125" t="n">
        <v>2938</v>
      </c>
      <c r="AM64" s="125" t="n">
        <v>2716</v>
      </c>
      <c r="AN64" s="116" t="n">
        <v>587</v>
      </c>
      <c r="AO64" s="125" t="n">
        <v>2292</v>
      </c>
      <c r="AP64" s="116" t="n">
        <v>0</v>
      </c>
      <c r="AQ64" s="116" t="n">
        <v>0</v>
      </c>
      <c r="AR64" s="116" t="n">
        <v>0</v>
      </c>
      <c r="AS64" s="116" t="n">
        <v>0</v>
      </c>
      <c r="AT64" s="116" t="n">
        <v>0</v>
      </c>
      <c r="AU64" s="116" t="n">
        <v>0</v>
      </c>
      <c r="AV64" s="116" t="n">
        <v>0</v>
      </c>
      <c r="AW64" s="116" t="n">
        <v>0</v>
      </c>
      <c r="AX64" s="116" t="n">
        <v>0</v>
      </c>
      <c r="AY64" s="116" t="n">
        <v>0</v>
      </c>
      <c r="AZ64" s="116" t="n"/>
      <c r="BA64" s="116" t="n"/>
      <c r="BB64" s="116" t="n"/>
      <c r="BC64" s="116" t="n"/>
      <c r="BD64" s="116" t="n"/>
      <c r="BE64" s="116" t="n"/>
      <c r="BF64" s="116" t="n"/>
      <c r="BG64" s="116" t="n"/>
      <c r="BH64" s="116" t="n"/>
      <c r="BI64" s="116" t="n"/>
      <c r="BJ64" s="116" t="n">
        <v>0</v>
      </c>
      <c r="BK64" s="116" t="n">
        <v>0</v>
      </c>
      <c r="BL64" s="116" t="n">
        <v>0</v>
      </c>
      <c r="BM64" s="116" t="n">
        <v>0</v>
      </c>
      <c r="BN64" s="116" t="n">
        <v>0</v>
      </c>
      <c r="BO64" s="116" t="n">
        <v>0</v>
      </c>
      <c r="BP64" s="116" t="n">
        <v>0</v>
      </c>
      <c r="BQ64" s="116" t="n">
        <v>0</v>
      </c>
      <c r="BR64" s="125" t="n">
        <v>26528</v>
      </c>
      <c r="BS64" s="125" t="n">
        <v>26528</v>
      </c>
      <c r="BT64" s="126" t="n">
        <v>1</v>
      </c>
      <c r="BU64" s="125" t="n">
        <v>8533</v>
      </c>
      <c r="BV64" s="125" t="n">
        <v>8533</v>
      </c>
      <c r="BW64" s="125" t="n">
        <v>2508</v>
      </c>
      <c r="BX64" s="125" t="n">
        <v>68696</v>
      </c>
      <c r="BY64" s="125" t="n">
        <v>68696</v>
      </c>
      <c r="BZ64" s="125" t="n">
        <v>79737</v>
      </c>
      <c r="CA64" s="116" t="n">
        <v>0.33</v>
      </c>
      <c r="CB64" s="125" t="n">
        <v>1059</v>
      </c>
      <c r="CC64" s="125" t="n">
        <v>79737</v>
      </c>
      <c r="CD64" s="116" t="n">
        <v>0.33</v>
      </c>
      <c r="CE64" s="127" t="n">
        <v>81504</v>
      </c>
      <c r="CF64" s="128" t="n">
        <v>0.33</v>
      </c>
    </row>
    <row r="65">
      <c r="A65" s="116" t="inlineStr">
        <is>
          <t>2025年-8月吴若希</t>
        </is>
      </c>
      <c r="B65" s="107" t="n"/>
      <c r="C65" s="108" t="n"/>
      <c r="D65" s="108" t="n"/>
      <c r="E65" s="108" t="n"/>
      <c r="F65" s="108" t="n"/>
      <c r="G65" s="124" t="n"/>
      <c r="H65" s="116" t="n"/>
      <c r="I65" s="125" t="n">
        <v>42366</v>
      </c>
      <c r="J65" s="125" t="n">
        <v>42189</v>
      </c>
      <c r="K65" s="117" t="n">
        <v>1461</v>
      </c>
      <c r="L65" s="116" t="n">
        <v>29</v>
      </c>
      <c r="M65" s="116" t="n">
        <v>10</v>
      </c>
      <c r="N65" s="116" t="n">
        <v>11</v>
      </c>
      <c r="O65" s="116" t="n">
        <v>11</v>
      </c>
      <c r="P65" s="116" t="n">
        <v>6</v>
      </c>
      <c r="Q65" s="116" t="n">
        <v>9</v>
      </c>
      <c r="R65" s="116" t="n">
        <v>1</v>
      </c>
      <c r="S65" s="116" t="n">
        <v>1</v>
      </c>
      <c r="T65" s="125" t="n">
        <v>3588</v>
      </c>
      <c r="U65" s="125" t="n">
        <v>3588</v>
      </c>
      <c r="V65" s="126" t="n">
        <v>1</v>
      </c>
      <c r="W65" s="125" t="n">
        <v>3588</v>
      </c>
      <c r="X65" s="126" t="n">
        <v>0.345</v>
      </c>
      <c r="Y65" s="126" t="n">
        <v>1.1</v>
      </c>
      <c r="Z65" s="126" t="n">
        <v>0.379</v>
      </c>
      <c r="AA65" s="126" t="n">
        <v>0.545</v>
      </c>
      <c r="AB65" s="126" t="n">
        <v>1</v>
      </c>
      <c r="AC65" s="126" t="n">
        <v>0.167</v>
      </c>
      <c r="AD65" s="126" t="n">
        <v>0.034</v>
      </c>
      <c r="AE65" s="126" t="n">
        <v>0.034</v>
      </c>
      <c r="AF65" s="125" t="n">
        <v>47882</v>
      </c>
      <c r="AG65" s="116" t="n">
        <v>0.07000000000000001</v>
      </c>
      <c r="AH65" s="116" t="n">
        <v>9</v>
      </c>
      <c r="AI65" s="116" t="n">
        <v>9</v>
      </c>
      <c r="AJ65" s="116" t="n">
        <v>10</v>
      </c>
      <c r="AK65" s="125" t="n">
        <v>2618</v>
      </c>
      <c r="AL65" s="125" t="n">
        <v>1359</v>
      </c>
      <c r="AM65" s="116" t="n">
        <v>367</v>
      </c>
      <c r="AN65" s="116" t="n">
        <v>290</v>
      </c>
      <c r="AO65" s="116" t="n">
        <v>881</v>
      </c>
      <c r="AP65" s="116" t="n">
        <v>0</v>
      </c>
      <c r="AQ65" s="116" t="n">
        <v>0</v>
      </c>
      <c r="AR65" s="116" t="n">
        <v>0</v>
      </c>
      <c r="AS65" s="116" t="n">
        <v>0</v>
      </c>
      <c r="AT65" s="116" t="n">
        <v>0</v>
      </c>
      <c r="AU65" s="116" t="n">
        <v>0</v>
      </c>
      <c r="AV65" s="116" t="n">
        <v>0</v>
      </c>
      <c r="AW65" s="116" t="n">
        <v>0</v>
      </c>
      <c r="AX65" s="116" t="n">
        <v>0</v>
      </c>
      <c r="AY65" s="116" t="n">
        <v>0</v>
      </c>
      <c r="AZ65" s="116" t="n"/>
      <c r="BA65" s="116" t="n"/>
      <c r="BB65" s="116" t="n"/>
      <c r="BC65" s="116" t="n"/>
      <c r="BD65" s="116" t="n"/>
      <c r="BE65" s="116" t="n"/>
      <c r="BF65" s="116" t="n"/>
      <c r="BG65" s="116" t="n"/>
      <c r="BH65" s="116" t="n"/>
      <c r="BI65" s="116" t="n"/>
      <c r="BJ65" s="116" t="n">
        <v>0</v>
      </c>
      <c r="BK65" s="116" t="n">
        <v>0</v>
      </c>
      <c r="BL65" s="116" t="n">
        <v>0</v>
      </c>
      <c r="BM65" s="116" t="n">
        <v>0</v>
      </c>
      <c r="BN65" s="116" t="n">
        <v>0</v>
      </c>
      <c r="BO65" s="116" t="n">
        <v>0</v>
      </c>
      <c r="BP65" s="116" t="n">
        <v>0</v>
      </c>
      <c r="BQ65" s="116" t="n">
        <v>0</v>
      </c>
      <c r="BR65" s="125" t="n">
        <v>3588</v>
      </c>
      <c r="BS65" s="125" t="n">
        <v>3588</v>
      </c>
      <c r="BT65" s="126" t="n">
        <v>1</v>
      </c>
      <c r="BU65" s="125" t="n">
        <v>2898</v>
      </c>
      <c r="BV65" s="125" t="n">
        <v>2421</v>
      </c>
      <c r="BW65" s="125" t="n">
        <v>2618</v>
      </c>
      <c r="BX65" s="125" t="n">
        <v>42366</v>
      </c>
      <c r="BY65" s="125" t="n">
        <v>42366</v>
      </c>
      <c r="BZ65" s="125" t="n">
        <v>47406</v>
      </c>
      <c r="CA65" s="116" t="n">
        <v>0.08</v>
      </c>
      <c r="CB65" s="116" t="n">
        <v>177</v>
      </c>
      <c r="CC65" s="125" t="n">
        <v>47882</v>
      </c>
      <c r="CD65" s="116" t="n">
        <v>0.07000000000000001</v>
      </c>
      <c r="CE65" s="127" t="n">
        <v>47439</v>
      </c>
      <c r="CF65" s="128" t="n">
        <v>0.08</v>
      </c>
    </row>
    <row r="66">
      <c r="A66" s="130" t="inlineStr">
        <is>
          <t>2025年-9月吴若希</t>
        </is>
      </c>
      <c r="B66" s="112" t="n"/>
      <c r="C66" s="113" t="n"/>
      <c r="D66" s="113" t="n"/>
      <c r="E66" s="113" t="n"/>
      <c r="F66" s="113" t="n"/>
      <c r="G66" s="131" t="n"/>
      <c r="H66" s="136" t="n">
        <v>4919</v>
      </c>
      <c r="I66" s="114" t="n">
        <v>28378</v>
      </c>
      <c r="J66" s="114" t="n">
        <v>27842</v>
      </c>
      <c r="K66" s="113" t="n">
        <v>2183</v>
      </c>
      <c r="L66" s="113" t="n">
        <v>13</v>
      </c>
      <c r="M66" s="113" t="n">
        <v>8</v>
      </c>
      <c r="N66" s="113" t="n">
        <v>9</v>
      </c>
      <c r="O66" s="113" t="n">
        <v>7</v>
      </c>
      <c r="P66" s="113" t="n">
        <v>5</v>
      </c>
      <c r="Q66" s="113" t="n">
        <v>7</v>
      </c>
      <c r="R66" s="113" t="n">
        <v>3</v>
      </c>
      <c r="S66" s="113" t="n">
        <v>3</v>
      </c>
      <c r="T66" s="114" t="n">
        <v>10764</v>
      </c>
      <c r="U66" s="114" t="n">
        <v>10764</v>
      </c>
      <c r="V66" s="115" t="n">
        <v>1</v>
      </c>
      <c r="W66" s="114" t="n">
        <v>3588</v>
      </c>
      <c r="X66" s="115" t="n">
        <v>0.615</v>
      </c>
      <c r="Y66" s="115" t="n">
        <v>0.875</v>
      </c>
      <c r="Z66" s="115" t="n">
        <v>0.538</v>
      </c>
      <c r="AA66" s="115" t="n">
        <v>0.714</v>
      </c>
      <c r="AB66" s="115" t="n">
        <v>1</v>
      </c>
      <c r="AC66" s="115" t="n">
        <v>0.6</v>
      </c>
      <c r="AD66" s="115" t="n">
        <v>0.231</v>
      </c>
      <c r="AE66" s="115" t="n">
        <v>0.231</v>
      </c>
      <c r="AF66" s="114" t="n">
        <v>32774</v>
      </c>
      <c r="AG66" s="134" t="n">
        <v>0.33</v>
      </c>
      <c r="AH66" s="113" t="n">
        <v>7</v>
      </c>
      <c r="AI66" s="113" t="n">
        <v>7</v>
      </c>
      <c r="AJ66" s="113" t="n">
        <v>7</v>
      </c>
      <c r="AK66" s="114" t="n">
        <v>1307</v>
      </c>
      <c r="AL66" s="114" t="n">
        <v>1219</v>
      </c>
      <c r="AM66" s="114" t="n">
        <v>1152</v>
      </c>
      <c r="AN66" s="113" t="n">
        <v>130</v>
      </c>
      <c r="AO66" s="113" t="n">
        <v>589</v>
      </c>
      <c r="AP66" s="113" t="n">
        <v>0</v>
      </c>
      <c r="AQ66" s="113" t="n">
        <v>0</v>
      </c>
      <c r="AR66" s="113" t="n">
        <v>0</v>
      </c>
      <c r="AS66" s="113" t="n">
        <v>0</v>
      </c>
      <c r="AT66" s="113" t="n">
        <v>0</v>
      </c>
      <c r="AU66" s="113" t="n">
        <v>0</v>
      </c>
      <c r="AV66" s="113" t="n">
        <v>0</v>
      </c>
      <c r="AW66" s="113" t="n">
        <v>0</v>
      </c>
      <c r="AX66" s="113" t="n">
        <v>0</v>
      </c>
      <c r="AY66" s="113" t="n">
        <v>0</v>
      </c>
      <c r="AZ66" s="113" t="n"/>
      <c r="BA66" s="113" t="n"/>
      <c r="BB66" s="113" t="n"/>
      <c r="BC66" s="113" t="n"/>
      <c r="BD66" s="113" t="n"/>
      <c r="BE66" s="113" t="n"/>
      <c r="BF66" s="113" t="n"/>
      <c r="BG66" s="113" t="n"/>
      <c r="BH66" s="113" t="n"/>
      <c r="BI66" s="113" t="n"/>
      <c r="BJ66" s="113" t="n">
        <v>0</v>
      </c>
      <c r="BK66" s="113" t="n">
        <v>0</v>
      </c>
      <c r="BL66" s="113" t="n">
        <v>0</v>
      </c>
      <c r="BM66" s="113" t="n">
        <v>0</v>
      </c>
      <c r="BN66" s="113" t="n">
        <v>0</v>
      </c>
      <c r="BO66" s="113" t="n">
        <v>0</v>
      </c>
      <c r="BP66" s="113" t="n">
        <v>0</v>
      </c>
      <c r="BQ66" s="113" t="n">
        <v>0</v>
      </c>
      <c r="BR66" s="114" t="n">
        <v>10764</v>
      </c>
      <c r="BS66" s="114" t="n">
        <v>10764</v>
      </c>
      <c r="BT66" s="115" t="n">
        <v>1</v>
      </c>
      <c r="BU66" s="114" t="n">
        <v>3090</v>
      </c>
      <c r="BV66" s="114" t="n">
        <v>2786</v>
      </c>
      <c r="BW66" s="114" t="n">
        <v>1307</v>
      </c>
      <c r="BX66" s="114" t="n">
        <v>28378</v>
      </c>
      <c r="BY66" s="114" t="n">
        <v>28378</v>
      </c>
      <c r="BZ66" s="114" t="n">
        <v>32470</v>
      </c>
      <c r="CA66" s="113" t="n">
        <v>0.33</v>
      </c>
      <c r="CB66" s="113" t="n">
        <v>536</v>
      </c>
      <c r="CC66" s="114" t="n">
        <v>32774</v>
      </c>
      <c r="CD66" s="113" t="n">
        <v>0.33</v>
      </c>
      <c r="CE66" s="114" t="n">
        <v>32442</v>
      </c>
      <c r="CF66" s="113" t="n">
        <v>0.33</v>
      </c>
    </row>
    <row r="67">
      <c r="A67" s="116" t="inlineStr">
        <is>
          <t>吴若希-汇总</t>
        </is>
      </c>
      <c r="B67" s="107" t="n"/>
      <c r="C67" s="108" t="n"/>
      <c r="D67" s="108" t="n"/>
      <c r="E67" s="108" t="n"/>
      <c r="F67" s="108" t="n"/>
      <c r="G67" s="124" t="n"/>
      <c r="H67" s="116" t="n"/>
      <c r="I67" s="109" t="n">
        <v>139440</v>
      </c>
      <c r="J67" s="109" t="n">
        <v>137669</v>
      </c>
      <c r="K67" s="108" t="n">
        <v>1391</v>
      </c>
      <c r="L67" s="108" t="n">
        <v>99</v>
      </c>
      <c r="M67" s="108" t="n">
        <v>46</v>
      </c>
      <c r="N67" s="108" t="n">
        <v>48</v>
      </c>
      <c r="O67" s="108" t="n">
        <v>47</v>
      </c>
      <c r="P67" s="108" t="n">
        <v>36</v>
      </c>
      <c r="Q67" s="108" t="n">
        <v>41</v>
      </c>
      <c r="R67" s="108" t="n">
        <v>10</v>
      </c>
      <c r="S67" s="108" t="n">
        <v>10</v>
      </c>
      <c r="T67" s="109" t="n">
        <v>40880</v>
      </c>
      <c r="U67" s="109" t="n">
        <v>40880</v>
      </c>
      <c r="V67" s="108" t="n"/>
      <c r="W67" s="109" t="n">
        <v>4088</v>
      </c>
      <c r="X67" s="110" t="n">
        <v>0.4646</v>
      </c>
      <c r="Y67" s="110" t="n">
        <v>1.0217</v>
      </c>
      <c r="Z67" s="120" t="n">
        <v>0.4747</v>
      </c>
      <c r="AA67" s="110" t="n">
        <v>0.766</v>
      </c>
      <c r="AB67" s="110" t="n">
        <v>0.9872</v>
      </c>
      <c r="AC67" s="110" t="n">
        <v>0.2778</v>
      </c>
      <c r="AD67" s="110" t="n">
        <v>0.101</v>
      </c>
      <c r="AE67" s="110" t="n">
        <v>0.101</v>
      </c>
      <c r="AF67" s="109" t="n">
        <v>160393</v>
      </c>
      <c r="AG67" s="108" t="n">
        <v>0.25</v>
      </c>
      <c r="AH67" s="108" t="n">
        <v>42</v>
      </c>
      <c r="AI67" s="108" t="n">
        <v>41</v>
      </c>
      <c r="AJ67" s="108" t="n">
        <v>43</v>
      </c>
      <c r="AK67" s="109" t="n">
        <v>6433</v>
      </c>
      <c r="AL67" s="109" t="n">
        <v>5516</v>
      </c>
      <c r="AM67" s="109" t="n">
        <v>4236</v>
      </c>
      <c r="AN67" s="109" t="n">
        <v>1007</v>
      </c>
      <c r="AO67" s="109" t="n">
        <v>3762</v>
      </c>
      <c r="AP67" s="108" t="n">
        <v>0</v>
      </c>
      <c r="AQ67" s="108" t="n">
        <v>0</v>
      </c>
      <c r="AR67" s="108" t="n"/>
      <c r="AS67" s="108" t="n">
        <v>0</v>
      </c>
      <c r="AT67" s="108" t="n">
        <v>0</v>
      </c>
      <c r="AU67" s="108" t="n">
        <v>0</v>
      </c>
      <c r="AV67" s="108" t="n">
        <v>0</v>
      </c>
      <c r="AW67" s="108" t="n">
        <v>0</v>
      </c>
      <c r="AX67" s="108" t="n">
        <v>0</v>
      </c>
      <c r="AY67" s="108" t="n">
        <v>0</v>
      </c>
      <c r="AZ67" s="108" t="n"/>
      <c r="BA67" s="108" t="e">
        <v>#DIV/0!</v>
      </c>
      <c r="BB67" s="108" t="e">
        <v>#DIV/0!</v>
      </c>
      <c r="BC67" s="108" t="e">
        <v>#DIV/0!</v>
      </c>
      <c r="BD67" s="108" t="e">
        <v>#DIV/0!</v>
      </c>
      <c r="BE67" s="108" t="e">
        <v>#DIV/0!</v>
      </c>
      <c r="BF67" s="108" t="e">
        <v>#DIV/0!</v>
      </c>
      <c r="BG67" s="108" t="e">
        <v>#DIV/0!</v>
      </c>
      <c r="BH67" s="108" t="e">
        <v>#DIV/0!</v>
      </c>
      <c r="BI67" s="108" t="e">
        <v>#DIV/0!</v>
      </c>
      <c r="BJ67" s="108" t="n">
        <v>0</v>
      </c>
      <c r="BK67" s="108" t="n">
        <v>0</v>
      </c>
      <c r="BL67" s="108" t="n">
        <v>0</v>
      </c>
      <c r="BM67" s="108" t="n">
        <v>0</v>
      </c>
      <c r="BN67" s="108" t="n">
        <v>0</v>
      </c>
      <c r="BO67" s="108" t="n">
        <v>0</v>
      </c>
      <c r="BP67" s="108" t="n">
        <v>0</v>
      </c>
      <c r="BQ67" s="108" t="n">
        <v>0</v>
      </c>
      <c r="BR67" s="109" t="n">
        <v>40880</v>
      </c>
      <c r="BS67" s="109" t="n">
        <v>40880</v>
      </c>
      <c r="BT67" s="108" t="n"/>
      <c r="BU67" s="109" t="n">
        <v>14520</v>
      </c>
      <c r="BV67" s="109" t="n">
        <v>13741</v>
      </c>
      <c r="BW67" s="109" t="n">
        <v>6433</v>
      </c>
      <c r="BX67" s="109" t="n">
        <v>139440</v>
      </c>
      <c r="BY67" s="109" t="n">
        <v>139440</v>
      </c>
      <c r="BZ67" s="109" t="n">
        <v>159613</v>
      </c>
      <c r="CA67" s="108" t="n">
        <v>0.26</v>
      </c>
      <c r="CB67" s="109" t="n">
        <v>1771</v>
      </c>
      <c r="CC67" s="109" t="n">
        <v>160393</v>
      </c>
      <c r="CD67" s="108" t="n">
        <v>0.25</v>
      </c>
      <c r="CE67" s="109" t="n">
        <v>161385</v>
      </c>
      <c r="CF67" s="108" t="n">
        <v>0.25</v>
      </c>
    </row>
    <row r="68">
      <c r="A68" s="116" t="inlineStr">
        <is>
          <t>2025年-7月张美妮</t>
        </is>
      </c>
      <c r="B68" s="107" t="n"/>
      <c r="C68" s="108" t="n"/>
      <c r="D68" s="108" t="n"/>
      <c r="E68" s="108" t="n"/>
      <c r="F68" s="108" t="n"/>
      <c r="G68" s="124" t="n"/>
      <c r="H68" s="116" t="n"/>
      <c r="I68" s="125" t="n">
        <v>10611</v>
      </c>
      <c r="J68" s="125" t="n">
        <v>10434</v>
      </c>
      <c r="K68" s="117" t="n">
        <v>1061</v>
      </c>
      <c r="L68" s="116" t="n">
        <v>10</v>
      </c>
      <c r="M68" s="116" t="n">
        <v>8</v>
      </c>
      <c r="N68" s="116" t="n">
        <v>8</v>
      </c>
      <c r="O68" s="116" t="n">
        <v>8</v>
      </c>
      <c r="P68" s="116" t="n">
        <v>4</v>
      </c>
      <c r="Q68" s="116" t="n">
        <v>4</v>
      </c>
      <c r="R68" s="116" t="n">
        <v>1</v>
      </c>
      <c r="S68" s="116" t="n">
        <v>1</v>
      </c>
      <c r="T68" s="125" t="n">
        <v>3588</v>
      </c>
      <c r="U68" s="125" t="n">
        <v>3588</v>
      </c>
      <c r="V68" s="126" t="n">
        <v>1</v>
      </c>
      <c r="W68" s="125" t="n">
        <v>3588</v>
      </c>
      <c r="X68" s="126" t="n">
        <v>0.8</v>
      </c>
      <c r="Y68" s="126" t="n">
        <v>1</v>
      </c>
      <c r="Z68" s="135" t="n">
        <v>0.8</v>
      </c>
      <c r="AA68" s="126" t="n">
        <v>0.5</v>
      </c>
      <c r="AB68" s="126" t="n">
        <v>0.667</v>
      </c>
      <c r="AC68" s="126" t="n">
        <v>0.25</v>
      </c>
      <c r="AD68" s="126" t="n">
        <v>0.1</v>
      </c>
      <c r="AE68" s="126" t="n">
        <v>0.1</v>
      </c>
      <c r="AF68" s="125" t="n">
        <v>12713</v>
      </c>
      <c r="AG68" s="116" t="n">
        <v>0.28</v>
      </c>
      <c r="AH68" s="116" t="n">
        <v>6</v>
      </c>
      <c r="AI68" s="116" t="n">
        <v>4</v>
      </c>
      <c r="AJ68" s="116" t="n">
        <v>4</v>
      </c>
      <c r="AK68" s="116" t="n">
        <v>440</v>
      </c>
      <c r="AL68" s="116" t="n">
        <v>839</v>
      </c>
      <c r="AM68" s="116" t="n">
        <v>367</v>
      </c>
      <c r="AN68" s="116" t="n">
        <v>103</v>
      </c>
      <c r="AO68" s="116" t="n">
        <v>353</v>
      </c>
      <c r="AP68" s="116" t="n">
        <v>0</v>
      </c>
      <c r="AQ68" s="116" t="n">
        <v>0</v>
      </c>
      <c r="AR68" s="116" t="n">
        <v>0</v>
      </c>
      <c r="AS68" s="116" t="n">
        <v>0</v>
      </c>
      <c r="AT68" s="116" t="n">
        <v>0</v>
      </c>
      <c r="AU68" s="116" t="n">
        <v>0</v>
      </c>
      <c r="AV68" s="116" t="n">
        <v>0</v>
      </c>
      <c r="AW68" s="116" t="n">
        <v>0</v>
      </c>
      <c r="AX68" s="116" t="n">
        <v>0</v>
      </c>
      <c r="AY68" s="116" t="n">
        <v>0</v>
      </c>
      <c r="AZ68" s="116" t="n"/>
      <c r="BA68" s="116" t="n"/>
      <c r="BB68" s="116" t="n"/>
      <c r="BC68" s="116" t="n"/>
      <c r="BD68" s="116" t="n"/>
      <c r="BE68" s="116" t="n"/>
      <c r="BF68" s="116" t="n"/>
      <c r="BG68" s="116" t="n"/>
      <c r="BH68" s="116" t="n"/>
      <c r="BI68" s="116" t="n"/>
      <c r="BJ68" s="116" t="n">
        <v>0</v>
      </c>
      <c r="BK68" s="116" t="n">
        <v>0</v>
      </c>
      <c r="BL68" s="116" t="n">
        <v>0</v>
      </c>
      <c r="BM68" s="116" t="n">
        <v>0</v>
      </c>
      <c r="BN68" s="116" t="n">
        <v>0</v>
      </c>
      <c r="BO68" s="116" t="n">
        <v>0</v>
      </c>
      <c r="BP68" s="116" t="n">
        <v>0</v>
      </c>
      <c r="BQ68" s="116" t="n">
        <v>0</v>
      </c>
      <c r="BR68" s="125" t="n">
        <v>3588</v>
      </c>
      <c r="BS68" s="125" t="n">
        <v>3588</v>
      </c>
      <c r="BT68" s="126" t="n">
        <v>1</v>
      </c>
      <c r="BU68" s="125" t="n">
        <v>1662</v>
      </c>
      <c r="BV68" s="125" t="n">
        <v>1662</v>
      </c>
      <c r="BW68" s="116" t="n">
        <v>440</v>
      </c>
      <c r="BX68" s="125" t="n">
        <v>10611</v>
      </c>
      <c r="BY68" s="125" t="n">
        <v>10611</v>
      </c>
      <c r="BZ68" s="125" t="n">
        <v>12713</v>
      </c>
      <c r="CA68" s="116" t="n">
        <v>0.28</v>
      </c>
      <c r="CB68" s="116" t="n">
        <v>176</v>
      </c>
      <c r="CC68" s="125" t="n">
        <v>12713</v>
      </c>
      <c r="CD68" s="116" t="n">
        <v>0.28</v>
      </c>
      <c r="CE68" s="127" t="n">
        <v>13023</v>
      </c>
      <c r="CF68" s="128" t="n">
        <v>0.28</v>
      </c>
    </row>
    <row r="69">
      <c r="A69" s="116" t="inlineStr">
        <is>
          <t>2025年-8月张美妮</t>
        </is>
      </c>
      <c r="B69" s="107" t="n"/>
      <c r="C69" s="108" t="n"/>
      <c r="D69" s="108" t="n"/>
      <c r="E69" s="108" t="n"/>
      <c r="F69" s="108" t="n"/>
      <c r="G69" s="124" t="n"/>
      <c r="H69" s="116" t="n"/>
      <c r="I69" s="125" t="n">
        <v>26906</v>
      </c>
      <c r="J69" s="125" t="n">
        <v>26906</v>
      </c>
      <c r="K69" s="117" t="n">
        <v>961</v>
      </c>
      <c r="L69" s="116" t="n">
        <v>28</v>
      </c>
      <c r="M69" s="116" t="n">
        <v>4</v>
      </c>
      <c r="N69" s="116" t="n">
        <v>4</v>
      </c>
      <c r="O69" s="116" t="n">
        <v>3</v>
      </c>
      <c r="P69" s="116" t="n">
        <v>1</v>
      </c>
      <c r="Q69" s="116" t="n">
        <v>3</v>
      </c>
      <c r="R69" s="116" t="n">
        <v>0</v>
      </c>
      <c r="S69" s="116" t="n">
        <v>0</v>
      </c>
      <c r="T69" s="116" t="n">
        <v>0</v>
      </c>
      <c r="U69" s="116" t="n">
        <v>0</v>
      </c>
      <c r="V69" s="116" t="n"/>
      <c r="W69" s="116" t="n"/>
      <c r="X69" s="126" t="n">
        <v>0.143</v>
      </c>
      <c r="Y69" s="126" t="n">
        <v>0.75</v>
      </c>
      <c r="Z69" s="135" t="n">
        <v>0.107</v>
      </c>
      <c r="AA69" s="126" t="n">
        <v>0.333</v>
      </c>
      <c r="AB69" s="126" t="n">
        <v>1</v>
      </c>
      <c r="AC69" s="126" t="n">
        <v>0</v>
      </c>
      <c r="AD69" s="126" t="n">
        <v>0</v>
      </c>
      <c r="AE69" s="126" t="n">
        <v>0</v>
      </c>
      <c r="AF69" s="125" t="n">
        <v>3566</v>
      </c>
      <c r="AG69" s="116" t="n">
        <v>0</v>
      </c>
      <c r="AH69" s="116" t="n">
        <v>3</v>
      </c>
      <c r="AI69" s="116" t="n">
        <v>3</v>
      </c>
      <c r="AJ69" s="116" t="n">
        <v>3</v>
      </c>
      <c r="AK69" s="125" t="n">
        <v>2528</v>
      </c>
      <c r="AL69" s="116" t="n">
        <v>494</v>
      </c>
      <c r="AM69" s="116" t="n">
        <v>0</v>
      </c>
      <c r="AN69" s="116" t="n">
        <v>280</v>
      </c>
      <c r="AO69" s="116" t="n">
        <v>264</v>
      </c>
      <c r="AP69" s="116" t="n">
        <v>0</v>
      </c>
      <c r="AQ69" s="116" t="n">
        <v>0</v>
      </c>
      <c r="AR69" s="116" t="n">
        <v>0</v>
      </c>
      <c r="AS69" s="116" t="n">
        <v>0</v>
      </c>
      <c r="AT69" s="116" t="n">
        <v>0</v>
      </c>
      <c r="AU69" s="116" t="n">
        <v>0</v>
      </c>
      <c r="AV69" s="116" t="n">
        <v>0</v>
      </c>
      <c r="AW69" s="116" t="n">
        <v>0</v>
      </c>
      <c r="AX69" s="116" t="n">
        <v>0</v>
      </c>
      <c r="AY69" s="116" t="n">
        <v>0</v>
      </c>
      <c r="AZ69" s="116" t="n"/>
      <c r="BA69" s="116" t="n"/>
      <c r="BB69" s="116" t="n"/>
      <c r="BC69" s="116" t="n"/>
      <c r="BD69" s="116" t="n"/>
      <c r="BE69" s="116" t="n"/>
      <c r="BF69" s="116" t="n"/>
      <c r="BG69" s="116" t="n"/>
      <c r="BH69" s="116" t="n"/>
      <c r="BI69" s="116" t="n"/>
      <c r="BJ69" s="116" t="n">
        <v>0</v>
      </c>
      <c r="BK69" s="116" t="n">
        <v>0</v>
      </c>
      <c r="BL69" s="116" t="n">
        <v>0</v>
      </c>
      <c r="BM69" s="116" t="n">
        <v>0</v>
      </c>
      <c r="BN69" s="116" t="n">
        <v>0</v>
      </c>
      <c r="BO69" s="116" t="n">
        <v>0</v>
      </c>
      <c r="BP69" s="116" t="n">
        <v>0</v>
      </c>
      <c r="BQ69" s="116" t="n">
        <v>0</v>
      </c>
      <c r="BR69" s="116" t="n">
        <v>0</v>
      </c>
      <c r="BS69" s="116" t="n">
        <v>0</v>
      </c>
      <c r="BT69" s="116" t="n"/>
      <c r="BU69" s="125" t="n">
        <v>1038</v>
      </c>
      <c r="BV69" s="116" t="n">
        <v>862</v>
      </c>
      <c r="BW69" s="125" t="n">
        <v>2528</v>
      </c>
      <c r="BX69" s="125" t="n">
        <v>26906</v>
      </c>
      <c r="BY69" s="125" t="n">
        <v>26906</v>
      </c>
      <c r="BZ69" s="125" t="n">
        <v>3390</v>
      </c>
      <c r="CA69" s="116" t="n">
        <v>0</v>
      </c>
      <c r="CB69" s="116" t="n">
        <v>0</v>
      </c>
      <c r="CC69" s="125" t="n">
        <v>3566</v>
      </c>
      <c r="CD69" s="116" t="n">
        <v>0</v>
      </c>
      <c r="CE69" s="127" t="n">
        <v>3139</v>
      </c>
      <c r="CF69" s="128" t="n">
        <v>0</v>
      </c>
    </row>
    <row r="70">
      <c r="A70" s="116" t="inlineStr">
        <is>
          <t>2025年-9月张美妮</t>
        </is>
      </c>
      <c r="B70" s="107" t="n"/>
      <c r="C70" s="108" t="n"/>
      <c r="D70" s="108" t="n"/>
      <c r="E70" s="108" t="n"/>
      <c r="F70" s="108" t="n"/>
      <c r="G70" s="124" t="n"/>
      <c r="H70" s="125" t="n">
        <v>1953</v>
      </c>
      <c r="I70" s="125" t="n">
        <v>21504</v>
      </c>
      <c r="J70" s="125" t="n">
        <v>21325</v>
      </c>
      <c r="K70" s="117" t="n">
        <v>652</v>
      </c>
      <c r="L70" s="116" t="n">
        <v>33</v>
      </c>
      <c r="M70" s="116" t="n">
        <v>3</v>
      </c>
      <c r="N70" s="116" t="n">
        <v>3</v>
      </c>
      <c r="O70" s="116" t="n">
        <v>2</v>
      </c>
      <c r="P70" s="116" t="n">
        <v>0</v>
      </c>
      <c r="Q70" s="116" t="n">
        <v>0</v>
      </c>
      <c r="R70" s="116" t="n">
        <v>0</v>
      </c>
      <c r="S70" s="116" t="n">
        <v>1</v>
      </c>
      <c r="T70" s="116" t="n">
        <v>0</v>
      </c>
      <c r="U70" s="125" t="n">
        <v>4388</v>
      </c>
      <c r="V70" s="126" t="n">
        <v>1</v>
      </c>
      <c r="W70" s="125" t="n">
        <v>4388</v>
      </c>
      <c r="X70" s="126" t="n">
        <v>0.091</v>
      </c>
      <c r="Y70" s="126" t="n">
        <v>0.667</v>
      </c>
      <c r="Z70" s="135" t="n">
        <v>0.061</v>
      </c>
      <c r="AA70" s="126" t="n">
        <v>0</v>
      </c>
      <c r="AB70" s="116" t="n"/>
      <c r="AC70" s="116" t="n"/>
      <c r="AD70" s="126" t="n">
        <v>0</v>
      </c>
      <c r="AE70" s="126" t="n">
        <v>0.03</v>
      </c>
      <c r="AF70" s="125" t="n">
        <v>25260</v>
      </c>
      <c r="AG70" s="116" t="n">
        <v>0.17</v>
      </c>
      <c r="AH70" s="116" t="n">
        <v>0</v>
      </c>
      <c r="AI70" s="116" t="n">
        <v>0</v>
      </c>
      <c r="AJ70" s="116" t="n">
        <v>0</v>
      </c>
      <c r="AK70" s="125" t="n">
        <v>2500</v>
      </c>
      <c r="AL70" s="116" t="n">
        <v>434</v>
      </c>
      <c r="AM70" s="116" t="n">
        <v>493</v>
      </c>
      <c r="AN70" s="116" t="n">
        <v>330</v>
      </c>
      <c r="AO70" s="116" t="n">
        <v>0</v>
      </c>
      <c r="AP70" s="116" t="n">
        <v>0</v>
      </c>
      <c r="AQ70" s="116" t="n">
        <v>0</v>
      </c>
      <c r="AR70" s="116" t="n">
        <v>0</v>
      </c>
      <c r="AS70" s="116" t="n">
        <v>0</v>
      </c>
      <c r="AT70" s="116" t="n">
        <v>0</v>
      </c>
      <c r="AU70" s="116" t="n">
        <v>0</v>
      </c>
      <c r="AV70" s="116" t="n">
        <v>0</v>
      </c>
      <c r="AW70" s="116" t="n">
        <v>0</v>
      </c>
      <c r="AX70" s="116" t="n">
        <v>0</v>
      </c>
      <c r="AY70" s="116" t="n">
        <v>0</v>
      </c>
      <c r="AZ70" s="116" t="n"/>
      <c r="BA70" s="116" t="n"/>
      <c r="BB70" s="116" t="n"/>
      <c r="BC70" s="116" t="n"/>
      <c r="BD70" s="116" t="n"/>
      <c r="BE70" s="116" t="n"/>
      <c r="BF70" s="116" t="n"/>
      <c r="BG70" s="116" t="n"/>
      <c r="BH70" s="116" t="n"/>
      <c r="BI70" s="116" t="n"/>
      <c r="BJ70" s="116" t="n">
        <v>0</v>
      </c>
      <c r="BK70" s="116" t="n">
        <v>0</v>
      </c>
      <c r="BL70" s="116" t="n">
        <v>0</v>
      </c>
      <c r="BM70" s="116" t="n">
        <v>0</v>
      </c>
      <c r="BN70" s="116" t="n">
        <v>0</v>
      </c>
      <c r="BO70" s="116" t="n">
        <v>0</v>
      </c>
      <c r="BP70" s="116" t="n">
        <v>0</v>
      </c>
      <c r="BQ70" s="116" t="n">
        <v>0</v>
      </c>
      <c r="BR70" s="116" t="n">
        <v>0</v>
      </c>
      <c r="BS70" s="125" t="n">
        <v>4388</v>
      </c>
      <c r="BT70" s="126" t="n">
        <v>1</v>
      </c>
      <c r="BU70" s="125" t="n">
        <v>1256</v>
      </c>
      <c r="BV70" s="116" t="n">
        <v>764</v>
      </c>
      <c r="BW70" s="125" t="n">
        <v>2500</v>
      </c>
      <c r="BX70" s="125" t="n">
        <v>21504</v>
      </c>
      <c r="BY70" s="125" t="n">
        <v>21325</v>
      </c>
      <c r="BZ70" s="125" t="n">
        <v>24589</v>
      </c>
      <c r="CA70" s="116" t="n">
        <v>0</v>
      </c>
      <c r="CB70" s="116" t="n">
        <v>179</v>
      </c>
      <c r="CC70" s="125" t="n">
        <v>25260</v>
      </c>
      <c r="CD70" s="116" t="n">
        <v>0.17</v>
      </c>
      <c r="CE70" s="127" t="n">
        <v>25235</v>
      </c>
      <c r="CF70" s="128" t="n">
        <v>0.17</v>
      </c>
    </row>
    <row r="71">
      <c r="A71" s="132" t="inlineStr">
        <is>
          <t>2025年-10月张美妮</t>
        </is>
      </c>
      <c r="B71" s="112" t="n"/>
      <c r="C71" s="113" t="n"/>
      <c r="D71" s="113" t="n"/>
      <c r="E71" s="113" t="n"/>
      <c r="F71" s="113" t="n"/>
      <c r="G71" s="131" t="n"/>
      <c r="H71" s="130" t="n"/>
      <c r="I71" s="136" t="n">
        <v>8042</v>
      </c>
      <c r="J71" s="136" t="n">
        <v>7863</v>
      </c>
      <c r="K71" s="137" t="n">
        <v>670</v>
      </c>
      <c r="L71" s="130" t="n">
        <v>12</v>
      </c>
      <c r="M71" s="130" t="n">
        <v>1</v>
      </c>
      <c r="N71" s="130" t="n">
        <v>1</v>
      </c>
      <c r="O71" s="130" t="n">
        <v>1</v>
      </c>
      <c r="P71" s="130" t="n">
        <v>1</v>
      </c>
      <c r="Q71" s="130" t="n">
        <v>2</v>
      </c>
      <c r="R71" s="130" t="n">
        <v>0</v>
      </c>
      <c r="S71" s="130" t="n">
        <v>1</v>
      </c>
      <c r="T71" s="130" t="n">
        <v>0</v>
      </c>
      <c r="U71" s="136" t="n">
        <v>6088</v>
      </c>
      <c r="V71" s="138" t="n">
        <v>1</v>
      </c>
      <c r="W71" s="136" t="n">
        <v>6088</v>
      </c>
      <c r="X71" s="138" t="n">
        <v>0.083</v>
      </c>
      <c r="Y71" s="138" t="n">
        <v>1</v>
      </c>
      <c r="Z71" s="139" t="n">
        <v>0.083</v>
      </c>
      <c r="AA71" s="138" t="n">
        <v>1</v>
      </c>
      <c r="AB71" s="138" t="n">
        <v>1</v>
      </c>
      <c r="AC71" s="138" t="n">
        <v>0</v>
      </c>
      <c r="AD71" s="138" t="n">
        <v>0</v>
      </c>
      <c r="AE71" s="138" t="n">
        <v>0.083</v>
      </c>
      <c r="AF71" s="136" t="n">
        <v>9893</v>
      </c>
      <c r="AG71" s="130" t="n">
        <v>0.62</v>
      </c>
      <c r="AH71" s="130" t="n">
        <v>2</v>
      </c>
      <c r="AI71" s="130" t="n">
        <v>2</v>
      </c>
      <c r="AJ71" s="130" t="n">
        <v>2</v>
      </c>
      <c r="AK71" s="130" t="n">
        <v>750</v>
      </c>
      <c r="AL71" s="130" t="n">
        <v>142</v>
      </c>
      <c r="AM71" s="130" t="n">
        <v>670</v>
      </c>
      <c r="AN71" s="130" t="n">
        <v>120</v>
      </c>
      <c r="AO71" s="130" t="n">
        <v>170</v>
      </c>
      <c r="AP71" s="130" t="n">
        <v>0</v>
      </c>
      <c r="AQ71" s="130" t="n">
        <v>0</v>
      </c>
      <c r="AR71" s="130" t="n">
        <v>0</v>
      </c>
      <c r="AS71" s="130" t="n">
        <v>0</v>
      </c>
      <c r="AT71" s="130" t="n">
        <v>0</v>
      </c>
      <c r="AU71" s="130" t="n">
        <v>0</v>
      </c>
      <c r="AV71" s="130" t="n">
        <v>0</v>
      </c>
      <c r="AW71" s="130" t="n">
        <v>0</v>
      </c>
      <c r="AX71" s="130" t="n">
        <v>0</v>
      </c>
      <c r="AY71" s="130" t="n">
        <v>0</v>
      </c>
      <c r="AZ71" s="130" t="n"/>
      <c r="BA71" s="130" t="n"/>
      <c r="BB71" s="130" t="n"/>
      <c r="BC71" s="130" t="n"/>
      <c r="BD71" s="130" t="n"/>
      <c r="BE71" s="130" t="n"/>
      <c r="BF71" s="130" t="n"/>
      <c r="BG71" s="130" t="n"/>
      <c r="BH71" s="130" t="n"/>
      <c r="BI71" s="130" t="n"/>
      <c r="BJ71" s="130" t="n">
        <v>0</v>
      </c>
      <c r="BK71" s="130" t="n">
        <v>0</v>
      </c>
      <c r="BL71" s="130" t="n">
        <v>0</v>
      </c>
      <c r="BM71" s="130" t="n">
        <v>0</v>
      </c>
      <c r="BN71" s="130" t="n">
        <v>0</v>
      </c>
      <c r="BO71" s="130" t="n">
        <v>0</v>
      </c>
      <c r="BP71" s="130" t="n">
        <v>0</v>
      </c>
      <c r="BQ71" s="130" t="n">
        <v>0</v>
      </c>
      <c r="BR71" s="130" t="n">
        <v>0</v>
      </c>
      <c r="BS71" s="136" t="n">
        <v>6088</v>
      </c>
      <c r="BT71" s="138" t="n">
        <v>1</v>
      </c>
      <c r="BU71" s="136" t="n">
        <v>1101</v>
      </c>
      <c r="BV71" s="130" t="n">
        <v>347</v>
      </c>
      <c r="BW71" s="130" t="n">
        <v>750</v>
      </c>
      <c r="BX71" s="136" t="n">
        <v>8042</v>
      </c>
      <c r="BY71" s="136" t="n">
        <v>7863</v>
      </c>
      <c r="BZ71" s="136" t="n">
        <v>8960</v>
      </c>
      <c r="CA71" s="130" t="n">
        <v>0</v>
      </c>
      <c r="CB71" s="130" t="n">
        <v>179</v>
      </c>
      <c r="CC71" s="136" t="n">
        <v>9893</v>
      </c>
      <c r="CD71" s="130" t="n">
        <v>0.62</v>
      </c>
      <c r="CE71" s="140" t="n">
        <v>10043</v>
      </c>
      <c r="CF71" s="141" t="n">
        <v>0.61</v>
      </c>
    </row>
    <row r="72">
      <c r="A72" s="116" t="inlineStr">
        <is>
          <t>张美妮-汇总</t>
        </is>
      </c>
      <c r="B72" s="107" t="n"/>
      <c r="C72" s="108" t="n"/>
      <c r="D72" s="108" t="n"/>
      <c r="E72" s="108" t="n"/>
      <c r="F72" s="108" t="n"/>
      <c r="G72" s="124" t="n"/>
      <c r="H72" s="116" t="n"/>
      <c r="I72" s="125" t="n">
        <v>67062</v>
      </c>
      <c r="J72" s="125" t="n">
        <v>66528</v>
      </c>
      <c r="K72" s="117" t="n">
        <v>802</v>
      </c>
      <c r="L72" s="116" t="n">
        <v>83</v>
      </c>
      <c r="M72" s="116" t="n">
        <v>16</v>
      </c>
      <c r="N72" s="116" t="n">
        <v>16</v>
      </c>
      <c r="O72" s="116" t="n">
        <v>14</v>
      </c>
      <c r="P72" s="116" t="n">
        <v>6</v>
      </c>
      <c r="Q72" s="116" t="n">
        <v>9</v>
      </c>
      <c r="R72" s="116" t="n">
        <v>1</v>
      </c>
      <c r="S72" s="116" t="n">
        <v>3</v>
      </c>
      <c r="T72" s="125" t="n">
        <v>3588</v>
      </c>
      <c r="U72" s="125" t="n">
        <v>14064</v>
      </c>
      <c r="V72" s="116" t="n"/>
      <c r="W72" s="125" t="n">
        <v>4688</v>
      </c>
      <c r="X72" s="126" t="n">
        <v>0.1928</v>
      </c>
      <c r="Y72" s="126" t="n">
        <v>0.875</v>
      </c>
      <c r="Z72" s="135" t="n">
        <v>0.1687</v>
      </c>
      <c r="AA72" s="126" t="n">
        <v>0.4286</v>
      </c>
      <c r="AB72" s="126" t="n">
        <v>0.8889</v>
      </c>
      <c r="AC72" s="126" t="n">
        <v>0.1667</v>
      </c>
      <c r="AD72" s="126" t="n">
        <v>0.012</v>
      </c>
      <c r="AE72" s="126" t="n">
        <v>0.0361</v>
      </c>
      <c r="AF72" s="125" t="n">
        <v>51433</v>
      </c>
      <c r="AG72" s="116" t="n">
        <v>0.27</v>
      </c>
      <c r="AH72" s="116" t="n">
        <v>11</v>
      </c>
      <c r="AI72" s="116" t="n">
        <v>9</v>
      </c>
      <c r="AJ72" s="116" t="n">
        <v>9</v>
      </c>
      <c r="AK72" s="125" t="n">
        <v>6218</v>
      </c>
      <c r="AL72" s="125" t="n">
        <v>1910</v>
      </c>
      <c r="AM72" s="125" t="n">
        <v>1530</v>
      </c>
      <c r="AN72" s="116" t="n">
        <v>833</v>
      </c>
      <c r="AO72" s="116" t="n">
        <v>787</v>
      </c>
      <c r="AP72" s="116" t="n">
        <v>0</v>
      </c>
      <c r="AQ72" s="116" t="n">
        <v>0</v>
      </c>
      <c r="AR72" s="116" t="n"/>
      <c r="AS72" s="116" t="n">
        <v>0</v>
      </c>
      <c r="AT72" s="116" t="n">
        <v>0</v>
      </c>
      <c r="AU72" s="116" t="n">
        <v>0</v>
      </c>
      <c r="AV72" s="116" t="n">
        <v>0</v>
      </c>
      <c r="AW72" s="116" t="n">
        <v>0</v>
      </c>
      <c r="AX72" s="116" t="n">
        <v>0</v>
      </c>
      <c r="AY72" s="116" t="n">
        <v>0</v>
      </c>
      <c r="AZ72" s="116" t="n"/>
      <c r="BA72" s="116" t="e">
        <v>#DIV/0!</v>
      </c>
      <c r="BB72" s="116" t="e">
        <v>#DIV/0!</v>
      </c>
      <c r="BC72" s="116" t="e">
        <v>#DIV/0!</v>
      </c>
      <c r="BD72" s="116" t="e">
        <v>#DIV/0!</v>
      </c>
      <c r="BE72" s="116" t="e">
        <v>#DIV/0!</v>
      </c>
      <c r="BF72" s="116" t="e">
        <v>#DIV/0!</v>
      </c>
      <c r="BG72" s="116" t="e">
        <v>#DIV/0!</v>
      </c>
      <c r="BH72" s="116" t="e">
        <v>#DIV/0!</v>
      </c>
      <c r="BI72" s="116" t="e">
        <v>#DIV/0!</v>
      </c>
      <c r="BJ72" s="116" t="n">
        <v>0</v>
      </c>
      <c r="BK72" s="116" t="n">
        <v>0</v>
      </c>
      <c r="BL72" s="116" t="n">
        <v>0</v>
      </c>
      <c r="BM72" s="116" t="n">
        <v>0</v>
      </c>
      <c r="BN72" s="116" t="n">
        <v>0</v>
      </c>
      <c r="BO72" s="116" t="n">
        <v>0</v>
      </c>
      <c r="BP72" s="116" t="n">
        <v>0</v>
      </c>
      <c r="BQ72" s="116" t="n">
        <v>0</v>
      </c>
      <c r="BR72" s="125" t="n">
        <v>3588</v>
      </c>
      <c r="BS72" s="125" t="n">
        <v>14064</v>
      </c>
      <c r="BT72" s="116" t="n"/>
      <c r="BU72" s="125" t="n">
        <v>5059</v>
      </c>
      <c r="BV72" s="125" t="n">
        <v>3635</v>
      </c>
      <c r="BW72" s="125" t="n">
        <v>6218</v>
      </c>
      <c r="BX72" s="125" t="n">
        <v>67062</v>
      </c>
      <c r="BY72" s="125" t="n">
        <v>66705</v>
      </c>
      <c r="BZ72" s="125" t="n">
        <v>49652</v>
      </c>
      <c r="CA72" s="116" t="n">
        <v>0.07000000000000001</v>
      </c>
      <c r="CB72" s="116" t="n">
        <v>534</v>
      </c>
      <c r="CC72" s="125" t="n">
        <v>51433</v>
      </c>
      <c r="CD72" s="116" t="n">
        <v>0.27</v>
      </c>
      <c r="CE72" s="127" t="n">
        <v>51440</v>
      </c>
      <c r="CF72" s="128" t="n">
        <v>0.27</v>
      </c>
    </row>
    <row r="73">
      <c r="A73" s="116" t="inlineStr">
        <is>
          <t>2025年-8月钟嘉欣</t>
        </is>
      </c>
      <c r="B73" s="107" t="n"/>
      <c r="C73" s="108" t="n"/>
      <c r="D73" s="108" t="n"/>
      <c r="E73" s="108" t="n"/>
      <c r="F73" s="108" t="n"/>
      <c r="G73" s="124" t="n"/>
      <c r="H73" s="116" t="n"/>
      <c r="I73" s="125" t="n">
        <v>247270</v>
      </c>
      <c r="J73" s="125" t="n">
        <v>238429</v>
      </c>
      <c r="K73" s="117" t="n">
        <v>512</v>
      </c>
      <c r="L73" s="116" t="n">
        <v>466</v>
      </c>
      <c r="M73" s="116" t="n">
        <v>167</v>
      </c>
      <c r="N73" s="116" t="n">
        <v>167</v>
      </c>
      <c r="O73" s="116" t="n">
        <v>167</v>
      </c>
      <c r="P73" s="116" t="n">
        <v>127</v>
      </c>
      <c r="Q73" s="116" t="n">
        <v>127</v>
      </c>
      <c r="R73" s="116" t="n">
        <v>50</v>
      </c>
      <c r="S73" s="116" t="n">
        <v>50</v>
      </c>
      <c r="T73" s="125" t="n">
        <v>256600</v>
      </c>
      <c r="U73" s="125" t="n">
        <v>256600</v>
      </c>
      <c r="V73" s="116" t="n"/>
      <c r="W73" s="125" t="n">
        <v>5132</v>
      </c>
      <c r="X73" s="126" t="n">
        <v>0.3584</v>
      </c>
      <c r="Y73" s="126" t="n">
        <v>1</v>
      </c>
      <c r="Z73" s="135" t="n">
        <v>0.3584</v>
      </c>
      <c r="AA73" s="126" t="n">
        <v>0.7605</v>
      </c>
      <c r="AB73" s="126" t="n">
        <v>0.995</v>
      </c>
      <c r="AC73" s="126" t="n">
        <v>0.3937</v>
      </c>
      <c r="AD73" s="126" t="n">
        <v>0.1073</v>
      </c>
      <c r="AE73" s="126" t="n">
        <v>0.1073</v>
      </c>
      <c r="AF73" s="125" t="n">
        <v>353419</v>
      </c>
      <c r="AG73" s="116" t="n">
        <v>0.73</v>
      </c>
      <c r="AH73" s="116" t="n">
        <v>128</v>
      </c>
      <c r="AI73" s="116" t="n">
        <v>127</v>
      </c>
      <c r="AJ73" s="116" t="n">
        <v>142</v>
      </c>
      <c r="AK73" s="125" t="n">
        <v>42070</v>
      </c>
      <c r="AL73" s="125" t="n">
        <v>20628</v>
      </c>
      <c r="AM73" s="125" t="n">
        <v>26275</v>
      </c>
      <c r="AN73" s="125" t="n">
        <v>4660</v>
      </c>
      <c r="AO73" s="125" t="n">
        <v>12516</v>
      </c>
      <c r="AP73" s="116" t="n">
        <v>0</v>
      </c>
      <c r="AQ73" s="116" t="n">
        <v>0</v>
      </c>
      <c r="AR73" s="116" t="n"/>
      <c r="AS73" s="116" t="n">
        <v>0</v>
      </c>
      <c r="AT73" s="116" t="n">
        <v>0</v>
      </c>
      <c r="AU73" s="116" t="n">
        <v>0</v>
      </c>
      <c r="AV73" s="116" t="n">
        <v>0</v>
      </c>
      <c r="AW73" s="116" t="n">
        <v>0</v>
      </c>
      <c r="AX73" s="116" t="n">
        <v>0</v>
      </c>
      <c r="AY73" s="116" t="n">
        <v>0</v>
      </c>
      <c r="AZ73" s="116" t="n"/>
      <c r="BA73" s="116" t="e">
        <v>#DIV/0!</v>
      </c>
      <c r="BB73" s="116" t="e">
        <v>#DIV/0!</v>
      </c>
      <c r="BC73" s="116" t="e">
        <v>#DIV/0!</v>
      </c>
      <c r="BD73" s="116" t="e">
        <v>#DIV/0!</v>
      </c>
      <c r="BE73" s="116" t="e">
        <v>#DIV/0!</v>
      </c>
      <c r="BF73" s="116" t="e">
        <v>#DIV/0!</v>
      </c>
      <c r="BG73" s="116" t="e">
        <v>#DIV/0!</v>
      </c>
      <c r="BH73" s="116" t="e">
        <v>#DIV/0!</v>
      </c>
      <c r="BI73" s="116" t="e">
        <v>#DIV/0!</v>
      </c>
      <c r="BJ73" s="116" t="n">
        <v>0</v>
      </c>
      <c r="BK73" s="116" t="n">
        <v>0</v>
      </c>
      <c r="BL73" s="116" t="n">
        <v>0</v>
      </c>
      <c r="BM73" s="116" t="n">
        <v>0</v>
      </c>
      <c r="BN73" s="116" t="n">
        <v>0</v>
      </c>
      <c r="BO73" s="116" t="n">
        <v>0</v>
      </c>
      <c r="BP73" s="116" t="n">
        <v>0</v>
      </c>
      <c r="BQ73" s="116" t="n">
        <v>0</v>
      </c>
      <c r="BR73" s="125" t="n">
        <v>256600</v>
      </c>
      <c r="BS73" s="125" t="n">
        <v>256600</v>
      </c>
      <c r="BT73" s="116" t="n"/>
      <c r="BU73" s="125" t="n">
        <v>64079</v>
      </c>
      <c r="BV73" s="125" t="n">
        <v>64079</v>
      </c>
      <c r="BW73" s="125" t="n">
        <v>42070</v>
      </c>
      <c r="BX73" s="125" t="n">
        <v>247270</v>
      </c>
      <c r="BY73" s="125" t="n">
        <v>247270</v>
      </c>
      <c r="BZ73" s="125" t="n">
        <v>353419</v>
      </c>
      <c r="CA73" s="116" t="n">
        <v>0.73</v>
      </c>
      <c r="CB73" s="125" t="n">
        <v>8841</v>
      </c>
      <c r="CC73" s="125" t="n">
        <v>353419</v>
      </c>
      <c r="CD73" s="116" t="n">
        <v>0.73</v>
      </c>
      <c r="CE73" s="127" t="n">
        <v>346299</v>
      </c>
      <c r="CF73" s="128" t="n">
        <v>0.74</v>
      </c>
    </row>
    <row r="74">
      <c r="A74" s="116" t="inlineStr">
        <is>
          <t>2025年-9月钟嘉欣</t>
        </is>
      </c>
      <c r="B74" s="107" t="n"/>
      <c r="C74" s="108" t="n"/>
      <c r="D74" s="108" t="n"/>
      <c r="E74" s="108" t="n"/>
      <c r="F74" s="108" t="n"/>
      <c r="G74" s="124" t="n"/>
      <c r="H74" s="116" t="n"/>
      <c r="I74" s="125" t="n">
        <v>232765</v>
      </c>
      <c r="J74" s="125" t="n">
        <v>224011</v>
      </c>
      <c r="K74" s="117" t="n">
        <v>546</v>
      </c>
      <c r="L74" s="116" t="n">
        <v>410</v>
      </c>
      <c r="M74" s="116" t="n">
        <v>120</v>
      </c>
      <c r="N74" s="116" t="n">
        <v>128</v>
      </c>
      <c r="O74" s="116" t="n">
        <v>115</v>
      </c>
      <c r="P74" s="116" t="n">
        <v>91</v>
      </c>
      <c r="Q74" s="116" t="n">
        <v>112</v>
      </c>
      <c r="R74" s="116" t="n">
        <v>40</v>
      </c>
      <c r="S74" s="116" t="n">
        <v>49</v>
      </c>
      <c r="T74" s="125" t="n">
        <v>195020</v>
      </c>
      <c r="U74" s="125" t="n">
        <v>234812</v>
      </c>
      <c r="V74" s="116" t="n"/>
      <c r="W74" s="125" t="n">
        <v>4792</v>
      </c>
      <c r="X74" s="126" t="n">
        <v>0.293</v>
      </c>
      <c r="Y74" s="126" t="n">
        <v>0.958</v>
      </c>
      <c r="Z74" s="135" t="n">
        <v>0.28</v>
      </c>
      <c r="AA74" s="126" t="n">
        <v>0.791</v>
      </c>
      <c r="AB74" s="126" t="n">
        <v>0.991</v>
      </c>
      <c r="AC74" s="126" t="n">
        <v>0.44</v>
      </c>
      <c r="AD74" s="126" t="n">
        <v>0.098</v>
      </c>
      <c r="AE74" s="126" t="n">
        <v>0.12</v>
      </c>
      <c r="AF74" s="125" t="n">
        <v>323333</v>
      </c>
      <c r="AG74" s="116" t="n">
        <v>0.73</v>
      </c>
      <c r="AH74" s="116" t="n">
        <v>113</v>
      </c>
      <c r="AI74" s="116" t="n">
        <v>112</v>
      </c>
      <c r="AJ74" s="116" t="n">
        <v>124</v>
      </c>
      <c r="AK74" s="125" t="n">
        <v>31065</v>
      </c>
      <c r="AL74" s="125" t="n">
        <v>18507</v>
      </c>
      <c r="AM74" s="125" t="n">
        <v>26364</v>
      </c>
      <c r="AN74" s="125" t="n">
        <v>4100</v>
      </c>
      <c r="AO74" s="125" t="n">
        <v>10531</v>
      </c>
      <c r="AP74" s="116" t="n">
        <v>0</v>
      </c>
      <c r="AQ74" s="116" t="n">
        <v>0</v>
      </c>
      <c r="AR74" s="116" t="n"/>
      <c r="AS74" s="116" t="n">
        <v>0</v>
      </c>
      <c r="AT74" s="116" t="n">
        <v>0</v>
      </c>
      <c r="AU74" s="116" t="n">
        <v>0</v>
      </c>
      <c r="AV74" s="116" t="n">
        <v>0</v>
      </c>
      <c r="AW74" s="116" t="n">
        <v>0</v>
      </c>
      <c r="AX74" s="116" t="n">
        <v>0</v>
      </c>
      <c r="AY74" s="116" t="n">
        <v>0</v>
      </c>
      <c r="AZ74" s="116" t="n"/>
      <c r="BA74" s="116" t="e">
        <v>#DIV/0!</v>
      </c>
      <c r="BB74" s="116" t="e">
        <v>#DIV/0!</v>
      </c>
      <c r="BC74" s="116" t="e">
        <v>#DIV/0!</v>
      </c>
      <c r="BD74" s="116" t="e">
        <v>#DIV/0!</v>
      </c>
      <c r="BE74" s="116" t="e">
        <v>#DIV/0!</v>
      </c>
      <c r="BF74" s="116" t="e">
        <v>#DIV/0!</v>
      </c>
      <c r="BG74" s="116" t="e">
        <v>#DIV/0!</v>
      </c>
      <c r="BH74" s="116" t="e">
        <v>#DIV/0!</v>
      </c>
      <c r="BI74" s="116" t="e">
        <v>#DIV/0!</v>
      </c>
      <c r="BJ74" s="116" t="n">
        <v>0</v>
      </c>
      <c r="BK74" s="116" t="n">
        <v>0</v>
      </c>
      <c r="BL74" s="116" t="n">
        <v>0</v>
      </c>
      <c r="BM74" s="116" t="n">
        <v>0</v>
      </c>
      <c r="BN74" s="116" t="n">
        <v>0</v>
      </c>
      <c r="BO74" s="116" t="n">
        <v>0</v>
      </c>
      <c r="BP74" s="116" t="n">
        <v>0</v>
      </c>
      <c r="BQ74" s="116" t="n">
        <v>0</v>
      </c>
      <c r="BR74" s="125" t="n">
        <v>195020</v>
      </c>
      <c r="BS74" s="125" t="n">
        <v>234812</v>
      </c>
      <c r="BT74" s="116" t="n"/>
      <c r="BU74" s="125" t="n">
        <v>59503</v>
      </c>
      <c r="BV74" s="125" t="n">
        <v>51755</v>
      </c>
      <c r="BW74" s="125" t="n">
        <v>31065</v>
      </c>
      <c r="BX74" s="125" t="n">
        <v>232765</v>
      </c>
      <c r="BY74" s="125" t="n">
        <v>231157</v>
      </c>
      <c r="BZ74" s="125" t="n">
        <v>313977</v>
      </c>
      <c r="CA74" s="116" t="n">
        <v>0.62</v>
      </c>
      <c r="CB74" s="125" t="n">
        <v>8753</v>
      </c>
      <c r="CC74" s="125" t="n">
        <v>323333</v>
      </c>
      <c r="CD74" s="116" t="n">
        <v>0.73</v>
      </c>
      <c r="CE74" s="127" t="n">
        <v>323018</v>
      </c>
      <c r="CF74" s="128" t="n">
        <v>0.73</v>
      </c>
    </row>
    <row r="75">
      <c r="A75" s="116" t="inlineStr">
        <is>
          <t>2025年-10月钟嘉欣</t>
        </is>
      </c>
      <c r="B75" s="107" t="n"/>
      <c r="C75" s="108" t="n"/>
      <c r="D75" s="108" t="n"/>
      <c r="E75" s="108" t="n"/>
      <c r="F75" s="108" t="n"/>
      <c r="G75" s="124" t="n"/>
      <c r="H75" s="116" t="n"/>
      <c r="I75" s="125" t="n">
        <v>179213</v>
      </c>
      <c r="J75" s="125" t="n">
        <v>175283</v>
      </c>
      <c r="K75" s="117" t="n">
        <v>482</v>
      </c>
      <c r="L75" s="116" t="n">
        <v>364</v>
      </c>
      <c r="M75" s="116" t="n">
        <v>81</v>
      </c>
      <c r="N75" s="116" t="n">
        <v>84</v>
      </c>
      <c r="O75" s="116" t="n">
        <v>78</v>
      </c>
      <c r="P75" s="116" t="n">
        <v>60</v>
      </c>
      <c r="Q75" s="116" t="n">
        <v>67</v>
      </c>
      <c r="R75" s="116" t="n">
        <v>20</v>
      </c>
      <c r="S75" s="116" t="n">
        <v>22</v>
      </c>
      <c r="T75" s="125" t="n">
        <v>130215</v>
      </c>
      <c r="U75" s="125" t="n">
        <v>138191</v>
      </c>
      <c r="V75" s="116" t="n"/>
      <c r="W75" s="125" t="n">
        <v>6281</v>
      </c>
      <c r="X75" s="126" t="n">
        <v>0.223</v>
      </c>
      <c r="Y75" s="126" t="n">
        <v>0.963</v>
      </c>
      <c r="Z75" s="135" t="n">
        <v>0.214</v>
      </c>
      <c r="AA75" s="126" t="n">
        <v>0.769</v>
      </c>
      <c r="AB75" s="126" t="n">
        <v>0.991</v>
      </c>
      <c r="AC75" s="126" t="n">
        <v>0.333</v>
      </c>
      <c r="AD75" s="126" t="n">
        <v>0.055</v>
      </c>
      <c r="AE75" s="126" t="n">
        <v>0.06</v>
      </c>
      <c r="AF75" s="125" t="n">
        <v>239020</v>
      </c>
      <c r="AG75" s="116" t="n">
        <v>0.58</v>
      </c>
      <c r="AH75" s="116" t="n">
        <v>68</v>
      </c>
      <c r="AI75" s="116" t="n">
        <v>67</v>
      </c>
      <c r="AJ75" s="116" t="n">
        <v>74</v>
      </c>
      <c r="AK75" s="125" t="n">
        <v>22744</v>
      </c>
      <c r="AL75" s="125" t="n">
        <v>11949</v>
      </c>
      <c r="AM75" s="125" t="n">
        <v>15201</v>
      </c>
      <c r="AN75" s="125" t="n">
        <v>3640</v>
      </c>
      <c r="AO75" s="125" t="n">
        <v>6273</v>
      </c>
      <c r="AP75" s="116" t="n">
        <v>0</v>
      </c>
      <c r="AQ75" s="116" t="n">
        <v>0</v>
      </c>
      <c r="AR75" s="116" t="n"/>
      <c r="AS75" s="116" t="n">
        <v>0</v>
      </c>
      <c r="AT75" s="116" t="n">
        <v>0</v>
      </c>
      <c r="AU75" s="116" t="n">
        <v>0</v>
      </c>
      <c r="AV75" s="116" t="n">
        <v>0</v>
      </c>
      <c r="AW75" s="116" t="n">
        <v>0</v>
      </c>
      <c r="AX75" s="116" t="n">
        <v>0</v>
      </c>
      <c r="AY75" s="116" t="n">
        <v>0</v>
      </c>
      <c r="AZ75" s="116" t="n"/>
      <c r="BA75" s="116" t="e">
        <v>#DIV/0!</v>
      </c>
      <c r="BB75" s="116" t="e">
        <v>#DIV/0!</v>
      </c>
      <c r="BC75" s="116" t="e">
        <v>#DIV/0!</v>
      </c>
      <c r="BD75" s="116" t="e">
        <v>#DIV/0!</v>
      </c>
      <c r="BE75" s="116" t="e">
        <v>#DIV/0!</v>
      </c>
      <c r="BF75" s="116" t="e">
        <v>#DIV/0!</v>
      </c>
      <c r="BG75" s="116" t="e">
        <v>#DIV/0!</v>
      </c>
      <c r="BH75" s="116" t="e">
        <v>#DIV/0!</v>
      </c>
      <c r="BI75" s="116" t="e">
        <v>#DIV/0!</v>
      </c>
      <c r="BJ75" s="116" t="n">
        <v>0</v>
      </c>
      <c r="BK75" s="116" t="n">
        <v>0</v>
      </c>
      <c r="BL75" s="116" t="n">
        <v>0</v>
      </c>
      <c r="BM75" s="116" t="n">
        <v>0</v>
      </c>
      <c r="BN75" s="116" t="n">
        <v>0</v>
      </c>
      <c r="BO75" s="116" t="n">
        <v>0</v>
      </c>
      <c r="BP75" s="116" t="n">
        <v>0</v>
      </c>
      <c r="BQ75" s="116" t="n">
        <v>0</v>
      </c>
      <c r="BR75" s="125" t="n">
        <v>130215</v>
      </c>
      <c r="BS75" s="125" t="n">
        <v>138191</v>
      </c>
      <c r="BT75" s="116" t="n"/>
      <c r="BU75" s="125" t="n">
        <v>37063</v>
      </c>
      <c r="BV75" s="125" t="n">
        <v>35080</v>
      </c>
      <c r="BW75" s="125" t="n">
        <v>22744</v>
      </c>
      <c r="BX75" s="125" t="n">
        <v>179213</v>
      </c>
      <c r="BY75" s="125" t="n">
        <v>178856</v>
      </c>
      <c r="BZ75" s="125" t="n">
        <v>236680</v>
      </c>
      <c r="CA75" s="116" t="n">
        <v>0.55</v>
      </c>
      <c r="CB75" s="125" t="n">
        <v>3930</v>
      </c>
      <c r="CC75" s="125" t="n">
        <v>239020</v>
      </c>
      <c r="CD75" s="116" t="n">
        <v>0.58</v>
      </c>
      <c r="CE75" s="127" t="n">
        <v>243576</v>
      </c>
      <c r="CF75" s="128" t="n">
        <v>0.57</v>
      </c>
    </row>
    <row r="76">
      <c r="A76" s="130" t="inlineStr">
        <is>
          <t>2025年-11月钟嘉欣</t>
        </is>
      </c>
      <c r="B76" s="112" t="n"/>
      <c r="C76" s="113" t="n"/>
      <c r="D76" s="113" t="n"/>
      <c r="E76" s="113" t="n"/>
      <c r="F76" s="113" t="n"/>
      <c r="G76" s="131" t="n"/>
      <c r="H76" s="130" t="n"/>
      <c r="I76" s="136" t="n">
        <v>81092</v>
      </c>
      <c r="J76" s="136" t="n">
        <v>78232</v>
      </c>
      <c r="K76" s="137" t="n">
        <v>652</v>
      </c>
      <c r="L76" s="130" t="n">
        <v>120</v>
      </c>
      <c r="M76" s="130" t="n">
        <v>64</v>
      </c>
      <c r="N76" s="130" t="n">
        <v>65</v>
      </c>
      <c r="O76" s="130" t="n">
        <v>60</v>
      </c>
      <c r="P76" s="130" t="n">
        <v>41</v>
      </c>
      <c r="Q76" s="130" t="n">
        <v>47</v>
      </c>
      <c r="R76" s="130" t="n">
        <v>14</v>
      </c>
      <c r="S76" s="130" t="n">
        <v>16</v>
      </c>
      <c r="T76" s="136" t="n">
        <v>80793</v>
      </c>
      <c r="U76" s="136" t="n">
        <v>96791</v>
      </c>
      <c r="V76" s="130" t="n"/>
      <c r="W76" s="136" t="n">
        <v>6049</v>
      </c>
      <c r="X76" s="138" t="n">
        <v>0.5333</v>
      </c>
      <c r="Y76" s="138" t="n">
        <v>0.9375</v>
      </c>
      <c r="Z76" s="139" t="n">
        <v>0.5</v>
      </c>
      <c r="AA76" s="138" t="n">
        <v>0.6833</v>
      </c>
      <c r="AB76" s="138" t="n">
        <v>0.9825</v>
      </c>
      <c r="AC76" s="138" t="n">
        <v>0.3415</v>
      </c>
      <c r="AD76" s="138" t="n">
        <v>0.1167</v>
      </c>
      <c r="AE76" s="138" t="n">
        <v>0.1333</v>
      </c>
      <c r="AF76" s="136" t="n">
        <v>112750</v>
      </c>
      <c r="AG76" s="130" t="n">
        <v>0.86</v>
      </c>
      <c r="AH76" s="130" t="n">
        <v>48</v>
      </c>
      <c r="AI76" s="130" t="n">
        <v>47</v>
      </c>
      <c r="AJ76" s="130" t="n">
        <v>51</v>
      </c>
      <c r="AK76" s="136" t="n">
        <v>7811</v>
      </c>
      <c r="AL76" s="136" t="n">
        <v>7677</v>
      </c>
      <c r="AM76" s="136" t="n">
        <v>10647</v>
      </c>
      <c r="AN76" s="136" t="n">
        <v>1200</v>
      </c>
      <c r="AO76" s="136" t="n">
        <v>4323</v>
      </c>
      <c r="AP76" s="130" t="n">
        <v>0</v>
      </c>
      <c r="AQ76" s="130" t="n">
        <v>0</v>
      </c>
      <c r="AR76" s="130" t="n"/>
      <c r="AS76" s="130" t="n">
        <v>0</v>
      </c>
      <c r="AT76" s="130" t="n">
        <v>0</v>
      </c>
      <c r="AU76" s="130" t="n">
        <v>0</v>
      </c>
      <c r="AV76" s="130" t="n">
        <v>0</v>
      </c>
      <c r="AW76" s="130" t="n">
        <v>0</v>
      </c>
      <c r="AX76" s="130" t="n">
        <v>0</v>
      </c>
      <c r="AY76" s="130" t="n">
        <v>0</v>
      </c>
      <c r="AZ76" s="130" t="n"/>
      <c r="BA76" s="130" t="e">
        <v>#DIV/0!</v>
      </c>
      <c r="BB76" s="130" t="e">
        <v>#DIV/0!</v>
      </c>
      <c r="BC76" s="130" t="e">
        <v>#DIV/0!</v>
      </c>
      <c r="BD76" s="130" t="e">
        <v>#DIV/0!</v>
      </c>
      <c r="BE76" s="130" t="e">
        <v>#DIV/0!</v>
      </c>
      <c r="BF76" s="130" t="e">
        <v>#DIV/0!</v>
      </c>
      <c r="BG76" s="130" t="e">
        <v>#DIV/0!</v>
      </c>
      <c r="BH76" s="130" t="e">
        <v>#DIV/0!</v>
      </c>
      <c r="BI76" s="130" t="e">
        <v>#DIV/0!</v>
      </c>
      <c r="BJ76" s="130" t="n">
        <v>0</v>
      </c>
      <c r="BK76" s="130" t="n">
        <v>0</v>
      </c>
      <c r="BL76" s="130" t="n">
        <v>0</v>
      </c>
      <c r="BM76" s="130" t="n">
        <v>0</v>
      </c>
      <c r="BN76" s="130" t="n">
        <v>0</v>
      </c>
      <c r="BO76" s="130" t="n">
        <v>0</v>
      </c>
      <c r="BP76" s="130" t="n">
        <v>0</v>
      </c>
      <c r="BQ76" s="130" t="n">
        <v>0</v>
      </c>
      <c r="BR76" s="136" t="n">
        <v>80793</v>
      </c>
      <c r="BS76" s="136" t="n">
        <v>96791</v>
      </c>
      <c r="BT76" s="130" t="n"/>
      <c r="BU76" s="136" t="n">
        <v>23847</v>
      </c>
      <c r="BV76" s="136" t="n">
        <v>21461</v>
      </c>
      <c r="BW76" s="136" t="n">
        <v>7811</v>
      </c>
      <c r="BX76" s="136" t="n">
        <v>81092</v>
      </c>
      <c r="BY76" s="136" t="n">
        <v>80734</v>
      </c>
      <c r="BZ76" s="136" t="n">
        <v>110006</v>
      </c>
      <c r="CA76" s="130" t="n">
        <v>0.73</v>
      </c>
      <c r="CB76" s="136" t="n">
        <v>2860</v>
      </c>
      <c r="CC76" s="136" t="n">
        <v>112750</v>
      </c>
      <c r="CD76" s="130" t="n">
        <v>0.86</v>
      </c>
      <c r="CE76" s="140" t="n">
        <v>113939</v>
      </c>
      <c r="CF76" s="141" t="n">
        <v>0.85</v>
      </c>
    </row>
    <row r="77">
      <c r="A77" s="116" t="inlineStr">
        <is>
          <t>钟嘉欣-汇总</t>
        </is>
      </c>
      <c r="B77" s="107" t="n"/>
      <c r="C77" s="108" t="n"/>
      <c r="D77" s="108" t="n"/>
      <c r="E77" s="108" t="n"/>
      <c r="F77" s="108" t="n"/>
      <c r="G77" s="124" t="n"/>
      <c r="H77" s="125" t="n">
        <v>7233</v>
      </c>
      <c r="I77" s="125" t="n">
        <v>740339</v>
      </c>
      <c r="J77" s="125" t="n">
        <v>715955</v>
      </c>
      <c r="K77" s="117" t="n">
        <v>526</v>
      </c>
      <c r="L77" s="116" t="n">
        <v>1360</v>
      </c>
      <c r="M77" s="116" t="n">
        <v>432</v>
      </c>
      <c r="N77" s="116" t="n">
        <v>444</v>
      </c>
      <c r="O77" s="116" t="n">
        <v>420</v>
      </c>
      <c r="P77" s="116" t="n">
        <v>319</v>
      </c>
      <c r="Q77" s="116" t="n">
        <v>353</v>
      </c>
      <c r="R77" s="116" t="n">
        <v>124</v>
      </c>
      <c r="S77" s="116" t="n">
        <v>137</v>
      </c>
      <c r="T77" s="125" t="n">
        <v>662628</v>
      </c>
      <c r="U77" s="125" t="n">
        <v>726394</v>
      </c>
      <c r="V77" s="116" t="n"/>
      <c r="W77" s="125" t="n">
        <v>5302</v>
      </c>
      <c r="X77" s="126" t="n">
        <v>0.3176</v>
      </c>
      <c r="Y77" s="126" t="n">
        <v>0.9722</v>
      </c>
      <c r="Z77" s="135" t="n">
        <v>0.3088</v>
      </c>
      <c r="AA77" s="126" t="n">
        <v>0.7595</v>
      </c>
      <c r="AB77" s="126" t="n">
        <v>0.99</v>
      </c>
      <c r="AC77" s="126" t="n">
        <v>0.3887</v>
      </c>
      <c r="AD77" s="126" t="n">
        <v>0.0912</v>
      </c>
      <c r="AE77" s="126" t="n">
        <v>0.1007</v>
      </c>
      <c r="AF77" s="125" t="n">
        <v>1028522</v>
      </c>
      <c r="AG77" s="116" t="n">
        <v>0.71</v>
      </c>
      <c r="AH77" s="116" t="n">
        <v>357</v>
      </c>
      <c r="AI77" s="116" t="n">
        <v>353</v>
      </c>
      <c r="AJ77" s="116" t="n">
        <v>391</v>
      </c>
      <c r="AK77" s="125" t="n">
        <v>103691</v>
      </c>
      <c r="AL77" s="125" t="n">
        <v>58761</v>
      </c>
      <c r="AM77" s="125" t="n">
        <v>78488</v>
      </c>
      <c r="AN77" s="125" t="n">
        <v>13600</v>
      </c>
      <c r="AO77" s="125" t="n">
        <v>33643</v>
      </c>
      <c r="AP77" s="116" t="n">
        <v>0</v>
      </c>
      <c r="AQ77" s="116" t="n">
        <v>0</v>
      </c>
      <c r="AR77" s="116" t="n"/>
      <c r="AS77" s="116" t="n">
        <v>0</v>
      </c>
      <c r="AT77" s="116" t="n">
        <v>0</v>
      </c>
      <c r="AU77" s="116" t="n">
        <v>0</v>
      </c>
      <c r="AV77" s="116" t="n">
        <v>0</v>
      </c>
      <c r="AW77" s="116" t="n">
        <v>0</v>
      </c>
      <c r="AX77" s="116" t="n">
        <v>0</v>
      </c>
      <c r="AY77" s="116" t="n">
        <v>0</v>
      </c>
      <c r="AZ77" s="116" t="n"/>
      <c r="BA77" s="116" t="e">
        <v>#DIV/0!</v>
      </c>
      <c r="BB77" s="116" t="e">
        <v>#DIV/0!</v>
      </c>
      <c r="BC77" s="116" t="e">
        <v>#DIV/0!</v>
      </c>
      <c r="BD77" s="116" t="e">
        <v>#DIV/0!</v>
      </c>
      <c r="BE77" s="116" t="e">
        <v>#DIV/0!</v>
      </c>
      <c r="BF77" s="116" t="e">
        <v>#DIV/0!</v>
      </c>
      <c r="BG77" s="116" t="e">
        <v>#DIV/0!</v>
      </c>
      <c r="BH77" s="116" t="e">
        <v>#DIV/0!</v>
      </c>
      <c r="BI77" s="116" t="e">
        <v>#DIV/0!</v>
      </c>
      <c r="BJ77" s="116" t="n">
        <v>0</v>
      </c>
      <c r="BK77" s="116" t="n">
        <v>0</v>
      </c>
      <c r="BL77" s="116" t="n">
        <v>0</v>
      </c>
      <c r="BM77" s="116" t="n">
        <v>0</v>
      </c>
      <c r="BN77" s="116" t="n">
        <v>0</v>
      </c>
      <c r="BO77" s="116" t="n">
        <v>0</v>
      </c>
      <c r="BP77" s="116" t="n">
        <v>0</v>
      </c>
      <c r="BQ77" s="116" t="n">
        <v>0</v>
      </c>
      <c r="BR77" s="125" t="n">
        <v>662628</v>
      </c>
      <c r="BS77" s="125" t="n">
        <v>726394</v>
      </c>
      <c r="BT77" s="116" t="n"/>
      <c r="BU77" s="125" t="n">
        <v>184492</v>
      </c>
      <c r="BV77" s="125" t="n">
        <v>172375</v>
      </c>
      <c r="BW77" s="125" t="n">
        <v>103691</v>
      </c>
      <c r="BX77" s="125" t="n">
        <v>740339</v>
      </c>
      <c r="BY77" s="125" t="n">
        <v>738016</v>
      </c>
      <c r="BZ77" s="125" t="n">
        <v>1014083</v>
      </c>
      <c r="CA77" s="116" t="n">
        <v>0.65</v>
      </c>
      <c r="CB77" s="125" t="n">
        <v>24384</v>
      </c>
      <c r="CC77" s="125" t="n">
        <v>1028522</v>
      </c>
      <c r="CD77" s="116" t="n">
        <v>0.71</v>
      </c>
      <c r="CE77" s="127" t="n">
        <v>1026831</v>
      </c>
      <c r="CF77" s="128" t="n">
        <v>0.71</v>
      </c>
    </row>
    <row r="78">
      <c r="A78" s="116" t="inlineStr">
        <is>
          <t>2025年-8月蔡雪莹</t>
        </is>
      </c>
      <c r="B78" s="107" t="n"/>
      <c r="C78" s="108" t="n"/>
      <c r="D78" s="108" t="n"/>
      <c r="E78" s="108" t="n"/>
      <c r="F78" s="108" t="n"/>
      <c r="G78" s="124" t="n"/>
      <c r="H78" s="116" t="n"/>
      <c r="I78" s="125" t="n">
        <v>44423</v>
      </c>
      <c r="J78" s="125" t="n">
        <v>43716</v>
      </c>
      <c r="K78" s="117" t="n">
        <v>397</v>
      </c>
      <c r="L78" s="116" t="n">
        <v>110</v>
      </c>
      <c r="M78" s="116" t="n">
        <v>42</v>
      </c>
      <c r="N78" s="116" t="n">
        <v>42</v>
      </c>
      <c r="O78" s="116" t="n">
        <v>40</v>
      </c>
      <c r="P78" s="116" t="n">
        <v>27</v>
      </c>
      <c r="Q78" s="116" t="n">
        <v>27</v>
      </c>
      <c r="R78" s="116" t="n">
        <v>4</v>
      </c>
      <c r="S78" s="116" t="n">
        <v>4</v>
      </c>
      <c r="T78" s="125" t="n">
        <v>19352</v>
      </c>
      <c r="U78" s="125" t="n">
        <v>19352</v>
      </c>
      <c r="V78" s="116" t="n"/>
      <c r="W78" s="125" t="n">
        <v>4838</v>
      </c>
      <c r="X78" s="126" t="n">
        <v>0.3818</v>
      </c>
      <c r="Y78" s="126" t="n">
        <v>0.9524</v>
      </c>
      <c r="Z78" s="135" t="n">
        <v>0.3636</v>
      </c>
      <c r="AA78" s="126" t="n">
        <v>0.675</v>
      </c>
      <c r="AB78" s="126" t="n">
        <v>1</v>
      </c>
      <c r="AC78" s="126" t="n">
        <v>0.1481</v>
      </c>
      <c r="AD78" s="126" t="n">
        <v>0.0364</v>
      </c>
      <c r="AE78" s="126" t="n">
        <v>0.0364</v>
      </c>
      <c r="AF78" s="125" t="n">
        <v>65444</v>
      </c>
      <c r="AG78" s="116" t="n">
        <v>0.3</v>
      </c>
      <c r="AH78" s="116" t="n">
        <v>27</v>
      </c>
      <c r="AI78" s="116" t="n">
        <v>27</v>
      </c>
      <c r="AJ78" s="116" t="n">
        <v>32</v>
      </c>
      <c r="AK78" s="125" t="n">
        <v>9931</v>
      </c>
      <c r="AL78" s="125" t="n">
        <v>5188</v>
      </c>
      <c r="AM78" s="125" t="n">
        <v>1982</v>
      </c>
      <c r="AN78" s="125" t="n">
        <v>1100</v>
      </c>
      <c r="AO78" s="125" t="n">
        <v>2821</v>
      </c>
      <c r="AP78" s="116" t="n">
        <v>0</v>
      </c>
      <c r="AQ78" s="116" t="n">
        <v>0</v>
      </c>
      <c r="AR78" s="116" t="n"/>
      <c r="AS78" s="116" t="n">
        <v>0</v>
      </c>
      <c r="AT78" s="116" t="n">
        <v>0</v>
      </c>
      <c r="AU78" s="116" t="n">
        <v>0</v>
      </c>
      <c r="AV78" s="116" t="n">
        <v>0</v>
      </c>
      <c r="AW78" s="116" t="n">
        <v>0</v>
      </c>
      <c r="AX78" s="116" t="n">
        <v>0</v>
      </c>
      <c r="AY78" s="116" t="n">
        <v>0</v>
      </c>
      <c r="AZ78" s="116" t="n"/>
      <c r="BA78" s="116" t="e">
        <v>#DIV/0!</v>
      </c>
      <c r="BB78" s="116" t="e">
        <v>#DIV/0!</v>
      </c>
      <c r="BC78" s="116" t="e">
        <v>#DIV/0!</v>
      </c>
      <c r="BD78" s="116" t="e">
        <v>#DIV/0!</v>
      </c>
      <c r="BE78" s="116" t="e">
        <v>#DIV/0!</v>
      </c>
      <c r="BF78" s="116" t="e">
        <v>#DIV/0!</v>
      </c>
      <c r="BG78" s="116" t="e">
        <v>#DIV/0!</v>
      </c>
      <c r="BH78" s="116" t="e">
        <v>#DIV/0!</v>
      </c>
      <c r="BI78" s="116" t="e">
        <v>#DIV/0!</v>
      </c>
      <c r="BJ78" s="116" t="n">
        <v>0</v>
      </c>
      <c r="BK78" s="116" t="n">
        <v>0</v>
      </c>
      <c r="BL78" s="116" t="n">
        <v>0</v>
      </c>
      <c r="BM78" s="116" t="n">
        <v>0</v>
      </c>
      <c r="BN78" s="116" t="n">
        <v>0</v>
      </c>
      <c r="BO78" s="116" t="n">
        <v>0</v>
      </c>
      <c r="BP78" s="116" t="n">
        <v>0</v>
      </c>
      <c r="BQ78" s="116" t="n">
        <v>0</v>
      </c>
      <c r="BR78" s="125" t="n">
        <v>19352</v>
      </c>
      <c r="BS78" s="125" t="n">
        <v>19352</v>
      </c>
      <c r="BT78" s="116" t="n"/>
      <c r="BU78" s="125" t="n">
        <v>11090</v>
      </c>
      <c r="BV78" s="125" t="n">
        <v>11090</v>
      </c>
      <c r="BW78" s="125" t="n">
        <v>9931</v>
      </c>
      <c r="BX78" s="125" t="n">
        <v>44423</v>
      </c>
      <c r="BY78" s="125" t="n">
        <v>44423</v>
      </c>
      <c r="BZ78" s="125" t="n">
        <v>65444</v>
      </c>
      <c r="CA78" s="116" t="n">
        <v>0.3</v>
      </c>
      <c r="CB78" s="116" t="n">
        <v>707</v>
      </c>
      <c r="CC78" s="125" t="n">
        <v>65444</v>
      </c>
      <c r="CD78" s="116" t="n">
        <v>0.3</v>
      </c>
      <c r="CE78" s="127" t="n">
        <v>63763</v>
      </c>
      <c r="CF78" s="128" t="n">
        <v>0.3</v>
      </c>
    </row>
    <row r="79">
      <c r="A79" s="116" t="inlineStr">
        <is>
          <t>2025年-9月蔡雪莹</t>
        </is>
      </c>
      <c r="B79" s="107" t="n"/>
      <c r="C79" s="108" t="n"/>
      <c r="D79" s="108" t="n"/>
      <c r="E79" s="108" t="n"/>
      <c r="F79" s="108" t="n"/>
      <c r="G79" s="124" t="n"/>
      <c r="H79" s="125" t="n">
        <v>2025</v>
      </c>
      <c r="I79" s="125" t="n">
        <v>139122</v>
      </c>
      <c r="J79" s="125" t="n">
        <v>134656</v>
      </c>
      <c r="K79" s="117" t="n">
        <v>548</v>
      </c>
      <c r="L79" s="116" t="n">
        <v>254</v>
      </c>
      <c r="M79" s="116" t="n">
        <v>77</v>
      </c>
      <c r="N79" s="116" t="n">
        <v>81</v>
      </c>
      <c r="O79" s="116" t="n">
        <v>76</v>
      </c>
      <c r="P79" s="116" t="n">
        <v>60</v>
      </c>
      <c r="Q79" s="116" t="n">
        <v>70</v>
      </c>
      <c r="R79" s="116" t="n">
        <v>19</v>
      </c>
      <c r="S79" s="116" t="n">
        <v>25</v>
      </c>
      <c r="T79" s="125" t="n">
        <v>87372</v>
      </c>
      <c r="U79" s="125" t="n">
        <v>109900</v>
      </c>
      <c r="V79" s="126" t="n">
        <v>1</v>
      </c>
      <c r="W79" s="125" t="n">
        <v>4396</v>
      </c>
      <c r="X79" s="126" t="n">
        <v>0.303</v>
      </c>
      <c r="Y79" s="126" t="n">
        <v>0.987</v>
      </c>
      <c r="Z79" s="135" t="n">
        <v>0.299</v>
      </c>
      <c r="AA79" s="126" t="n">
        <v>0.789</v>
      </c>
      <c r="AB79" s="126" t="n">
        <v>0.986</v>
      </c>
      <c r="AC79" s="126" t="n">
        <v>0.317</v>
      </c>
      <c r="AD79" s="126" t="n">
        <v>0.075</v>
      </c>
      <c r="AE79" s="126" t="n">
        <v>0.098</v>
      </c>
      <c r="AF79" s="125" t="n">
        <v>191752</v>
      </c>
      <c r="AG79" s="116" t="n">
        <v>0.57</v>
      </c>
      <c r="AH79" s="116" t="n">
        <v>71</v>
      </c>
      <c r="AI79" s="116" t="n">
        <v>70</v>
      </c>
      <c r="AJ79" s="116" t="n">
        <v>80</v>
      </c>
      <c r="AK79" s="125" t="n">
        <v>19245</v>
      </c>
      <c r="AL79" s="125" t="n">
        <v>11712</v>
      </c>
      <c r="AM79" s="125" t="n">
        <v>12339</v>
      </c>
      <c r="AN79" s="125" t="n">
        <v>2540</v>
      </c>
      <c r="AO79" s="125" t="n">
        <v>6794</v>
      </c>
      <c r="AP79" s="116" t="n">
        <v>0</v>
      </c>
      <c r="AQ79" s="116" t="n">
        <v>0</v>
      </c>
      <c r="AR79" s="116" t="n">
        <v>0</v>
      </c>
      <c r="AS79" s="116" t="n">
        <v>0</v>
      </c>
      <c r="AT79" s="116" t="n">
        <v>0</v>
      </c>
      <c r="AU79" s="116" t="n">
        <v>0</v>
      </c>
      <c r="AV79" s="116" t="n">
        <v>0</v>
      </c>
      <c r="AW79" s="116" t="n">
        <v>0</v>
      </c>
      <c r="AX79" s="116" t="n">
        <v>0</v>
      </c>
      <c r="AY79" s="116" t="n">
        <v>0</v>
      </c>
      <c r="AZ79" s="116" t="n"/>
      <c r="BA79" s="116" t="n"/>
      <c r="BB79" s="116" t="n"/>
      <c r="BC79" s="116" t="n"/>
      <c r="BD79" s="116" t="n"/>
      <c r="BE79" s="116" t="n"/>
      <c r="BF79" s="116" t="n"/>
      <c r="BG79" s="116" t="n"/>
      <c r="BH79" s="116" t="n"/>
      <c r="BI79" s="116" t="n"/>
      <c r="BJ79" s="116" t="n">
        <v>0</v>
      </c>
      <c r="BK79" s="116" t="n">
        <v>0</v>
      </c>
      <c r="BL79" s="116" t="n">
        <v>0</v>
      </c>
      <c r="BM79" s="116" t="n">
        <v>0</v>
      </c>
      <c r="BN79" s="116" t="n">
        <v>0</v>
      </c>
      <c r="BO79" s="116" t="n">
        <v>0</v>
      </c>
      <c r="BP79" s="116" t="n">
        <v>0</v>
      </c>
      <c r="BQ79" s="116" t="n">
        <v>0</v>
      </c>
      <c r="BR79" s="125" t="n">
        <v>87372</v>
      </c>
      <c r="BS79" s="125" t="n">
        <v>109900</v>
      </c>
      <c r="BT79" s="126" t="n">
        <v>1</v>
      </c>
      <c r="BU79" s="125" t="n">
        <v>33385</v>
      </c>
      <c r="BV79" s="125" t="n">
        <v>29089</v>
      </c>
      <c r="BW79" s="125" t="n">
        <v>19245</v>
      </c>
      <c r="BX79" s="125" t="n">
        <v>139122</v>
      </c>
      <c r="BY79" s="125" t="n">
        <v>138050</v>
      </c>
      <c r="BZ79" s="125" t="n">
        <v>186384</v>
      </c>
      <c r="CA79" s="116" t="n">
        <v>0.47</v>
      </c>
      <c r="CB79" s="125" t="n">
        <v>4466</v>
      </c>
      <c r="CC79" s="125" t="n">
        <v>191752</v>
      </c>
      <c r="CD79" s="116" t="n">
        <v>0.57</v>
      </c>
      <c r="CE79" s="127" t="n">
        <v>191557</v>
      </c>
      <c r="CF79" s="128" t="n">
        <v>0.57</v>
      </c>
    </row>
    <row r="80">
      <c r="A80" s="116" t="inlineStr">
        <is>
          <t>2025年-10月蔡雪莹</t>
        </is>
      </c>
      <c r="B80" s="107" t="n"/>
      <c r="C80" s="108" t="n"/>
      <c r="D80" s="108" t="n"/>
      <c r="E80" s="108" t="n"/>
      <c r="F80" s="108" t="n"/>
      <c r="G80" s="124" t="n"/>
      <c r="H80" s="116" t="n"/>
      <c r="I80" s="125" t="n">
        <v>99220</v>
      </c>
      <c r="J80" s="125" t="n">
        <v>98505</v>
      </c>
      <c r="K80" s="117" t="n">
        <v>335</v>
      </c>
      <c r="L80" s="116" t="n">
        <v>296</v>
      </c>
      <c r="M80" s="116" t="n">
        <v>25</v>
      </c>
      <c r="N80" s="116" t="n">
        <v>31</v>
      </c>
      <c r="O80" s="116" t="n">
        <v>26</v>
      </c>
      <c r="P80" s="116" t="n">
        <v>18</v>
      </c>
      <c r="Q80" s="116" t="n">
        <v>25</v>
      </c>
      <c r="R80" s="116" t="n">
        <v>2</v>
      </c>
      <c r="S80" s="116" t="n">
        <v>4</v>
      </c>
      <c r="T80" s="125" t="n">
        <v>13707</v>
      </c>
      <c r="U80" s="125" t="n">
        <v>23183</v>
      </c>
      <c r="V80" s="126" t="n">
        <v>1</v>
      </c>
      <c r="W80" s="125" t="n">
        <v>5796</v>
      </c>
      <c r="X80" s="126" t="n">
        <v>0.08400000000000001</v>
      </c>
      <c r="Y80" s="126" t="n">
        <v>1.04</v>
      </c>
      <c r="Z80" s="135" t="n">
        <v>0.08799999999999999</v>
      </c>
      <c r="AA80" s="126" t="n">
        <v>0.6919999999999999</v>
      </c>
      <c r="AB80" s="126" t="n">
        <v>1</v>
      </c>
      <c r="AC80" s="142" t="n">
        <v>0.111</v>
      </c>
      <c r="AD80" s="126" t="n">
        <v>0.007</v>
      </c>
      <c r="AE80" s="126" t="n">
        <v>0.014</v>
      </c>
      <c r="AF80" s="125" t="n">
        <v>130263</v>
      </c>
      <c r="AG80" s="143" t="n">
        <v>0.18</v>
      </c>
      <c r="AH80" s="116" t="n">
        <v>25</v>
      </c>
      <c r="AI80" s="116" t="n">
        <v>25</v>
      </c>
      <c r="AJ80" s="116" t="n">
        <v>31</v>
      </c>
      <c r="AK80" s="125" t="n">
        <v>18495</v>
      </c>
      <c r="AL80" s="125" t="n">
        <v>4410</v>
      </c>
      <c r="AM80" s="125" t="n">
        <v>2550</v>
      </c>
      <c r="AN80" s="125" t="n">
        <v>2960</v>
      </c>
      <c r="AO80" s="125" t="n">
        <v>2628</v>
      </c>
      <c r="AP80" s="116" t="n">
        <v>0</v>
      </c>
      <c r="AQ80" s="116" t="n">
        <v>0</v>
      </c>
      <c r="AR80" s="116" t="n">
        <v>0</v>
      </c>
      <c r="AS80" s="116" t="n">
        <v>0</v>
      </c>
      <c r="AT80" s="116" t="n">
        <v>0</v>
      </c>
      <c r="AU80" s="116" t="n">
        <v>0</v>
      </c>
      <c r="AV80" s="116" t="n">
        <v>0</v>
      </c>
      <c r="AW80" s="116" t="n">
        <v>0</v>
      </c>
      <c r="AX80" s="116" t="n">
        <v>0</v>
      </c>
      <c r="AY80" s="116" t="n">
        <v>0</v>
      </c>
      <c r="AZ80" s="116" t="n"/>
      <c r="BA80" s="116" t="n"/>
      <c r="BB80" s="116" t="n"/>
      <c r="BC80" s="116" t="n"/>
      <c r="BD80" s="116" t="n"/>
      <c r="BE80" s="116" t="n"/>
      <c r="BF80" s="116" t="n"/>
      <c r="BG80" s="116" t="n"/>
      <c r="BH80" s="116" t="n"/>
      <c r="BI80" s="116" t="n"/>
      <c r="BJ80" s="116" t="n">
        <v>0</v>
      </c>
      <c r="BK80" s="116" t="n">
        <v>0</v>
      </c>
      <c r="BL80" s="116" t="n">
        <v>0</v>
      </c>
      <c r="BM80" s="116" t="n">
        <v>0</v>
      </c>
      <c r="BN80" s="116" t="n">
        <v>0</v>
      </c>
      <c r="BO80" s="116" t="n">
        <v>0</v>
      </c>
      <c r="BP80" s="116" t="n">
        <v>0</v>
      </c>
      <c r="BQ80" s="116" t="n">
        <v>0</v>
      </c>
      <c r="BR80" s="125" t="n">
        <v>13707</v>
      </c>
      <c r="BS80" s="125" t="n">
        <v>23183</v>
      </c>
      <c r="BT80" s="126" t="n">
        <v>1</v>
      </c>
      <c r="BU80" s="125" t="n">
        <v>12548</v>
      </c>
      <c r="BV80" s="125" t="n">
        <v>9719</v>
      </c>
      <c r="BW80" s="125" t="n">
        <v>18495</v>
      </c>
      <c r="BX80" s="125" t="n">
        <v>99220</v>
      </c>
      <c r="BY80" s="125" t="n">
        <v>98862</v>
      </c>
      <c r="BZ80" s="125" t="n">
        <v>127077</v>
      </c>
      <c r="CA80" s="116" t="n">
        <v>0.11</v>
      </c>
      <c r="CB80" s="116" t="n">
        <v>715</v>
      </c>
      <c r="CC80" s="125" t="n">
        <v>130263</v>
      </c>
      <c r="CD80" s="116" t="n">
        <v>0.18</v>
      </c>
      <c r="CE80" s="127" t="n">
        <v>133967</v>
      </c>
      <c r="CF80" s="128" t="n">
        <v>0.17</v>
      </c>
    </row>
    <row r="81">
      <c r="A81" s="130" t="inlineStr">
        <is>
          <t>2025年-11月蔡雪莹</t>
        </is>
      </c>
      <c r="B81" s="112" t="n"/>
      <c r="C81" s="113" t="n"/>
      <c r="D81" s="113" t="n"/>
      <c r="E81" s="113" t="n"/>
      <c r="F81" s="113" t="n"/>
      <c r="G81" s="131" t="n"/>
      <c r="H81" s="130" t="n"/>
      <c r="I81" s="136" t="n">
        <v>40378</v>
      </c>
      <c r="J81" s="136" t="n">
        <v>38948</v>
      </c>
      <c r="K81" s="137" t="n">
        <v>721</v>
      </c>
      <c r="L81" s="130" t="n">
        <v>56</v>
      </c>
      <c r="M81" s="130" t="n">
        <v>25</v>
      </c>
      <c r="N81" s="130" t="n">
        <v>28</v>
      </c>
      <c r="O81" s="130" t="n">
        <v>24</v>
      </c>
      <c r="P81" s="130" t="n">
        <v>13</v>
      </c>
      <c r="Q81" s="130" t="n">
        <v>15</v>
      </c>
      <c r="R81" s="130" t="n">
        <v>7</v>
      </c>
      <c r="S81" s="130" t="n">
        <v>8</v>
      </c>
      <c r="T81" s="136" t="n">
        <v>34802</v>
      </c>
      <c r="U81" s="136" t="n">
        <v>40101</v>
      </c>
      <c r="V81" s="138" t="n">
        <v>1</v>
      </c>
      <c r="W81" s="136" t="n">
        <v>5013</v>
      </c>
      <c r="X81" s="138" t="n">
        <v>0.446</v>
      </c>
      <c r="Y81" s="138" t="n">
        <v>0.96</v>
      </c>
      <c r="Z81" s="139" t="n">
        <v>0.429</v>
      </c>
      <c r="AA81" s="138" t="n">
        <v>0.542</v>
      </c>
      <c r="AB81" s="138" t="n">
        <v>0.9379999999999999</v>
      </c>
      <c r="AC81" s="144" t="n">
        <v>0.538</v>
      </c>
      <c r="AD81" s="138" t="n">
        <v>0.125</v>
      </c>
      <c r="AE81" s="138" t="n">
        <v>0.143</v>
      </c>
      <c r="AF81" s="136" t="n">
        <v>53658</v>
      </c>
      <c r="AG81" s="132" t="n">
        <v>0.75</v>
      </c>
      <c r="AH81" s="130" t="n">
        <v>16</v>
      </c>
      <c r="AI81" s="130" t="n">
        <v>15</v>
      </c>
      <c r="AJ81" s="130" t="n">
        <v>16</v>
      </c>
      <c r="AK81" s="136" t="n">
        <v>3645</v>
      </c>
      <c r="AL81" s="136" t="n">
        <v>3307</v>
      </c>
      <c r="AM81" s="136" t="n">
        <v>4411</v>
      </c>
      <c r="AN81" s="130" t="n">
        <v>560</v>
      </c>
      <c r="AO81" s="136" t="n">
        <v>1356</v>
      </c>
      <c r="AP81" s="130" t="n">
        <v>0</v>
      </c>
      <c r="AQ81" s="130" t="n">
        <v>0</v>
      </c>
      <c r="AR81" s="130" t="n">
        <v>0</v>
      </c>
      <c r="AS81" s="130" t="n">
        <v>0</v>
      </c>
      <c r="AT81" s="130" t="n">
        <v>0</v>
      </c>
      <c r="AU81" s="130" t="n">
        <v>0</v>
      </c>
      <c r="AV81" s="130" t="n">
        <v>0</v>
      </c>
      <c r="AW81" s="130" t="n">
        <v>0</v>
      </c>
      <c r="AX81" s="130" t="n">
        <v>0</v>
      </c>
      <c r="AY81" s="130" t="n">
        <v>0</v>
      </c>
      <c r="AZ81" s="130" t="n"/>
      <c r="BA81" s="130" t="n"/>
      <c r="BB81" s="130" t="n"/>
      <c r="BC81" s="130" t="n"/>
      <c r="BD81" s="130" t="n"/>
      <c r="BE81" s="130" t="n"/>
      <c r="BF81" s="130" t="n"/>
      <c r="BG81" s="130" t="n"/>
      <c r="BH81" s="130" t="n"/>
      <c r="BI81" s="130" t="n"/>
      <c r="BJ81" s="130" t="n">
        <v>0</v>
      </c>
      <c r="BK81" s="130" t="n">
        <v>0</v>
      </c>
      <c r="BL81" s="130" t="n">
        <v>0</v>
      </c>
      <c r="BM81" s="130" t="n">
        <v>0</v>
      </c>
      <c r="BN81" s="130" t="n">
        <v>0</v>
      </c>
      <c r="BO81" s="130" t="n">
        <v>0</v>
      </c>
      <c r="BP81" s="130" t="n">
        <v>0</v>
      </c>
      <c r="BQ81" s="130" t="n">
        <v>0</v>
      </c>
      <c r="BR81" s="136" t="n">
        <v>34802</v>
      </c>
      <c r="BS81" s="136" t="n">
        <v>40101</v>
      </c>
      <c r="BT81" s="138" t="n">
        <v>1</v>
      </c>
      <c r="BU81" s="136" t="n">
        <v>9634</v>
      </c>
      <c r="BV81" s="136" t="n">
        <v>8443</v>
      </c>
      <c r="BW81" s="136" t="n">
        <v>3645</v>
      </c>
      <c r="BX81" s="136" t="n">
        <v>40378</v>
      </c>
      <c r="BY81" s="136" t="n">
        <v>40199</v>
      </c>
      <c r="BZ81" s="136" t="n">
        <v>52287</v>
      </c>
      <c r="CA81" s="130" t="n">
        <v>0.67</v>
      </c>
      <c r="CB81" s="136" t="n">
        <v>1430</v>
      </c>
      <c r="CC81" s="136" t="n">
        <v>53658</v>
      </c>
      <c r="CD81" s="130" t="n">
        <v>0.75</v>
      </c>
      <c r="CE81" s="140" t="n">
        <v>54212</v>
      </c>
      <c r="CF81" s="141" t="n">
        <v>0.74</v>
      </c>
    </row>
    <row r="82">
      <c r="A82" s="116" t="inlineStr">
        <is>
          <t>蔡雪莹-汇总</t>
        </is>
      </c>
      <c r="B82" s="107" t="n"/>
      <c r="C82" s="108" t="n"/>
      <c r="D82" s="108" t="n"/>
      <c r="E82" s="108" t="n"/>
      <c r="F82" s="108" t="n"/>
      <c r="G82" s="124" t="n"/>
      <c r="H82" s="116" t="n"/>
      <c r="I82" s="125" t="n">
        <v>323142</v>
      </c>
      <c r="J82" s="125" t="n">
        <v>315824</v>
      </c>
      <c r="K82" s="117" t="n">
        <v>441</v>
      </c>
      <c r="L82" s="116" t="n">
        <v>716</v>
      </c>
      <c r="M82" s="116" t="n">
        <v>169</v>
      </c>
      <c r="N82" s="116" t="n">
        <v>182</v>
      </c>
      <c r="O82" s="116" t="n">
        <v>166</v>
      </c>
      <c r="P82" s="116" t="n">
        <v>118</v>
      </c>
      <c r="Q82" s="116" t="n">
        <v>137</v>
      </c>
      <c r="R82" s="116" t="n">
        <v>32</v>
      </c>
      <c r="S82" s="116" t="n">
        <v>41</v>
      </c>
      <c r="T82" s="125" t="n">
        <v>155233</v>
      </c>
      <c r="U82" s="125" t="n">
        <v>192536</v>
      </c>
      <c r="V82" s="116" t="n"/>
      <c r="W82" s="125" t="n">
        <v>4696</v>
      </c>
      <c r="X82" s="126" t="n">
        <v>0.236</v>
      </c>
      <c r="Y82" s="126" t="n">
        <v>0.9822</v>
      </c>
      <c r="Z82" s="135" t="n">
        <v>0.2318</v>
      </c>
      <c r="AA82" s="126" t="n">
        <v>0.7108</v>
      </c>
      <c r="AB82" s="126" t="n">
        <v>0.9809</v>
      </c>
      <c r="AC82" s="126" t="n">
        <v>0.2712</v>
      </c>
      <c r="AD82" s="126" t="n">
        <v>0.0447</v>
      </c>
      <c r="AE82" s="126" t="n">
        <v>0.0573</v>
      </c>
      <c r="AF82" s="125" t="n">
        <v>441116</v>
      </c>
      <c r="AG82" s="116" t="n">
        <v>0.44</v>
      </c>
      <c r="AH82" s="116" t="n">
        <v>139</v>
      </c>
      <c r="AI82" s="116" t="n">
        <v>137</v>
      </c>
      <c r="AJ82" s="116" t="n">
        <v>159</v>
      </c>
      <c r="AK82" s="125" t="n">
        <v>51317</v>
      </c>
      <c r="AL82" s="125" t="n">
        <v>24616</v>
      </c>
      <c r="AM82" s="125" t="n">
        <v>21282</v>
      </c>
      <c r="AN82" s="125" t="n">
        <v>7160</v>
      </c>
      <c r="AO82" s="125" t="n">
        <v>13599</v>
      </c>
      <c r="AP82" s="116" t="n">
        <v>0</v>
      </c>
      <c r="AQ82" s="116" t="n">
        <v>0</v>
      </c>
      <c r="AR82" s="116" t="n"/>
      <c r="AS82" s="116" t="n">
        <v>0</v>
      </c>
      <c r="AT82" s="116" t="n">
        <v>0</v>
      </c>
      <c r="AU82" s="116" t="n">
        <v>0</v>
      </c>
      <c r="AV82" s="116" t="n">
        <v>0</v>
      </c>
      <c r="AW82" s="116" t="n">
        <v>0</v>
      </c>
      <c r="AX82" s="116" t="n">
        <v>0</v>
      </c>
      <c r="AY82" s="116" t="n">
        <v>0</v>
      </c>
      <c r="AZ82" s="116" t="n"/>
      <c r="BA82" s="116" t="e">
        <v>#DIV/0!</v>
      </c>
      <c r="BB82" s="116" t="e">
        <v>#DIV/0!</v>
      </c>
      <c r="BC82" s="116" t="e">
        <v>#DIV/0!</v>
      </c>
      <c r="BD82" s="116" t="e">
        <v>#DIV/0!</v>
      </c>
      <c r="BE82" s="116" t="e">
        <v>#DIV/0!</v>
      </c>
      <c r="BF82" s="116" t="e">
        <v>#DIV/0!</v>
      </c>
      <c r="BG82" s="116" t="e">
        <v>#DIV/0!</v>
      </c>
      <c r="BH82" s="116" t="e">
        <v>#DIV/0!</v>
      </c>
      <c r="BI82" s="116" t="e">
        <v>#DIV/0!</v>
      </c>
      <c r="BJ82" s="116" t="n">
        <v>0</v>
      </c>
      <c r="BK82" s="116" t="n">
        <v>0</v>
      </c>
      <c r="BL82" s="116" t="n">
        <v>0</v>
      </c>
      <c r="BM82" s="116" t="n">
        <v>0</v>
      </c>
      <c r="BN82" s="116" t="n">
        <v>0</v>
      </c>
      <c r="BO82" s="116" t="n">
        <v>0</v>
      </c>
      <c r="BP82" s="116" t="n">
        <v>0</v>
      </c>
      <c r="BQ82" s="116" t="n">
        <v>0</v>
      </c>
      <c r="BR82" s="125" t="n">
        <v>155233</v>
      </c>
      <c r="BS82" s="125" t="n">
        <v>192536</v>
      </c>
      <c r="BT82" s="116" t="n"/>
      <c r="BU82" s="125" t="n">
        <v>66657</v>
      </c>
      <c r="BV82" s="125" t="n">
        <v>58341</v>
      </c>
      <c r="BW82" s="125" t="n">
        <v>51317</v>
      </c>
      <c r="BX82" s="125" t="n">
        <v>323142</v>
      </c>
      <c r="BY82" s="125" t="n">
        <v>321534</v>
      </c>
      <c r="BZ82" s="125" t="n">
        <v>431192</v>
      </c>
      <c r="CA82" s="116" t="n">
        <v>0.36</v>
      </c>
      <c r="CB82" s="125" t="n">
        <v>7318</v>
      </c>
      <c r="CC82" s="125" t="n">
        <v>441116</v>
      </c>
      <c r="CD82" s="116" t="n">
        <v>0.44</v>
      </c>
      <c r="CE82" s="127" t="n">
        <v>443499</v>
      </c>
      <c r="CF82" s="128" t="n">
        <v>0.43</v>
      </c>
    </row>
    <row r="83">
      <c r="A83" s="116" t="inlineStr">
        <is>
          <t>2025年-9月陈展鹏</t>
        </is>
      </c>
      <c r="B83" s="107" t="n"/>
      <c r="C83" s="108" t="n"/>
      <c r="D83" s="108" t="n"/>
      <c r="E83" s="108" t="n"/>
      <c r="F83" s="108" t="n"/>
      <c r="G83" s="124" t="n"/>
      <c r="H83" s="116" t="n"/>
      <c r="I83" s="125" t="n">
        <v>74915</v>
      </c>
      <c r="J83" s="125" t="n">
        <v>73844</v>
      </c>
      <c r="K83" s="117" t="n">
        <v>604</v>
      </c>
      <c r="L83" s="116" t="n">
        <v>124</v>
      </c>
      <c r="M83" s="116" t="n">
        <v>47</v>
      </c>
      <c r="N83" s="116" t="n">
        <v>47</v>
      </c>
      <c r="O83" s="116" t="n">
        <v>48</v>
      </c>
      <c r="P83" s="116" t="n">
        <v>30</v>
      </c>
      <c r="Q83" s="116" t="n">
        <v>30</v>
      </c>
      <c r="R83" s="116" t="n">
        <v>6</v>
      </c>
      <c r="S83" s="116" t="n">
        <v>6</v>
      </c>
      <c r="T83" s="125" t="n">
        <v>24828</v>
      </c>
      <c r="U83" s="125" t="n">
        <v>24828</v>
      </c>
      <c r="V83" s="126" t="n">
        <v>1</v>
      </c>
      <c r="W83" s="125" t="n">
        <v>4138</v>
      </c>
      <c r="X83" s="126" t="n">
        <v>0.379</v>
      </c>
      <c r="Y83" s="126" t="n">
        <v>1.021</v>
      </c>
      <c r="Z83" s="135" t="n">
        <v>0.387</v>
      </c>
      <c r="AA83" s="126" t="n">
        <v>0.625</v>
      </c>
      <c r="AB83" s="126" t="n">
        <v>0.968</v>
      </c>
      <c r="AC83" s="126" t="n">
        <v>0.2</v>
      </c>
      <c r="AD83" s="126" t="n">
        <v>0.048</v>
      </c>
      <c r="AE83" s="126" t="n">
        <v>0.048</v>
      </c>
      <c r="AF83" s="125" t="n">
        <v>97852</v>
      </c>
      <c r="AG83" s="116" t="n">
        <v>0.25</v>
      </c>
      <c r="AH83" s="116" t="n">
        <v>31</v>
      </c>
      <c r="AI83" s="116" t="n">
        <v>30</v>
      </c>
      <c r="AJ83" s="116" t="n">
        <v>32</v>
      </c>
      <c r="AK83" s="125" t="n">
        <v>9395</v>
      </c>
      <c r="AL83" s="125" t="n">
        <v>6796</v>
      </c>
      <c r="AM83" s="125" t="n">
        <v>2788</v>
      </c>
      <c r="AN83" s="125" t="n">
        <v>1240</v>
      </c>
      <c r="AO83" s="125" t="n">
        <v>2718</v>
      </c>
      <c r="AP83" s="116" t="n">
        <v>0</v>
      </c>
      <c r="AQ83" s="116" t="n">
        <v>0</v>
      </c>
      <c r="AR83" s="116" t="n">
        <v>0</v>
      </c>
      <c r="AS83" s="116" t="n">
        <v>0</v>
      </c>
      <c r="AT83" s="116" t="n">
        <v>0</v>
      </c>
      <c r="AU83" s="116" t="n">
        <v>0</v>
      </c>
      <c r="AV83" s="116" t="n">
        <v>0</v>
      </c>
      <c r="AW83" s="116" t="n">
        <v>0</v>
      </c>
      <c r="AX83" s="116" t="n">
        <v>0</v>
      </c>
      <c r="AY83" s="116" t="n">
        <v>0</v>
      </c>
      <c r="AZ83" s="116" t="n"/>
      <c r="BA83" s="116" t="n"/>
      <c r="BB83" s="116" t="n"/>
      <c r="BC83" s="116" t="n"/>
      <c r="BD83" s="116" t="n"/>
      <c r="BE83" s="116" t="n"/>
      <c r="BF83" s="116" t="n"/>
      <c r="BG83" s="116" t="n"/>
      <c r="BH83" s="116" t="n"/>
      <c r="BI83" s="116" t="n"/>
      <c r="BJ83" s="116" t="n">
        <v>0</v>
      </c>
      <c r="BK83" s="116" t="n">
        <v>0</v>
      </c>
      <c r="BL83" s="116" t="n">
        <v>0</v>
      </c>
      <c r="BM83" s="116" t="n">
        <v>0</v>
      </c>
      <c r="BN83" s="116" t="n">
        <v>0</v>
      </c>
      <c r="BO83" s="116" t="n">
        <v>0</v>
      </c>
      <c r="BP83" s="116" t="n">
        <v>0</v>
      </c>
      <c r="BQ83" s="116" t="n">
        <v>0</v>
      </c>
      <c r="BR83" s="125" t="n">
        <v>24828</v>
      </c>
      <c r="BS83" s="125" t="n">
        <v>24828</v>
      </c>
      <c r="BT83" s="126" t="n">
        <v>1</v>
      </c>
      <c r="BU83" s="125" t="n">
        <v>13541</v>
      </c>
      <c r="BV83" s="125" t="n">
        <v>13541</v>
      </c>
      <c r="BW83" s="125" t="n">
        <v>9395</v>
      </c>
      <c r="BX83" s="125" t="n">
        <v>74915</v>
      </c>
      <c r="BY83" s="125" t="n">
        <v>74915</v>
      </c>
      <c r="BZ83" s="125" t="n">
        <v>97852</v>
      </c>
      <c r="CA83" s="116" t="n">
        <v>0.25</v>
      </c>
      <c r="CB83" s="125" t="n">
        <v>1072</v>
      </c>
      <c r="CC83" s="125" t="n">
        <v>97852</v>
      </c>
      <c r="CD83" s="116" t="n">
        <v>0.25</v>
      </c>
      <c r="CE83" s="127" t="n">
        <v>97756</v>
      </c>
      <c r="CF83" s="128" t="n">
        <v>0.25</v>
      </c>
    </row>
    <row r="84">
      <c r="A84" s="116" t="inlineStr">
        <is>
          <t>2025年-10月陈展鹏</t>
        </is>
      </c>
      <c r="B84" s="107" t="n"/>
      <c r="C84" s="108" t="n"/>
      <c r="D84" s="108" t="n"/>
      <c r="E84" s="108" t="n"/>
      <c r="F84" s="108" t="n"/>
      <c r="G84" s="124" t="n"/>
      <c r="H84" s="116" t="n"/>
      <c r="I84" s="125" t="n">
        <v>178124</v>
      </c>
      <c r="J84" s="125" t="n">
        <v>175266</v>
      </c>
      <c r="K84" s="117" t="n">
        <v>522</v>
      </c>
      <c r="L84" s="116" t="n">
        <v>341</v>
      </c>
      <c r="M84" s="116" t="n">
        <v>68</v>
      </c>
      <c r="N84" s="116" t="n">
        <v>71</v>
      </c>
      <c r="O84" s="116" t="n">
        <v>68</v>
      </c>
      <c r="P84" s="116" t="n">
        <v>47</v>
      </c>
      <c r="Q84" s="116" t="n">
        <v>57</v>
      </c>
      <c r="R84" s="116" t="n">
        <v>13</v>
      </c>
      <c r="S84" s="116" t="n">
        <v>16</v>
      </c>
      <c r="T84" s="125" t="n">
        <v>85686</v>
      </c>
      <c r="U84" s="125" t="n">
        <v>104150</v>
      </c>
      <c r="V84" s="126" t="n">
        <v>1</v>
      </c>
      <c r="W84" s="125" t="n">
        <v>6509</v>
      </c>
      <c r="X84" s="126" t="n">
        <v>0.199</v>
      </c>
      <c r="Y84" s="126" t="n">
        <v>1</v>
      </c>
      <c r="Z84" s="135" t="n">
        <v>0.199</v>
      </c>
      <c r="AA84" s="126" t="n">
        <v>0.6909999999999999</v>
      </c>
      <c r="AB84" s="126" t="n">
        <v>0.983</v>
      </c>
      <c r="AC84" s="126" t="n">
        <v>0.277</v>
      </c>
      <c r="AD84" s="126" t="n">
        <v>0.038</v>
      </c>
      <c r="AE84" s="126" t="n">
        <v>0.047</v>
      </c>
      <c r="AF84" s="125" t="n">
        <v>229653</v>
      </c>
      <c r="AG84" s="116" t="n">
        <v>0.45</v>
      </c>
      <c r="AH84" s="116" t="n">
        <v>58</v>
      </c>
      <c r="AI84" s="116" t="n">
        <v>57</v>
      </c>
      <c r="AJ84" s="116" t="n">
        <v>62</v>
      </c>
      <c r="AK84" s="125" t="n">
        <v>21307</v>
      </c>
      <c r="AL84" s="125" t="n">
        <v>10100</v>
      </c>
      <c r="AM84" s="125" t="n">
        <v>11457</v>
      </c>
      <c r="AN84" s="125" t="n">
        <v>3410</v>
      </c>
      <c r="AO84" s="125" t="n">
        <v>5255</v>
      </c>
      <c r="AP84" s="116" t="n">
        <v>0</v>
      </c>
      <c r="AQ84" s="116" t="n">
        <v>0</v>
      </c>
      <c r="AR84" s="116" t="n">
        <v>0</v>
      </c>
      <c r="AS84" s="116" t="n">
        <v>0</v>
      </c>
      <c r="AT84" s="116" t="n">
        <v>0</v>
      </c>
      <c r="AU84" s="116" t="n">
        <v>0</v>
      </c>
      <c r="AV84" s="116" t="n">
        <v>0</v>
      </c>
      <c r="AW84" s="116" t="n">
        <v>0</v>
      </c>
      <c r="AX84" s="116" t="n">
        <v>0</v>
      </c>
      <c r="AY84" s="116" t="n">
        <v>0</v>
      </c>
      <c r="AZ84" s="116" t="n"/>
      <c r="BA84" s="116" t="n"/>
      <c r="BB84" s="116" t="n"/>
      <c r="BC84" s="116" t="n"/>
      <c r="BD84" s="116" t="n"/>
      <c r="BE84" s="116" t="n"/>
      <c r="BF84" s="116" t="n"/>
      <c r="BG84" s="116" t="n"/>
      <c r="BH84" s="116" t="n"/>
      <c r="BI84" s="116" t="n"/>
      <c r="BJ84" s="116" t="n">
        <v>0</v>
      </c>
      <c r="BK84" s="116" t="n">
        <v>0</v>
      </c>
      <c r="BL84" s="116" t="n">
        <v>0</v>
      </c>
      <c r="BM84" s="116" t="n">
        <v>0</v>
      </c>
      <c r="BN84" s="116" t="n">
        <v>0</v>
      </c>
      <c r="BO84" s="116" t="n">
        <v>0</v>
      </c>
      <c r="BP84" s="116" t="n">
        <v>0</v>
      </c>
      <c r="BQ84" s="116" t="n">
        <v>0</v>
      </c>
      <c r="BR84" s="125" t="n">
        <v>85686</v>
      </c>
      <c r="BS84" s="125" t="n">
        <v>104150</v>
      </c>
      <c r="BT84" s="126" t="n">
        <v>1</v>
      </c>
      <c r="BU84" s="125" t="n">
        <v>30222</v>
      </c>
      <c r="BV84" s="125" t="n">
        <v>26831</v>
      </c>
      <c r="BW84" s="125" t="n">
        <v>21307</v>
      </c>
      <c r="BX84" s="125" t="n">
        <v>178124</v>
      </c>
      <c r="BY84" s="125" t="n">
        <v>177588</v>
      </c>
      <c r="BZ84" s="125" t="n">
        <v>225727</v>
      </c>
      <c r="CA84" s="116" t="n">
        <v>0.38</v>
      </c>
      <c r="CB84" s="125" t="n">
        <v>2858</v>
      </c>
      <c r="CC84" s="125" t="n">
        <v>229653</v>
      </c>
      <c r="CD84" s="116" t="n">
        <v>0.45</v>
      </c>
      <c r="CE84" s="127" t="n">
        <v>233921</v>
      </c>
      <c r="CF84" s="128" t="n">
        <v>0.45</v>
      </c>
    </row>
    <row r="85">
      <c r="A85" s="145" t="inlineStr">
        <is>
          <t>2025年-11月陈展鹏</t>
        </is>
      </c>
      <c r="B85" s="146" t="n"/>
      <c r="C85" s="147" t="n"/>
      <c r="D85" s="147" t="n"/>
      <c r="E85" s="147" t="n"/>
      <c r="F85" s="147" t="n"/>
      <c r="G85" s="148" t="n"/>
      <c r="H85" s="145" t="n"/>
      <c r="I85" s="149" t="n">
        <v>156971</v>
      </c>
      <c r="J85" s="149" t="n">
        <v>154469</v>
      </c>
      <c r="K85" s="150" t="n">
        <v>1098</v>
      </c>
      <c r="L85" s="145" t="n">
        <v>143</v>
      </c>
      <c r="M85" s="145" t="n">
        <v>61</v>
      </c>
      <c r="N85" s="145" t="n">
        <v>67</v>
      </c>
      <c r="O85" s="145" t="n">
        <v>61</v>
      </c>
      <c r="P85" s="145" t="n">
        <v>41</v>
      </c>
      <c r="Q85" s="145" t="n">
        <v>56</v>
      </c>
      <c r="R85" s="145" t="n">
        <v>12</v>
      </c>
      <c r="S85" s="145" t="n">
        <v>14</v>
      </c>
      <c r="T85" s="149" t="n">
        <v>74897</v>
      </c>
      <c r="U85" s="149" t="n">
        <v>83695</v>
      </c>
      <c r="V85" s="151" t="n">
        <v>1</v>
      </c>
      <c r="W85" s="149" t="n">
        <v>5978</v>
      </c>
      <c r="X85" s="151" t="n">
        <v>0.427</v>
      </c>
      <c r="Y85" s="151" t="n">
        <v>1</v>
      </c>
      <c r="Z85" s="152" t="n">
        <v>0.427</v>
      </c>
      <c r="AA85" s="151" t="n">
        <v>0.672</v>
      </c>
      <c r="AB85" s="151" t="n">
        <v>0.982</v>
      </c>
      <c r="AC85" s="151" t="n">
        <v>0.293</v>
      </c>
      <c r="AD85" s="151" t="n">
        <v>0.08400000000000001</v>
      </c>
      <c r="AE85" s="151" t="n">
        <v>0.098</v>
      </c>
      <c r="AF85" s="149" t="n">
        <v>190000</v>
      </c>
      <c r="AG85" s="145" t="n">
        <v>0.44</v>
      </c>
      <c r="AH85" s="145" t="n">
        <v>57</v>
      </c>
      <c r="AI85" s="145" t="n">
        <v>56</v>
      </c>
      <c r="AJ85" s="145" t="n">
        <v>61</v>
      </c>
      <c r="AK85" s="149" t="n">
        <v>9308</v>
      </c>
      <c r="AL85" s="149" t="n">
        <v>7913</v>
      </c>
      <c r="AM85" s="149" t="n">
        <v>9207</v>
      </c>
      <c r="AN85" s="149" t="n">
        <v>1430</v>
      </c>
      <c r="AO85" s="149" t="n">
        <v>5171</v>
      </c>
      <c r="AP85" s="145" t="n">
        <v>0</v>
      </c>
      <c r="AQ85" s="145" t="n">
        <v>0</v>
      </c>
      <c r="AR85" s="145" t="n">
        <v>0</v>
      </c>
      <c r="AS85" s="145" t="n">
        <v>0</v>
      </c>
      <c r="AT85" s="145" t="n">
        <v>0</v>
      </c>
      <c r="AU85" s="145" t="n">
        <v>0</v>
      </c>
      <c r="AV85" s="145" t="n">
        <v>0</v>
      </c>
      <c r="AW85" s="145" t="n">
        <v>0</v>
      </c>
      <c r="AX85" s="145" t="n">
        <v>0</v>
      </c>
      <c r="AY85" s="145" t="n">
        <v>0</v>
      </c>
      <c r="AZ85" s="145" t="n"/>
      <c r="BA85" s="145" t="n"/>
      <c r="BB85" s="145" t="n"/>
      <c r="BC85" s="145" t="n"/>
      <c r="BD85" s="145" t="n"/>
      <c r="BE85" s="145" t="n"/>
      <c r="BF85" s="145" t="n"/>
      <c r="BG85" s="145" t="n"/>
      <c r="BH85" s="145" t="n"/>
      <c r="BI85" s="145" t="n"/>
      <c r="BJ85" s="145" t="n">
        <v>0</v>
      </c>
      <c r="BK85" s="145" t="n">
        <v>0</v>
      </c>
      <c r="BL85" s="145" t="n">
        <v>0</v>
      </c>
      <c r="BM85" s="145" t="n">
        <v>0</v>
      </c>
      <c r="BN85" s="145" t="n">
        <v>0</v>
      </c>
      <c r="BO85" s="145" t="n">
        <v>0</v>
      </c>
      <c r="BP85" s="145" t="n">
        <v>0</v>
      </c>
      <c r="BQ85" s="145" t="n">
        <v>0</v>
      </c>
      <c r="BR85" s="149" t="n">
        <v>74897</v>
      </c>
      <c r="BS85" s="149" t="n">
        <v>83695</v>
      </c>
      <c r="BT85" s="151" t="n">
        <v>1</v>
      </c>
      <c r="BU85" s="149" t="n">
        <v>23721</v>
      </c>
      <c r="BV85" s="149" t="n">
        <v>20603</v>
      </c>
      <c r="BW85" s="149" t="n">
        <v>9308</v>
      </c>
      <c r="BX85" s="149" t="n">
        <v>156971</v>
      </c>
      <c r="BY85" s="149" t="n">
        <v>156613</v>
      </c>
      <c r="BZ85" s="149" t="n">
        <v>186525</v>
      </c>
      <c r="CA85" s="145" t="n">
        <v>0.4</v>
      </c>
      <c r="CB85" s="149" t="n">
        <v>2502</v>
      </c>
      <c r="CC85" s="149" t="n">
        <v>190000</v>
      </c>
      <c r="CD85" s="145" t="n">
        <v>0.44</v>
      </c>
      <c r="CE85" s="153" t="n">
        <v>191416</v>
      </c>
      <c r="CF85" s="154" t="n">
        <v>0.44</v>
      </c>
    </row>
    <row r="86">
      <c r="A86" s="116" t="inlineStr">
        <is>
          <t>陈展鹏汇总</t>
        </is>
      </c>
      <c r="B86" s="107" t="n"/>
      <c r="C86" s="108" t="n"/>
      <c r="D86" s="108" t="n"/>
      <c r="E86" s="108" t="n"/>
      <c r="F86" s="108" t="n"/>
      <c r="G86" s="124" t="n"/>
      <c r="H86" s="116" t="n"/>
      <c r="I86" s="125" t="n">
        <v>410010</v>
      </c>
      <c r="J86" s="125" t="n">
        <v>403578</v>
      </c>
      <c r="K86" s="117" t="n">
        <v>664</v>
      </c>
      <c r="L86" s="116" t="n">
        <v>608</v>
      </c>
      <c r="M86" s="116" t="n">
        <v>176</v>
      </c>
      <c r="N86" s="116" t="n">
        <v>185</v>
      </c>
      <c r="O86" s="116" t="n">
        <v>177</v>
      </c>
      <c r="P86" s="116" t="n">
        <v>118</v>
      </c>
      <c r="Q86" s="116" t="n">
        <v>143</v>
      </c>
      <c r="R86" s="116" t="n">
        <v>31</v>
      </c>
      <c r="S86" s="116" t="n">
        <v>36</v>
      </c>
      <c r="T86" s="125" t="n">
        <v>185411</v>
      </c>
      <c r="U86" s="125" t="n">
        <v>212673</v>
      </c>
      <c r="V86" s="116" t="n"/>
      <c r="W86" s="125" t="n">
        <v>5908</v>
      </c>
      <c r="X86" s="126" t="n">
        <v>0.2895</v>
      </c>
      <c r="Y86" s="126" t="n">
        <v>1.0057</v>
      </c>
      <c r="Z86" s="135" t="n">
        <v>0.2911</v>
      </c>
      <c r="AA86" s="126" t="n">
        <v>0.6667</v>
      </c>
      <c r="AB86" s="126" t="n">
        <v>0.9777</v>
      </c>
      <c r="AC86" s="126" t="n">
        <v>0.2627</v>
      </c>
      <c r="AD86" s="126" t="n">
        <v>0.051</v>
      </c>
      <c r="AE86" s="126" t="n">
        <v>0.0592</v>
      </c>
      <c r="AF86" s="125" t="n">
        <v>517504</v>
      </c>
      <c r="AG86" s="116" t="n">
        <v>0.41</v>
      </c>
      <c r="AH86" s="116" t="n">
        <v>146</v>
      </c>
      <c r="AI86" s="116" t="n">
        <v>143</v>
      </c>
      <c r="AJ86" s="116" t="n">
        <v>155</v>
      </c>
      <c r="AK86" s="125" t="n">
        <v>40011</v>
      </c>
      <c r="AL86" s="125" t="n">
        <v>24808</v>
      </c>
      <c r="AM86" s="125" t="n">
        <v>23451</v>
      </c>
      <c r="AN86" s="125" t="n">
        <v>6080</v>
      </c>
      <c r="AO86" s="125" t="n">
        <v>13144</v>
      </c>
      <c r="AP86" s="116" t="n">
        <v>0</v>
      </c>
      <c r="AQ86" s="116" t="n">
        <v>0</v>
      </c>
      <c r="AR86" s="116" t="n"/>
      <c r="AS86" s="116" t="n">
        <v>0</v>
      </c>
      <c r="AT86" s="116" t="n">
        <v>0</v>
      </c>
      <c r="AU86" s="116" t="n">
        <v>0</v>
      </c>
      <c r="AV86" s="116" t="n">
        <v>0</v>
      </c>
      <c r="AW86" s="116" t="n">
        <v>0</v>
      </c>
      <c r="AX86" s="116" t="n">
        <v>0</v>
      </c>
      <c r="AY86" s="116" t="n">
        <v>0</v>
      </c>
      <c r="AZ86" s="116" t="n"/>
      <c r="BA86" s="116" t="e">
        <v>#DIV/0!</v>
      </c>
      <c r="BB86" s="116" t="e">
        <v>#DIV/0!</v>
      </c>
      <c r="BC86" s="116" t="e">
        <v>#DIV/0!</v>
      </c>
      <c r="BD86" s="116" t="e">
        <v>#DIV/0!</v>
      </c>
      <c r="BE86" s="116" t="e">
        <v>#DIV/0!</v>
      </c>
      <c r="BF86" s="116" t="e">
        <v>#DIV/0!</v>
      </c>
      <c r="BG86" s="116" t="e">
        <v>#DIV/0!</v>
      </c>
      <c r="BH86" s="116" t="e">
        <v>#DIV/0!</v>
      </c>
      <c r="BI86" s="116" t="e">
        <v>#DIV/0!</v>
      </c>
      <c r="BJ86" s="116" t="n">
        <v>0</v>
      </c>
      <c r="BK86" s="116" t="n">
        <v>0</v>
      </c>
      <c r="BL86" s="116" t="n">
        <v>0</v>
      </c>
      <c r="BM86" s="116" t="n">
        <v>0</v>
      </c>
      <c r="BN86" s="116" t="n">
        <v>0</v>
      </c>
      <c r="BO86" s="116" t="n">
        <v>0</v>
      </c>
      <c r="BP86" s="116" t="n">
        <v>0</v>
      </c>
      <c r="BQ86" s="116" t="n">
        <v>0</v>
      </c>
      <c r="BR86" s="125" t="n">
        <v>185411</v>
      </c>
      <c r="BS86" s="125" t="n">
        <v>212673</v>
      </c>
      <c r="BT86" s="116" t="n"/>
      <c r="BU86" s="125" t="n">
        <v>67483</v>
      </c>
      <c r="BV86" s="125" t="n">
        <v>60976</v>
      </c>
      <c r="BW86" s="125" t="n">
        <v>40011</v>
      </c>
      <c r="BX86" s="125" t="n">
        <v>410010</v>
      </c>
      <c r="BY86" s="125" t="n">
        <v>409117</v>
      </c>
      <c r="BZ86" s="125" t="n">
        <v>510103</v>
      </c>
      <c r="CA86" s="116" t="n">
        <v>0.36</v>
      </c>
      <c r="CB86" s="125" t="n">
        <v>6432</v>
      </c>
      <c r="CC86" s="125" t="n">
        <v>517504</v>
      </c>
      <c r="CD86" s="116" t="n">
        <v>0.41</v>
      </c>
      <c r="CE86" s="127" t="n">
        <v>523093</v>
      </c>
      <c r="CF86" s="128" t="n">
        <v>0.41</v>
      </c>
    </row>
    <row r="87">
      <c r="A87" s="116" t="inlineStr">
        <is>
          <t>2025年-10月专家邓明仪</t>
        </is>
      </c>
      <c r="B87" s="107" t="n"/>
      <c r="C87" s="108" t="n"/>
      <c r="D87" s="108" t="n"/>
      <c r="E87" s="108" t="n"/>
      <c r="F87" s="108" t="n"/>
      <c r="G87" s="124" t="n"/>
      <c r="H87" s="116" t="n"/>
      <c r="I87" s="125" t="n">
        <v>100242</v>
      </c>
      <c r="J87" s="125" t="n">
        <v>99170</v>
      </c>
      <c r="K87" s="117" t="n">
        <v>481</v>
      </c>
      <c r="L87" s="116" t="n">
        <v>206</v>
      </c>
      <c r="M87" s="116" t="n">
        <v>43</v>
      </c>
      <c r="N87" s="116" t="n">
        <v>43</v>
      </c>
      <c r="O87" s="116" t="n">
        <v>42</v>
      </c>
      <c r="P87" s="116" t="n">
        <v>33</v>
      </c>
      <c r="Q87" s="116" t="n">
        <v>33</v>
      </c>
      <c r="R87" s="116" t="n">
        <v>6</v>
      </c>
      <c r="S87" s="116" t="n">
        <v>6</v>
      </c>
      <c r="T87" s="125" t="n">
        <v>24550</v>
      </c>
      <c r="U87" s="125" t="n">
        <v>24550</v>
      </c>
      <c r="V87" s="116" t="n"/>
      <c r="W87" s="125" t="n">
        <v>4092</v>
      </c>
      <c r="X87" s="126" t="n">
        <v>0.2087</v>
      </c>
      <c r="Y87" s="126" t="n">
        <v>0.9767</v>
      </c>
      <c r="Z87" s="135" t="n">
        <v>0.2039</v>
      </c>
      <c r="AA87" s="126" t="n">
        <v>0.7857</v>
      </c>
      <c r="AB87" s="126" t="n">
        <v>1</v>
      </c>
      <c r="AC87" s="126" t="n">
        <v>0.1818</v>
      </c>
      <c r="AD87" s="126" t="n">
        <v>0.0291</v>
      </c>
      <c r="AE87" s="126" t="n">
        <v>0.0291</v>
      </c>
      <c r="AF87" s="125" t="n">
        <v>118377</v>
      </c>
      <c r="AG87" s="116" t="n">
        <v>0.21</v>
      </c>
      <c r="AH87" s="116" t="n">
        <v>33</v>
      </c>
      <c r="AI87" s="116" t="n">
        <v>33</v>
      </c>
      <c r="AJ87" s="116" t="n">
        <v>33</v>
      </c>
      <c r="AK87" s="125" t="n">
        <v>12872</v>
      </c>
      <c r="AL87" s="125" t="n">
        <v>6117</v>
      </c>
      <c r="AM87" s="125" t="n">
        <v>2701</v>
      </c>
      <c r="AN87" s="125" t="n">
        <v>2060</v>
      </c>
      <c r="AO87" s="125" t="n">
        <v>2797</v>
      </c>
      <c r="AP87" s="116" t="n">
        <v>0</v>
      </c>
      <c r="AQ87" s="116" t="n">
        <v>0</v>
      </c>
      <c r="AR87" s="116" t="n"/>
      <c r="AS87" s="116" t="n">
        <v>0</v>
      </c>
      <c r="AT87" s="116" t="n">
        <v>0</v>
      </c>
      <c r="AU87" s="116" t="n">
        <v>0</v>
      </c>
      <c r="AV87" s="116" t="n">
        <v>0</v>
      </c>
      <c r="AW87" s="116" t="n">
        <v>0</v>
      </c>
      <c r="AX87" s="116" t="n">
        <v>0</v>
      </c>
      <c r="AY87" s="116" t="n">
        <v>0</v>
      </c>
      <c r="AZ87" s="116" t="n"/>
      <c r="BA87" s="116" t="e">
        <v>#DIV/0!</v>
      </c>
      <c r="BB87" s="116" t="e">
        <v>#DIV/0!</v>
      </c>
      <c r="BC87" s="116" t="e">
        <v>#DIV/0!</v>
      </c>
      <c r="BD87" s="116" t="e">
        <v>#DIV/0!</v>
      </c>
      <c r="BE87" s="116" t="e">
        <v>#DIV/0!</v>
      </c>
      <c r="BF87" s="116" t="e">
        <v>#DIV/0!</v>
      </c>
      <c r="BG87" s="116" t="e">
        <v>#DIV/0!</v>
      </c>
      <c r="BH87" s="116" t="e">
        <v>#DIV/0!</v>
      </c>
      <c r="BI87" s="116" t="e">
        <v>#DIV/0!</v>
      </c>
      <c r="BJ87" s="116" t="n">
        <v>0</v>
      </c>
      <c r="BK87" s="116" t="n">
        <v>0</v>
      </c>
      <c r="BL87" s="116" t="n">
        <v>0</v>
      </c>
      <c r="BM87" s="116" t="n">
        <v>0</v>
      </c>
      <c r="BN87" s="116" t="n">
        <v>0</v>
      </c>
      <c r="BO87" s="116" t="n">
        <v>0</v>
      </c>
      <c r="BP87" s="116" t="n">
        <v>0</v>
      </c>
      <c r="BQ87" s="116" t="n">
        <v>0</v>
      </c>
      <c r="BR87" s="125" t="n">
        <v>24550</v>
      </c>
      <c r="BS87" s="125" t="n">
        <v>24550</v>
      </c>
      <c r="BT87" s="116" t="n"/>
      <c r="BU87" s="125" t="n">
        <v>13674</v>
      </c>
      <c r="BV87" s="125" t="n">
        <v>13674</v>
      </c>
      <c r="BW87" s="125" t="n">
        <v>12872</v>
      </c>
      <c r="BX87" s="125" t="n">
        <v>100242</v>
      </c>
      <c r="BY87" s="125" t="n">
        <v>100242</v>
      </c>
      <c r="BZ87" s="125" t="n">
        <v>118377</v>
      </c>
      <c r="CA87" s="116" t="n">
        <v>0.21</v>
      </c>
      <c r="CB87" s="125" t="n">
        <v>1072</v>
      </c>
      <c r="CC87" s="125" t="n">
        <v>118377</v>
      </c>
      <c r="CD87" s="116" t="n">
        <v>0.21</v>
      </c>
      <c r="CE87" s="127" t="n">
        <v>120955</v>
      </c>
      <c r="CF87" s="128" t="n">
        <v>0.2</v>
      </c>
    </row>
    <row r="88">
      <c r="A88" s="145" t="inlineStr">
        <is>
          <t>2025年-11月专家邓明仪</t>
        </is>
      </c>
      <c r="B88" s="146" t="n"/>
      <c r="C88" s="147" t="n"/>
      <c r="D88" s="147" t="n"/>
      <c r="E88" s="147" t="n"/>
      <c r="F88" s="147" t="n"/>
      <c r="G88" s="148" t="n"/>
      <c r="H88" s="145" t="n"/>
      <c r="I88" s="149" t="n">
        <v>88872</v>
      </c>
      <c r="J88" s="149" t="n">
        <v>85297</v>
      </c>
      <c r="K88" s="150" t="n">
        <v>717</v>
      </c>
      <c r="L88" s="145" t="n">
        <v>119</v>
      </c>
      <c r="M88" s="145" t="n">
        <v>46</v>
      </c>
      <c r="N88" s="145" t="n">
        <v>48</v>
      </c>
      <c r="O88" s="145" t="n">
        <v>47</v>
      </c>
      <c r="P88" s="145" t="n">
        <v>33</v>
      </c>
      <c r="Q88" s="145" t="n">
        <v>40</v>
      </c>
      <c r="R88" s="145" t="n">
        <v>14</v>
      </c>
      <c r="S88" s="145" t="n">
        <v>20</v>
      </c>
      <c r="T88" s="149" t="n">
        <v>81535</v>
      </c>
      <c r="U88" s="149" t="n">
        <v>111169</v>
      </c>
      <c r="V88" s="145" t="n"/>
      <c r="W88" s="149" t="n">
        <v>5558</v>
      </c>
      <c r="X88" s="151" t="n">
        <v>0.3866</v>
      </c>
      <c r="Y88" s="151" t="n">
        <v>1.0217</v>
      </c>
      <c r="Z88" s="152" t="n">
        <v>0.395</v>
      </c>
      <c r="AA88" s="151" t="n">
        <v>0.7020999999999999</v>
      </c>
      <c r="AB88" s="151" t="n">
        <v>0.9833</v>
      </c>
      <c r="AC88" s="151" t="n">
        <v>0.4242</v>
      </c>
      <c r="AD88" s="151" t="n">
        <v>0.1176</v>
      </c>
      <c r="AE88" s="151" t="n">
        <v>0.1681</v>
      </c>
      <c r="AF88" s="149" t="n">
        <v>119351</v>
      </c>
      <c r="AG88" s="145" t="n">
        <v>0.93</v>
      </c>
      <c r="AH88" s="145" t="n">
        <v>41</v>
      </c>
      <c r="AI88" s="145" t="n">
        <v>40</v>
      </c>
      <c r="AJ88" s="145" t="n">
        <v>43</v>
      </c>
      <c r="AK88" s="149" t="n">
        <v>7746</v>
      </c>
      <c r="AL88" s="149" t="n">
        <v>5669</v>
      </c>
      <c r="AM88" s="149" t="n">
        <v>12229</v>
      </c>
      <c r="AN88" s="149" t="n">
        <v>1190</v>
      </c>
      <c r="AO88" s="149" t="n">
        <v>3645</v>
      </c>
      <c r="AP88" s="145" t="n">
        <v>0</v>
      </c>
      <c r="AQ88" s="145" t="n">
        <v>0</v>
      </c>
      <c r="AR88" s="145" t="n"/>
      <c r="AS88" s="145" t="n">
        <v>0</v>
      </c>
      <c r="AT88" s="145" t="n">
        <v>0</v>
      </c>
      <c r="AU88" s="145" t="n">
        <v>0</v>
      </c>
      <c r="AV88" s="145" t="n">
        <v>0</v>
      </c>
      <c r="AW88" s="145" t="n">
        <v>0</v>
      </c>
      <c r="AX88" s="145" t="n">
        <v>0</v>
      </c>
      <c r="AY88" s="145" t="n">
        <v>0</v>
      </c>
      <c r="AZ88" s="145" t="n"/>
      <c r="BA88" s="145" t="e">
        <v>#DIV/0!</v>
      </c>
      <c r="BB88" s="145" t="e">
        <v>#DIV/0!</v>
      </c>
      <c r="BC88" s="145" t="e">
        <v>#DIV/0!</v>
      </c>
      <c r="BD88" s="145" t="e">
        <v>#DIV/0!</v>
      </c>
      <c r="BE88" s="145" t="e">
        <v>#DIV/0!</v>
      </c>
      <c r="BF88" s="145" t="e">
        <v>#DIV/0!</v>
      </c>
      <c r="BG88" s="145" t="e">
        <v>#DIV/0!</v>
      </c>
      <c r="BH88" s="145" t="e">
        <v>#DIV/0!</v>
      </c>
      <c r="BI88" s="145" t="e">
        <v>#DIV/0!</v>
      </c>
      <c r="BJ88" s="145" t="n">
        <v>0</v>
      </c>
      <c r="BK88" s="145" t="n">
        <v>0</v>
      </c>
      <c r="BL88" s="145" t="n">
        <v>0</v>
      </c>
      <c r="BM88" s="145" t="n">
        <v>0</v>
      </c>
      <c r="BN88" s="145" t="n">
        <v>0</v>
      </c>
      <c r="BO88" s="145" t="n">
        <v>0</v>
      </c>
      <c r="BP88" s="145" t="n">
        <v>0</v>
      </c>
      <c r="BQ88" s="145" t="n">
        <v>0</v>
      </c>
      <c r="BR88" s="149" t="n">
        <v>81535</v>
      </c>
      <c r="BS88" s="149" t="n">
        <v>111169</v>
      </c>
      <c r="BT88" s="145" t="n"/>
      <c r="BU88" s="149" t="n">
        <v>22733</v>
      </c>
      <c r="BV88" s="149" t="n">
        <v>18559</v>
      </c>
      <c r="BW88" s="149" t="n">
        <v>7746</v>
      </c>
      <c r="BX88" s="149" t="n">
        <v>88872</v>
      </c>
      <c r="BY88" s="149" t="n">
        <v>87800</v>
      </c>
      <c r="BZ88" s="149" t="n">
        <v>114104</v>
      </c>
      <c r="CA88" s="145" t="n">
        <v>0.71</v>
      </c>
      <c r="CB88" s="149" t="n">
        <v>3574</v>
      </c>
      <c r="CC88" s="149" t="n">
        <v>119351</v>
      </c>
      <c r="CD88" s="145" t="n">
        <v>0.93</v>
      </c>
      <c r="CE88" s="153" t="n">
        <v>120530</v>
      </c>
      <c r="CF88" s="154" t="n">
        <v>0.92</v>
      </c>
    </row>
    <row r="89">
      <c r="A89" s="116" t="inlineStr">
        <is>
          <t>专家邓明仪-汇总</t>
        </is>
      </c>
      <c r="B89" s="107" t="n"/>
      <c r="C89" s="108" t="n"/>
      <c r="D89" s="108" t="n"/>
      <c r="E89" s="108" t="n"/>
      <c r="F89" s="108" t="n"/>
      <c r="G89" s="124" t="n"/>
      <c r="H89" s="116" t="n"/>
      <c r="I89" s="125" t="n">
        <v>189114</v>
      </c>
      <c r="J89" s="125" t="n">
        <v>184467</v>
      </c>
      <c r="K89" s="117" t="n">
        <v>568</v>
      </c>
      <c r="L89" s="116" t="n">
        <v>325</v>
      </c>
      <c r="M89" s="116" t="n">
        <v>89</v>
      </c>
      <c r="N89" s="116" t="n">
        <v>91</v>
      </c>
      <c r="O89" s="116" t="n">
        <v>89</v>
      </c>
      <c r="P89" s="116" t="n">
        <v>66</v>
      </c>
      <c r="Q89" s="116" t="n">
        <v>73</v>
      </c>
      <c r="R89" s="116" t="n">
        <v>20</v>
      </c>
      <c r="S89" s="116" t="n">
        <v>26</v>
      </c>
      <c r="T89" s="125" t="n">
        <v>106085</v>
      </c>
      <c r="U89" s="125" t="n">
        <v>135719</v>
      </c>
      <c r="V89" s="116" t="n"/>
      <c r="W89" s="125" t="n">
        <v>5220</v>
      </c>
      <c r="X89" s="126" t="n">
        <v>0.2738</v>
      </c>
      <c r="Y89" s="126" t="n">
        <v>1</v>
      </c>
      <c r="Z89" s="135" t="n">
        <v>0.2738</v>
      </c>
      <c r="AA89" s="126" t="n">
        <v>0.7416</v>
      </c>
      <c r="AB89" s="126" t="n">
        <v>0.9917</v>
      </c>
      <c r="AC89" s="126" t="n">
        <v>0.303</v>
      </c>
      <c r="AD89" s="126" t="n">
        <v>0.0615</v>
      </c>
      <c r="AE89" s="126" t="n">
        <v>0.08</v>
      </c>
      <c r="AF89" s="125" t="n">
        <v>237727</v>
      </c>
      <c r="AG89" s="116" t="n">
        <v>0.57</v>
      </c>
      <c r="AH89" s="116" t="n">
        <v>74</v>
      </c>
      <c r="AI89" s="116" t="n">
        <v>73</v>
      </c>
      <c r="AJ89" s="116" t="n">
        <v>76</v>
      </c>
      <c r="AK89" s="125" t="n">
        <v>20618</v>
      </c>
      <c r="AL89" s="125" t="n">
        <v>11786</v>
      </c>
      <c r="AM89" s="125" t="n">
        <v>14929</v>
      </c>
      <c r="AN89" s="125" t="n">
        <v>3250</v>
      </c>
      <c r="AO89" s="125" t="n">
        <v>6442</v>
      </c>
      <c r="AP89" s="116" t="n">
        <v>0</v>
      </c>
      <c r="AQ89" s="116" t="n">
        <v>0</v>
      </c>
      <c r="AR89" s="116" t="n"/>
      <c r="AS89" s="116" t="n">
        <v>0</v>
      </c>
      <c r="AT89" s="116" t="n">
        <v>0</v>
      </c>
      <c r="AU89" s="116" t="n">
        <v>0</v>
      </c>
      <c r="AV89" s="116" t="n">
        <v>0</v>
      </c>
      <c r="AW89" s="116" t="n">
        <v>0</v>
      </c>
      <c r="AX89" s="116" t="n">
        <v>0</v>
      </c>
      <c r="AY89" s="116" t="n">
        <v>0</v>
      </c>
      <c r="AZ89" s="116" t="n"/>
      <c r="BA89" s="116" t="e">
        <v>#DIV/0!</v>
      </c>
      <c r="BB89" s="116" t="e">
        <v>#DIV/0!</v>
      </c>
      <c r="BC89" s="116" t="e">
        <v>#DIV/0!</v>
      </c>
      <c r="BD89" s="116" t="e">
        <v>#DIV/0!</v>
      </c>
      <c r="BE89" s="116" t="e">
        <v>#DIV/0!</v>
      </c>
      <c r="BF89" s="116" t="e">
        <v>#DIV/0!</v>
      </c>
      <c r="BG89" s="116" t="e">
        <v>#DIV/0!</v>
      </c>
      <c r="BH89" s="116" t="e">
        <v>#DIV/0!</v>
      </c>
      <c r="BI89" s="116" t="e">
        <v>#DIV/0!</v>
      </c>
      <c r="BJ89" s="116" t="n">
        <v>0</v>
      </c>
      <c r="BK89" s="116" t="n">
        <v>0</v>
      </c>
      <c r="BL89" s="116" t="n">
        <v>0</v>
      </c>
      <c r="BM89" s="116" t="n">
        <v>0</v>
      </c>
      <c r="BN89" s="116" t="n">
        <v>0</v>
      </c>
      <c r="BO89" s="116" t="n">
        <v>0</v>
      </c>
      <c r="BP89" s="116" t="n">
        <v>0</v>
      </c>
      <c r="BQ89" s="116" t="n">
        <v>0</v>
      </c>
      <c r="BR89" s="125" t="n">
        <v>106085</v>
      </c>
      <c r="BS89" s="125" t="n">
        <v>135719</v>
      </c>
      <c r="BT89" s="116" t="n"/>
      <c r="BU89" s="125" t="n">
        <v>36407</v>
      </c>
      <c r="BV89" s="125" t="n">
        <v>32233</v>
      </c>
      <c r="BW89" s="125" t="n">
        <v>20618</v>
      </c>
      <c r="BX89" s="125" t="n">
        <v>189114</v>
      </c>
      <c r="BY89" s="125" t="n">
        <v>188041</v>
      </c>
      <c r="BZ89" s="125" t="n">
        <v>232481</v>
      </c>
      <c r="CA89" s="116" t="n">
        <v>0.46</v>
      </c>
      <c r="CB89" s="125" t="n">
        <v>4646</v>
      </c>
      <c r="CC89" s="125" t="n">
        <v>237727</v>
      </c>
      <c r="CD89" s="116" t="n">
        <v>0.57</v>
      </c>
      <c r="CE89" s="127" t="n">
        <v>241484</v>
      </c>
      <c r="CF89" s="128" t="n">
        <v>0.5600000000000001</v>
      </c>
    </row>
    <row r="90">
      <c r="A90" s="116" t="inlineStr">
        <is>
          <t>2025年-10月陳凱琳</t>
        </is>
      </c>
      <c r="B90" s="107" t="n"/>
      <c r="C90" s="108" t="n"/>
      <c r="D90" s="108" t="n"/>
      <c r="E90" s="108" t="n"/>
      <c r="F90" s="108" t="n"/>
      <c r="G90" s="124" t="n"/>
      <c r="H90" s="116" t="n"/>
      <c r="I90" s="125" t="n">
        <v>78812</v>
      </c>
      <c r="J90" s="125" t="n">
        <v>78098</v>
      </c>
      <c r="K90" s="117" t="n">
        <v>685</v>
      </c>
      <c r="L90" s="116" t="n">
        <v>115</v>
      </c>
      <c r="M90" s="116" t="n">
        <v>15</v>
      </c>
      <c r="N90" s="116" t="n">
        <v>15</v>
      </c>
      <c r="O90" s="116" t="n">
        <v>14</v>
      </c>
      <c r="P90" s="116" t="n">
        <v>11</v>
      </c>
      <c r="Q90" s="116" t="n">
        <v>11</v>
      </c>
      <c r="R90" s="116" t="n">
        <v>4</v>
      </c>
      <c r="S90" s="116" t="n">
        <v>4</v>
      </c>
      <c r="T90" s="125" t="n">
        <v>21483</v>
      </c>
      <c r="U90" s="125" t="n">
        <v>21483</v>
      </c>
      <c r="V90" s="126" t="n">
        <v>1</v>
      </c>
      <c r="W90" s="125" t="n">
        <v>5371</v>
      </c>
      <c r="X90" s="126" t="n">
        <v>0.13</v>
      </c>
      <c r="Y90" s="126" t="n">
        <v>0.9330000000000001</v>
      </c>
      <c r="Z90" s="135" t="n">
        <v>0.122</v>
      </c>
      <c r="AA90" s="126" t="n">
        <v>0.786</v>
      </c>
      <c r="AB90" s="126" t="n">
        <v>1</v>
      </c>
      <c r="AC90" s="126" t="n">
        <v>0.364</v>
      </c>
      <c r="AD90" s="126" t="n">
        <v>0.035</v>
      </c>
      <c r="AE90" s="126" t="n">
        <v>0.035</v>
      </c>
      <c r="AF90" s="125" t="n">
        <v>92577</v>
      </c>
      <c r="AG90" s="116" t="n">
        <v>0.23</v>
      </c>
      <c r="AH90" s="116" t="n">
        <v>11</v>
      </c>
      <c r="AI90" s="116" t="n">
        <v>11</v>
      </c>
      <c r="AJ90" s="116" t="n">
        <v>11</v>
      </c>
      <c r="AK90" s="125" t="n">
        <v>7186</v>
      </c>
      <c r="AL90" s="125" t="n">
        <v>2134</v>
      </c>
      <c r="AM90" s="125" t="n">
        <v>2363</v>
      </c>
      <c r="AN90" s="125" t="n">
        <v>1150</v>
      </c>
      <c r="AO90" s="116" t="n">
        <v>932</v>
      </c>
      <c r="AP90" s="116" t="n">
        <v>0</v>
      </c>
      <c r="AQ90" s="116" t="n">
        <v>0</v>
      </c>
      <c r="AR90" s="116" t="n">
        <v>0</v>
      </c>
      <c r="AS90" s="116" t="n">
        <v>0</v>
      </c>
      <c r="AT90" s="116" t="n">
        <v>0</v>
      </c>
      <c r="AU90" s="116" t="n">
        <v>0</v>
      </c>
      <c r="AV90" s="116" t="n">
        <v>0</v>
      </c>
      <c r="AW90" s="116" t="n">
        <v>0</v>
      </c>
      <c r="AX90" s="116" t="n">
        <v>0</v>
      </c>
      <c r="AY90" s="116" t="n">
        <v>0</v>
      </c>
      <c r="AZ90" s="116" t="n"/>
      <c r="BA90" s="116" t="n"/>
      <c r="BB90" s="116" t="n"/>
      <c r="BC90" s="116" t="n"/>
      <c r="BD90" s="116" t="n"/>
      <c r="BE90" s="116" t="n"/>
      <c r="BF90" s="116" t="n"/>
      <c r="BG90" s="116" t="n"/>
      <c r="BH90" s="116" t="n"/>
      <c r="BI90" s="116" t="n"/>
      <c r="BJ90" s="116" t="n">
        <v>0</v>
      </c>
      <c r="BK90" s="116" t="n">
        <v>0</v>
      </c>
      <c r="BL90" s="116" t="n">
        <v>0</v>
      </c>
      <c r="BM90" s="116" t="n">
        <v>0</v>
      </c>
      <c r="BN90" s="116" t="n">
        <v>0</v>
      </c>
      <c r="BO90" s="116" t="n">
        <v>0</v>
      </c>
      <c r="BP90" s="116" t="n">
        <v>0</v>
      </c>
      <c r="BQ90" s="116" t="n">
        <v>0</v>
      </c>
      <c r="BR90" s="125" t="n">
        <v>21483</v>
      </c>
      <c r="BS90" s="125" t="n">
        <v>21483</v>
      </c>
      <c r="BT90" s="126" t="n">
        <v>1</v>
      </c>
      <c r="BU90" s="125" t="n">
        <v>6579</v>
      </c>
      <c r="BV90" s="125" t="n">
        <v>6579</v>
      </c>
      <c r="BW90" s="125" t="n">
        <v>7186</v>
      </c>
      <c r="BX90" s="125" t="n">
        <v>78812</v>
      </c>
      <c r="BY90" s="125" t="n">
        <v>78812</v>
      </c>
      <c r="BZ90" s="125" t="n">
        <v>92577</v>
      </c>
      <c r="CA90" s="116" t="n">
        <v>0.23</v>
      </c>
      <c r="CB90" s="116" t="n">
        <v>715</v>
      </c>
      <c r="CC90" s="125" t="n">
        <v>92577</v>
      </c>
      <c r="CD90" s="116" t="n">
        <v>0.23</v>
      </c>
      <c r="CE90" s="127" t="n">
        <v>94017</v>
      </c>
      <c r="CF90" s="128" t="n">
        <v>0.23</v>
      </c>
    </row>
    <row r="91">
      <c r="A91" s="145" t="inlineStr">
        <is>
          <t>2025年-11月陳凱琳</t>
        </is>
      </c>
      <c r="B91" s="146" t="n"/>
      <c r="C91" s="147" t="n"/>
      <c r="D91" s="147" t="n"/>
      <c r="E91" s="147" t="n"/>
      <c r="F91" s="147" t="n"/>
      <c r="G91" s="148" t="n"/>
      <c r="H91" s="145" t="n"/>
      <c r="I91" s="149" t="n">
        <v>109602</v>
      </c>
      <c r="J91" s="149" t="n">
        <v>107993</v>
      </c>
      <c r="K91" s="150" t="n">
        <v>1858</v>
      </c>
      <c r="L91" s="145" t="n">
        <v>59</v>
      </c>
      <c r="M91" s="145" t="n">
        <v>33</v>
      </c>
      <c r="N91" s="145" t="n">
        <v>36</v>
      </c>
      <c r="O91" s="145" t="n">
        <v>34</v>
      </c>
      <c r="P91" s="145" t="n">
        <v>25</v>
      </c>
      <c r="Q91" s="145" t="n">
        <v>29</v>
      </c>
      <c r="R91" s="145" t="n">
        <v>7</v>
      </c>
      <c r="S91" s="145" t="n">
        <v>9</v>
      </c>
      <c r="T91" s="149" t="n">
        <v>30613</v>
      </c>
      <c r="U91" s="149" t="n">
        <v>41931</v>
      </c>
      <c r="V91" s="151" t="n">
        <v>1</v>
      </c>
      <c r="W91" s="149" t="n">
        <v>4659</v>
      </c>
      <c r="X91" s="151" t="n">
        <v>0.5590000000000001</v>
      </c>
      <c r="Y91" s="151" t="n">
        <v>1.03</v>
      </c>
      <c r="Z91" s="152" t="n">
        <v>0.576</v>
      </c>
      <c r="AA91" s="151" t="n">
        <v>0.735</v>
      </c>
      <c r="AB91" s="151" t="n">
        <v>1</v>
      </c>
      <c r="AC91" s="151" t="n">
        <v>0.28</v>
      </c>
      <c r="AD91" s="151" t="n">
        <v>0.119</v>
      </c>
      <c r="AE91" s="151" t="n">
        <v>0.153</v>
      </c>
      <c r="AF91" s="149" t="n">
        <v>125609</v>
      </c>
      <c r="AG91" s="145" t="n">
        <v>0.33</v>
      </c>
      <c r="AH91" s="145" t="n">
        <v>29</v>
      </c>
      <c r="AI91" s="145" t="n">
        <v>29</v>
      </c>
      <c r="AJ91" s="145" t="n">
        <v>32</v>
      </c>
      <c r="AK91" s="149" t="n">
        <v>3841</v>
      </c>
      <c r="AL91" s="149" t="n">
        <v>4252</v>
      </c>
      <c r="AM91" s="149" t="n">
        <v>4612</v>
      </c>
      <c r="AN91" s="145" t="n">
        <v>590</v>
      </c>
      <c r="AO91" s="149" t="n">
        <v>2713</v>
      </c>
      <c r="AP91" s="145" t="n">
        <v>0</v>
      </c>
      <c r="AQ91" s="145" t="n">
        <v>0</v>
      </c>
      <c r="AR91" s="145" t="n">
        <v>0</v>
      </c>
      <c r="AS91" s="145" t="n">
        <v>0</v>
      </c>
      <c r="AT91" s="145" t="n">
        <v>0</v>
      </c>
      <c r="AU91" s="145" t="n">
        <v>0</v>
      </c>
      <c r="AV91" s="145" t="n">
        <v>0</v>
      </c>
      <c r="AW91" s="145" t="n">
        <v>0</v>
      </c>
      <c r="AX91" s="145" t="n">
        <v>0</v>
      </c>
      <c r="AY91" s="145" t="n">
        <v>0</v>
      </c>
      <c r="AZ91" s="145" t="n"/>
      <c r="BA91" s="145" t="n"/>
      <c r="BB91" s="145" t="n"/>
      <c r="BC91" s="145" t="n"/>
      <c r="BD91" s="145" t="n"/>
      <c r="BE91" s="145" t="n"/>
      <c r="BF91" s="145" t="n"/>
      <c r="BG91" s="145" t="n"/>
      <c r="BH91" s="145" t="n"/>
      <c r="BI91" s="145" t="n"/>
      <c r="BJ91" s="145" t="n">
        <v>0</v>
      </c>
      <c r="BK91" s="145" t="n">
        <v>0</v>
      </c>
      <c r="BL91" s="145" t="n">
        <v>0</v>
      </c>
      <c r="BM91" s="145" t="n">
        <v>0</v>
      </c>
      <c r="BN91" s="145" t="n">
        <v>0</v>
      </c>
      <c r="BO91" s="145" t="n">
        <v>0</v>
      </c>
      <c r="BP91" s="145" t="n">
        <v>0</v>
      </c>
      <c r="BQ91" s="145" t="n">
        <v>0</v>
      </c>
      <c r="BR91" s="149" t="n">
        <v>30613</v>
      </c>
      <c r="BS91" s="149" t="n">
        <v>41931</v>
      </c>
      <c r="BT91" s="151" t="n">
        <v>1</v>
      </c>
      <c r="BU91" s="149" t="n">
        <v>12167</v>
      </c>
      <c r="BV91" s="149" t="n">
        <v>10228</v>
      </c>
      <c r="BW91" s="149" t="n">
        <v>3841</v>
      </c>
      <c r="BX91" s="149" t="n">
        <v>109602</v>
      </c>
      <c r="BY91" s="149" t="n">
        <v>109244</v>
      </c>
      <c r="BZ91" s="149" t="n">
        <v>123313</v>
      </c>
      <c r="CA91" s="145" t="n">
        <v>0.25</v>
      </c>
      <c r="CB91" s="149" t="n">
        <v>1609</v>
      </c>
      <c r="CC91" s="149" t="n">
        <v>125609</v>
      </c>
      <c r="CD91" s="145" t="n">
        <v>0.33</v>
      </c>
      <c r="CE91" s="153" t="n">
        <v>126194</v>
      </c>
      <c r="CF91" s="154" t="n">
        <v>0.33</v>
      </c>
    </row>
    <row r="92">
      <c r="A92" s="116" t="inlineStr">
        <is>
          <t>陳凱琳-汇总</t>
        </is>
      </c>
      <c r="B92" s="107" t="n"/>
      <c r="C92" s="108" t="n"/>
      <c r="D92" s="108" t="n"/>
      <c r="E92" s="108" t="n"/>
      <c r="F92" s="108" t="n"/>
      <c r="G92" s="124" t="n"/>
      <c r="H92" s="116" t="n"/>
      <c r="I92" s="125" t="n">
        <v>188414</v>
      </c>
      <c r="J92" s="125" t="n">
        <v>186091</v>
      </c>
      <c r="K92" s="117" t="n">
        <v>1069</v>
      </c>
      <c r="L92" s="116" t="n">
        <v>174</v>
      </c>
      <c r="M92" s="116" t="n">
        <v>48</v>
      </c>
      <c r="N92" s="116" t="n">
        <v>51</v>
      </c>
      <c r="O92" s="116" t="n">
        <v>48</v>
      </c>
      <c r="P92" s="116" t="n">
        <v>36</v>
      </c>
      <c r="Q92" s="116" t="n">
        <v>40</v>
      </c>
      <c r="R92" s="116" t="n">
        <v>11</v>
      </c>
      <c r="S92" s="116" t="n">
        <v>13</v>
      </c>
      <c r="T92" s="125" t="n">
        <v>52096</v>
      </c>
      <c r="U92" s="125" t="n">
        <v>63414</v>
      </c>
      <c r="V92" s="116" t="n"/>
      <c r="W92" s="125" t="n">
        <v>4878</v>
      </c>
      <c r="X92" s="126" t="n">
        <v>0.2759</v>
      </c>
      <c r="Y92" s="126" t="n">
        <v>1</v>
      </c>
      <c r="Z92" s="135" t="n">
        <v>0.2759</v>
      </c>
      <c r="AA92" s="126" t="n">
        <v>0.75</v>
      </c>
      <c r="AB92" s="126" t="n">
        <v>1</v>
      </c>
      <c r="AC92" s="126" t="n">
        <v>0.3056</v>
      </c>
      <c r="AD92" s="126" t="n">
        <v>0.06320000000000001</v>
      </c>
      <c r="AE92" s="126" t="n">
        <v>0.0747</v>
      </c>
      <c r="AF92" s="125" t="n">
        <v>218187</v>
      </c>
      <c r="AG92" s="116" t="n">
        <v>0.29</v>
      </c>
      <c r="AH92" s="116" t="n">
        <v>40</v>
      </c>
      <c r="AI92" s="116" t="n">
        <v>40</v>
      </c>
      <c r="AJ92" s="116" t="n">
        <v>43</v>
      </c>
      <c r="AK92" s="125" t="n">
        <v>11026</v>
      </c>
      <c r="AL92" s="125" t="n">
        <v>6386</v>
      </c>
      <c r="AM92" s="125" t="n">
        <v>6976</v>
      </c>
      <c r="AN92" s="125" t="n">
        <v>1740</v>
      </c>
      <c r="AO92" s="125" t="n">
        <v>3645</v>
      </c>
      <c r="AP92" s="116" t="n">
        <v>0</v>
      </c>
      <c r="AQ92" s="116" t="n">
        <v>0</v>
      </c>
      <c r="AR92" s="116" t="n"/>
      <c r="AS92" s="116" t="n">
        <v>0</v>
      </c>
      <c r="AT92" s="116" t="n">
        <v>0</v>
      </c>
      <c r="AU92" s="116" t="n">
        <v>0</v>
      </c>
      <c r="AV92" s="116" t="n">
        <v>0</v>
      </c>
      <c r="AW92" s="116" t="n">
        <v>0</v>
      </c>
      <c r="AX92" s="116" t="n">
        <v>0</v>
      </c>
      <c r="AY92" s="116" t="n">
        <v>0</v>
      </c>
      <c r="AZ92" s="116" t="n"/>
      <c r="BA92" s="116" t="e">
        <v>#DIV/0!</v>
      </c>
      <c r="BB92" s="116" t="e">
        <v>#DIV/0!</v>
      </c>
      <c r="BC92" s="116" t="e">
        <v>#DIV/0!</v>
      </c>
      <c r="BD92" s="116" t="e">
        <v>#DIV/0!</v>
      </c>
      <c r="BE92" s="116" t="e">
        <v>#DIV/0!</v>
      </c>
      <c r="BF92" s="116" t="e">
        <v>#DIV/0!</v>
      </c>
      <c r="BG92" s="116" t="e">
        <v>#DIV/0!</v>
      </c>
      <c r="BH92" s="116" t="e">
        <v>#DIV/0!</v>
      </c>
      <c r="BI92" s="116" t="e">
        <v>#DIV/0!</v>
      </c>
      <c r="BJ92" s="116" t="n">
        <v>0</v>
      </c>
      <c r="BK92" s="116" t="n">
        <v>0</v>
      </c>
      <c r="BL92" s="116" t="n">
        <v>0</v>
      </c>
      <c r="BM92" s="116" t="n">
        <v>0</v>
      </c>
      <c r="BN92" s="116" t="n">
        <v>0</v>
      </c>
      <c r="BO92" s="116" t="n">
        <v>0</v>
      </c>
      <c r="BP92" s="116" t="n">
        <v>0</v>
      </c>
      <c r="BQ92" s="116" t="n">
        <v>0</v>
      </c>
      <c r="BR92" s="125" t="n">
        <v>52096</v>
      </c>
      <c r="BS92" s="125" t="n">
        <v>63414</v>
      </c>
      <c r="BT92" s="116" t="n"/>
      <c r="BU92" s="125" t="n">
        <v>18746</v>
      </c>
      <c r="BV92" s="125" t="n">
        <v>16808</v>
      </c>
      <c r="BW92" s="125" t="n">
        <v>11026</v>
      </c>
      <c r="BX92" s="125" t="n">
        <v>188414</v>
      </c>
      <c r="BY92" s="125" t="n">
        <v>188057</v>
      </c>
      <c r="BZ92" s="125" t="n">
        <v>215891</v>
      </c>
      <c r="CA92" s="116" t="n">
        <v>0.24</v>
      </c>
      <c r="CB92" s="125" t="n">
        <v>2323</v>
      </c>
      <c r="CC92" s="125" t="n">
        <v>218187</v>
      </c>
      <c r="CD92" s="116" t="n">
        <v>0.29</v>
      </c>
      <c r="CE92" s="127" t="n">
        <v>220210</v>
      </c>
      <c r="CF92" s="128" t="n">
        <v>0.29</v>
      </c>
    </row>
    <row r="93">
      <c r="A93" s="145" t="inlineStr">
        <is>
          <t>2025年-11月麥雅緻直播</t>
        </is>
      </c>
      <c r="B93" s="112" t="n"/>
      <c r="C93" s="113" t="n"/>
      <c r="D93" s="113" t="n"/>
      <c r="E93" s="113" t="n"/>
      <c r="F93" s="113" t="n"/>
      <c r="G93" s="131" t="n"/>
      <c r="H93" s="130" t="n"/>
      <c r="I93" s="136" t="n">
        <v>187930</v>
      </c>
      <c r="J93" s="136" t="n">
        <v>183819</v>
      </c>
      <c r="K93" s="137" t="n">
        <v>1128</v>
      </c>
      <c r="L93" s="130" t="n">
        <v>163</v>
      </c>
      <c r="M93" s="130" t="n">
        <v>84</v>
      </c>
      <c r="N93" s="130" t="n">
        <v>84</v>
      </c>
      <c r="O93" s="130" t="n">
        <v>83</v>
      </c>
      <c r="P93" s="130" t="n">
        <v>61</v>
      </c>
      <c r="Q93" s="130" t="n">
        <v>61</v>
      </c>
      <c r="R93" s="130" t="n">
        <v>23</v>
      </c>
      <c r="S93" s="130" t="n">
        <v>23</v>
      </c>
      <c r="T93" s="136" t="n">
        <v>133397</v>
      </c>
      <c r="U93" s="136" t="n">
        <v>133397</v>
      </c>
      <c r="V93" s="130" t="n"/>
      <c r="W93" s="136" t="n">
        <v>5800</v>
      </c>
      <c r="X93" s="138" t="n">
        <v>0.5153</v>
      </c>
      <c r="Y93" s="138" t="n">
        <v>0.9881</v>
      </c>
      <c r="Z93" s="139" t="n">
        <v>0.5092</v>
      </c>
      <c r="AA93" s="138" t="n">
        <v>0.7349</v>
      </c>
      <c r="AB93" s="138" t="n">
        <v>0.9839</v>
      </c>
      <c r="AC93" s="138" t="n">
        <v>0.377</v>
      </c>
      <c r="AD93" s="138" t="n">
        <v>0.1411</v>
      </c>
      <c r="AE93" s="138" t="n">
        <v>0.1411</v>
      </c>
      <c r="AF93" s="136" t="n">
        <v>229936</v>
      </c>
      <c r="AG93" s="130" t="n">
        <v>0.58</v>
      </c>
      <c r="AH93" s="130" t="n">
        <v>62</v>
      </c>
      <c r="AI93" s="130" t="n">
        <v>61</v>
      </c>
      <c r="AJ93" s="130" t="n">
        <v>61</v>
      </c>
      <c r="AK93" s="136" t="n">
        <v>10610</v>
      </c>
      <c r="AL93" s="136" t="n">
        <v>9921</v>
      </c>
      <c r="AM93" s="136" t="n">
        <v>14674</v>
      </c>
      <c r="AN93" s="136" t="n">
        <v>1630</v>
      </c>
      <c r="AO93" s="136" t="n">
        <v>5171</v>
      </c>
      <c r="AP93" s="130" t="n">
        <v>0</v>
      </c>
      <c r="AQ93" s="130" t="n">
        <v>0</v>
      </c>
      <c r="AR93" s="130" t="n"/>
      <c r="AS93" s="130" t="n">
        <v>0</v>
      </c>
      <c r="AT93" s="130" t="n">
        <v>0</v>
      </c>
      <c r="AU93" s="130" t="n">
        <v>0</v>
      </c>
      <c r="AV93" s="130" t="n">
        <v>0</v>
      </c>
      <c r="AW93" s="130" t="n">
        <v>0</v>
      </c>
      <c r="AX93" s="130" t="n">
        <v>0</v>
      </c>
      <c r="AY93" s="130" t="n">
        <v>0</v>
      </c>
      <c r="AZ93" s="130" t="n"/>
      <c r="BA93" s="130" t="e">
        <v>#DIV/0!</v>
      </c>
      <c r="BB93" s="130" t="e">
        <v>#DIV/0!</v>
      </c>
      <c r="BC93" s="130" t="e">
        <v>#DIV/0!</v>
      </c>
      <c r="BD93" s="130" t="e">
        <v>#DIV/0!</v>
      </c>
      <c r="BE93" s="130" t="e">
        <v>#DIV/0!</v>
      </c>
      <c r="BF93" s="130" t="e">
        <v>#DIV/0!</v>
      </c>
      <c r="BG93" s="130" t="e">
        <v>#DIV/0!</v>
      </c>
      <c r="BH93" s="130" t="e">
        <v>#DIV/0!</v>
      </c>
      <c r="BI93" s="130" t="e">
        <v>#DIV/0!</v>
      </c>
      <c r="BJ93" s="130" t="n">
        <v>0</v>
      </c>
      <c r="BK93" s="130" t="n">
        <v>0</v>
      </c>
      <c r="BL93" s="130" t="n">
        <v>0</v>
      </c>
      <c r="BM93" s="130" t="n">
        <v>0</v>
      </c>
      <c r="BN93" s="130" t="n">
        <v>0</v>
      </c>
      <c r="BO93" s="130" t="n">
        <v>0</v>
      </c>
      <c r="BP93" s="130" t="n">
        <v>0</v>
      </c>
      <c r="BQ93" s="130" t="n">
        <v>0</v>
      </c>
      <c r="BR93" s="136" t="n">
        <v>133397</v>
      </c>
      <c r="BS93" s="136" t="n">
        <v>133397</v>
      </c>
      <c r="BT93" s="130" t="n"/>
      <c r="BU93" s="136" t="n">
        <v>31396</v>
      </c>
      <c r="BV93" s="136" t="n">
        <v>31396</v>
      </c>
      <c r="BW93" s="136" t="n">
        <v>10610</v>
      </c>
      <c r="BX93" s="136" t="n">
        <v>187930</v>
      </c>
      <c r="BY93" s="136" t="n">
        <v>187930</v>
      </c>
      <c r="BZ93" s="136" t="n">
        <v>229936</v>
      </c>
      <c r="CA93" s="130" t="n">
        <v>0.58</v>
      </c>
      <c r="CB93" s="136" t="n">
        <v>4111</v>
      </c>
      <c r="CC93" s="136" t="n">
        <v>229936</v>
      </c>
      <c r="CD93" s="130" t="n">
        <v>0.58</v>
      </c>
      <c r="CE93" s="140" t="n">
        <v>231551</v>
      </c>
      <c r="CF93" s="141" t="n">
        <v>0.58</v>
      </c>
    </row>
    <row r="94">
      <c r="A94" s="145" t="inlineStr">
        <is>
          <t>2025年-11月呂慧儀直播</t>
        </is>
      </c>
      <c r="B94" s="112" t="n"/>
      <c r="C94" s="113" t="n"/>
      <c r="D94" s="113" t="n"/>
      <c r="E94" s="113" t="n"/>
      <c r="F94" s="113" t="n"/>
      <c r="G94" s="131" t="n"/>
      <c r="H94" s="130" t="n"/>
      <c r="I94" s="136" t="n">
        <v>61236</v>
      </c>
      <c r="J94" s="136" t="n">
        <v>60163</v>
      </c>
      <c r="K94" s="137" t="n">
        <v>1055</v>
      </c>
      <c r="L94" s="130" t="n">
        <v>57</v>
      </c>
      <c r="M94" s="130" t="n">
        <v>30</v>
      </c>
      <c r="N94" s="130" t="n">
        <v>30</v>
      </c>
      <c r="O94" s="130" t="n">
        <v>30</v>
      </c>
      <c r="P94" s="130" t="n">
        <v>18</v>
      </c>
      <c r="Q94" s="130" t="n">
        <v>18</v>
      </c>
      <c r="R94" s="130" t="n">
        <v>6</v>
      </c>
      <c r="S94" s="130" t="n">
        <v>6</v>
      </c>
      <c r="T94" s="136" t="n">
        <v>32514</v>
      </c>
      <c r="U94" s="136" t="n">
        <v>32514</v>
      </c>
      <c r="V94" s="130" t="n"/>
      <c r="W94" s="136" t="n">
        <v>5419</v>
      </c>
      <c r="X94" s="138" t="n">
        <v>0.5263</v>
      </c>
      <c r="Y94" s="138" t="n">
        <v>1</v>
      </c>
      <c r="Z94" s="139" t="n">
        <v>0.5263</v>
      </c>
      <c r="AA94" s="138" t="n">
        <v>0.6</v>
      </c>
      <c r="AB94" s="138" t="n">
        <v>1</v>
      </c>
      <c r="AC94" s="138" t="n">
        <v>0.3333</v>
      </c>
      <c r="AD94" s="138" t="n">
        <v>0.1053</v>
      </c>
      <c r="AE94" s="138" t="n">
        <v>0.1053</v>
      </c>
      <c r="AF94" s="136" t="n">
        <v>74162</v>
      </c>
      <c r="AG94" s="130" t="n">
        <v>0.44</v>
      </c>
      <c r="AH94" s="130" t="n">
        <v>18</v>
      </c>
      <c r="AI94" s="130" t="n">
        <v>18</v>
      </c>
      <c r="AJ94" s="130" t="n">
        <v>18</v>
      </c>
      <c r="AK94" s="136" t="n">
        <v>3710</v>
      </c>
      <c r="AL94" s="136" t="n">
        <v>3543</v>
      </c>
      <c r="AM94" s="136" t="n">
        <v>3577</v>
      </c>
      <c r="AN94" s="130" t="n">
        <v>570</v>
      </c>
      <c r="AO94" s="136" t="n">
        <v>1526</v>
      </c>
      <c r="AP94" s="130" t="n">
        <v>0</v>
      </c>
      <c r="AQ94" s="130" t="n">
        <v>0</v>
      </c>
      <c r="AR94" s="130" t="n"/>
      <c r="AS94" s="130" t="n">
        <v>0</v>
      </c>
      <c r="AT94" s="130" t="n">
        <v>0</v>
      </c>
      <c r="AU94" s="130" t="n">
        <v>0</v>
      </c>
      <c r="AV94" s="130" t="n">
        <v>0</v>
      </c>
      <c r="AW94" s="130" t="n">
        <v>0</v>
      </c>
      <c r="AX94" s="130" t="n">
        <v>0</v>
      </c>
      <c r="AY94" s="130" t="n">
        <v>0</v>
      </c>
      <c r="AZ94" s="130" t="n"/>
      <c r="BA94" s="130" t="e">
        <v>#DIV/0!</v>
      </c>
      <c r="BB94" s="130" t="e">
        <v>#DIV/0!</v>
      </c>
      <c r="BC94" s="130" t="e">
        <v>#DIV/0!</v>
      </c>
      <c r="BD94" s="130" t="e">
        <v>#DIV/0!</v>
      </c>
      <c r="BE94" s="130" t="e">
        <v>#DIV/0!</v>
      </c>
      <c r="BF94" s="130" t="e">
        <v>#DIV/0!</v>
      </c>
      <c r="BG94" s="130" t="e">
        <v>#DIV/0!</v>
      </c>
      <c r="BH94" s="130" t="e">
        <v>#DIV/0!</v>
      </c>
      <c r="BI94" s="130" t="e">
        <v>#DIV/0!</v>
      </c>
      <c r="BJ94" s="130" t="n">
        <v>0</v>
      </c>
      <c r="BK94" s="130" t="n">
        <v>0</v>
      </c>
      <c r="BL94" s="130" t="n">
        <v>0</v>
      </c>
      <c r="BM94" s="130" t="n">
        <v>0</v>
      </c>
      <c r="BN94" s="130" t="n">
        <v>0</v>
      </c>
      <c r="BO94" s="130" t="n">
        <v>0</v>
      </c>
      <c r="BP94" s="130" t="n">
        <v>0</v>
      </c>
      <c r="BQ94" s="130" t="n">
        <v>0</v>
      </c>
      <c r="BR94" s="136" t="n">
        <v>32514</v>
      </c>
      <c r="BS94" s="136" t="n">
        <v>32514</v>
      </c>
      <c r="BT94" s="130" t="n"/>
      <c r="BU94" s="136" t="n">
        <v>9216</v>
      </c>
      <c r="BV94" s="136" t="n">
        <v>9216</v>
      </c>
      <c r="BW94" s="136" t="n">
        <v>3710</v>
      </c>
      <c r="BX94" s="136" t="n">
        <v>61236</v>
      </c>
      <c r="BY94" s="136" t="n">
        <v>61236</v>
      </c>
      <c r="BZ94" s="136" t="n">
        <v>74162</v>
      </c>
      <c r="CA94" s="130" t="n">
        <v>0.44</v>
      </c>
      <c r="CB94" s="136" t="n">
        <v>1072</v>
      </c>
      <c r="CC94" s="136" t="n">
        <v>74162</v>
      </c>
      <c r="CD94" s="130" t="n">
        <v>0.44</v>
      </c>
      <c r="CE94" s="140" t="n">
        <v>74726</v>
      </c>
      <c r="CF94" s="141" t="n">
        <v>0.44</v>
      </c>
    </row>
    <row r="95">
      <c r="A95" s="116" t="inlineStr">
        <is>
          <t>2025年3月-KOL汇总</t>
        </is>
      </c>
      <c r="B95" s="107" t="n"/>
      <c r="C95" s="108" t="n"/>
      <c r="D95" s="108" t="n"/>
      <c r="E95" s="108" t="n"/>
      <c r="F95" s="108" t="n"/>
      <c r="G95" s="124" t="n"/>
      <c r="H95" s="116" t="n"/>
      <c r="I95" s="116" t="n"/>
      <c r="J95" s="125" t="n">
        <v>313255</v>
      </c>
      <c r="K95" s="117" t="n">
        <v>436</v>
      </c>
      <c r="L95" s="116" t="n">
        <v>718</v>
      </c>
      <c r="M95" s="116" t="n">
        <v>355</v>
      </c>
      <c r="N95" s="116" t="n">
        <v>359</v>
      </c>
      <c r="O95" s="116" t="n">
        <v>389</v>
      </c>
      <c r="P95" s="116" t="n">
        <v>309</v>
      </c>
      <c r="Q95" s="116" t="n">
        <v>324</v>
      </c>
      <c r="R95" s="116" t="n">
        <v>122</v>
      </c>
      <c r="S95" s="116" t="n">
        <v>130</v>
      </c>
      <c r="T95" s="125" t="n">
        <v>596497</v>
      </c>
      <c r="U95" s="125" t="n">
        <v>628301</v>
      </c>
      <c r="V95" s="116" t="n"/>
      <c r="W95" s="125" t="n">
        <v>4833</v>
      </c>
      <c r="X95" s="116" t="n"/>
      <c r="Y95" s="116" t="n"/>
      <c r="Z95" s="135" t="n">
        <v>0.5417999999999999</v>
      </c>
      <c r="AA95" s="126" t="n">
        <v>0.7943</v>
      </c>
      <c r="AB95" s="116" t="n"/>
      <c r="AC95" s="126" t="n">
        <v>0.4207</v>
      </c>
      <c r="AD95" s="126" t="n">
        <v>0.1699</v>
      </c>
      <c r="AE95" s="126" t="n">
        <v>0.1811</v>
      </c>
      <c r="AF95" s="116" t="n"/>
      <c r="AG95" s="116" t="n">
        <v>1.21</v>
      </c>
      <c r="AH95" s="116" t="n"/>
      <c r="AI95" s="116" t="n"/>
      <c r="AJ95" s="116" t="n"/>
      <c r="AK95" s="116" t="n"/>
      <c r="AL95" s="116" t="n"/>
      <c r="AM95" s="116" t="n"/>
      <c r="AN95" s="116" t="n"/>
      <c r="AO95" s="116" t="n"/>
      <c r="AP95" s="116" t="n"/>
      <c r="AQ95" s="116" t="n"/>
      <c r="AR95" s="116" t="n"/>
      <c r="AS95" s="116" t="n"/>
      <c r="AT95" s="116" t="n"/>
      <c r="AU95" s="116" t="n"/>
      <c r="AV95" s="116" t="n"/>
      <c r="AW95" s="116" t="n"/>
      <c r="AX95" s="116" t="n"/>
      <c r="AY95" s="116" t="n"/>
      <c r="AZ95" s="116" t="n"/>
      <c r="BA95" s="116" t="n"/>
      <c r="BB95" s="116" t="n"/>
      <c r="BC95" s="116" t="n"/>
      <c r="BD95" s="116" t="n"/>
      <c r="BE95" s="116" t="n"/>
      <c r="BF95" s="116" t="n"/>
      <c r="BG95" s="116" t="n"/>
      <c r="BH95" s="116" t="n"/>
      <c r="BI95" s="116" t="n"/>
      <c r="BJ95" s="116" t="n"/>
      <c r="BK95" s="116" t="n"/>
      <c r="BL95" s="116" t="n"/>
      <c r="BM95" s="116" t="n"/>
      <c r="BN95" s="116" t="n"/>
      <c r="BO95" s="116" t="n"/>
      <c r="BP95" s="116" t="n"/>
      <c r="BQ95" s="116" t="n"/>
      <c r="BR95" s="116" t="n"/>
      <c r="BS95" s="116" t="n"/>
      <c r="BT95" s="116" t="n"/>
      <c r="BU95" s="116" t="n"/>
      <c r="BV95" s="116" t="n"/>
      <c r="BW95" s="116" t="n"/>
      <c r="BX95" s="116" t="n"/>
      <c r="BY95" s="116" t="n"/>
      <c r="BZ95" s="116" t="n"/>
      <c r="CA95" s="116" t="n"/>
      <c r="CB95" s="116" t="n"/>
      <c r="CC95" s="116" t="n"/>
      <c r="CD95" s="116" t="n"/>
      <c r="CE95" s="128" t="n"/>
      <c r="CF95" s="128" t="n"/>
    </row>
    <row r="96">
      <c r="A96" s="116" t="inlineStr">
        <is>
          <t>2025年4月-KOL汇总</t>
        </is>
      </c>
      <c r="B96" s="107" t="n"/>
      <c r="C96" s="108" t="n"/>
      <c r="D96" s="108" t="n"/>
      <c r="E96" s="108" t="n"/>
      <c r="F96" s="108" t="n"/>
      <c r="G96" s="124" t="n"/>
      <c r="H96" s="116" t="n"/>
      <c r="I96" s="116" t="n"/>
      <c r="J96" s="125" t="n">
        <v>322661</v>
      </c>
      <c r="K96" s="117" t="n">
        <v>571</v>
      </c>
      <c r="L96" s="116" t="n">
        <v>565</v>
      </c>
      <c r="M96" s="116" t="n">
        <v>295</v>
      </c>
      <c r="N96" s="116" t="n">
        <v>306</v>
      </c>
      <c r="O96" s="116" t="n">
        <v>298</v>
      </c>
      <c r="P96" s="116" t="n">
        <v>222</v>
      </c>
      <c r="Q96" s="116" t="n">
        <v>263</v>
      </c>
      <c r="R96" s="116" t="n">
        <v>86</v>
      </c>
      <c r="S96" s="116" t="n">
        <v>105</v>
      </c>
      <c r="T96" s="125" t="n">
        <v>376568</v>
      </c>
      <c r="U96" s="125" t="n">
        <v>450840</v>
      </c>
      <c r="V96" s="116" t="n"/>
      <c r="W96" s="125" t="n">
        <v>4294</v>
      </c>
      <c r="X96" s="126" t="n">
        <v>0.5221</v>
      </c>
      <c r="Y96" s="126" t="n">
        <v>1.0102</v>
      </c>
      <c r="Z96" s="135" t="n">
        <v>0.5274</v>
      </c>
      <c r="AA96" s="126" t="n">
        <v>0.745</v>
      </c>
      <c r="AB96" s="126" t="n">
        <v>0.9604</v>
      </c>
      <c r="AC96" s="126" t="n">
        <v>0.3874</v>
      </c>
      <c r="AD96" s="126" t="n">
        <v>0.1522</v>
      </c>
      <c r="AE96" s="126" t="n">
        <v>0.1858</v>
      </c>
      <c r="AF96" s="125" t="n">
        <v>499865</v>
      </c>
      <c r="AG96" s="116" t="n">
        <v>0.9</v>
      </c>
      <c r="AH96" s="116" t="n">
        <v>273</v>
      </c>
      <c r="AI96" s="116" t="n">
        <v>263</v>
      </c>
      <c r="AJ96" s="116" t="n">
        <v>277</v>
      </c>
      <c r="AK96" s="125" t="n">
        <v>62579</v>
      </c>
      <c r="AL96" s="125" t="n">
        <v>45324</v>
      </c>
      <c r="AM96" s="125" t="n">
        <v>40420</v>
      </c>
      <c r="AN96" s="125" t="n">
        <v>5584</v>
      </c>
      <c r="AO96" s="125" t="n">
        <v>23297</v>
      </c>
      <c r="AP96" s="116" t="n">
        <v>20</v>
      </c>
      <c r="AQ96" s="116" t="n">
        <v>18</v>
      </c>
      <c r="AR96" s="116" t="n"/>
      <c r="AS96" s="116" t="n">
        <v>18</v>
      </c>
      <c r="AT96" s="116" t="n">
        <v>11</v>
      </c>
      <c r="AU96" s="116" t="n">
        <v>13</v>
      </c>
      <c r="AV96" s="116" t="n">
        <v>0</v>
      </c>
      <c r="AW96" s="116" t="n">
        <v>0</v>
      </c>
      <c r="AX96" s="116" t="n">
        <v>0</v>
      </c>
      <c r="AY96" s="116" t="n">
        <v>0</v>
      </c>
      <c r="AZ96" s="116" t="n"/>
      <c r="BA96" s="116" t="e">
        <v>#DIV/0!</v>
      </c>
      <c r="BB96" s="126" t="n">
        <v>0.9</v>
      </c>
      <c r="BC96" s="126" t="n">
        <v>1</v>
      </c>
      <c r="BD96" s="126" t="n">
        <v>0.9</v>
      </c>
      <c r="BE96" s="126" t="n">
        <v>0.6111</v>
      </c>
      <c r="BF96" s="126" t="n">
        <v>0.65</v>
      </c>
      <c r="BG96" s="126" t="n">
        <v>0</v>
      </c>
      <c r="BH96" s="126" t="n">
        <v>0</v>
      </c>
      <c r="BI96" s="126" t="n">
        <v>0</v>
      </c>
      <c r="BJ96" s="116" t="n">
        <v>20</v>
      </c>
      <c r="BK96" s="116" t="n">
        <v>13</v>
      </c>
      <c r="BL96" s="116" t="n">
        <v>14</v>
      </c>
      <c r="BM96" s="125" t="n">
        <v>2093</v>
      </c>
      <c r="BN96" s="125" t="n">
        <v>2050</v>
      </c>
      <c r="BO96" s="116" t="n">
        <v>0</v>
      </c>
      <c r="BP96" s="116" t="n">
        <v>198</v>
      </c>
      <c r="BQ96" s="125" t="n">
        <v>1114</v>
      </c>
      <c r="BR96" s="125" t="n">
        <v>376568</v>
      </c>
      <c r="BS96" s="125" t="n">
        <v>450840</v>
      </c>
      <c r="BT96" s="116" t="n"/>
      <c r="BU96" s="125" t="n">
        <v>118576</v>
      </c>
      <c r="BV96" s="125" t="n">
        <v>106102</v>
      </c>
      <c r="BW96" s="125" t="n">
        <v>64881</v>
      </c>
      <c r="BX96" s="125" t="n">
        <v>322661</v>
      </c>
      <c r="BY96" s="125" t="n">
        <v>322661</v>
      </c>
      <c r="BZ96" s="125" t="n">
        <v>493644</v>
      </c>
      <c r="CA96" s="116" t="n">
        <v>0.76</v>
      </c>
      <c r="CB96" s="116" t="n"/>
      <c r="CC96" s="125" t="n">
        <v>506118</v>
      </c>
      <c r="CD96" s="116" t="n">
        <v>0.89</v>
      </c>
      <c r="CE96" s="127" t="n">
        <v>485262</v>
      </c>
      <c r="CF96" s="128" t="n">
        <v>0.93</v>
      </c>
    </row>
    <row r="97">
      <c r="A97" s="116" t="inlineStr">
        <is>
          <t>2025年5月-KOL汇总</t>
        </is>
      </c>
      <c r="B97" s="107" t="n"/>
      <c r="C97" s="108" t="n"/>
      <c r="D97" s="108" t="n"/>
      <c r="E97" s="108" t="n"/>
      <c r="F97" s="108" t="n"/>
      <c r="G97" s="124" t="n"/>
      <c r="H97" s="116" t="n"/>
      <c r="I97" s="116" t="n"/>
      <c r="J97" s="125" t="n">
        <v>741958</v>
      </c>
      <c r="K97" s="117" t="n">
        <v>687</v>
      </c>
      <c r="L97" s="116" t="n">
        <v>1080</v>
      </c>
      <c r="M97" s="116" t="n">
        <v>473</v>
      </c>
      <c r="N97" s="116" t="n">
        <v>494</v>
      </c>
      <c r="O97" s="116" t="n">
        <v>480</v>
      </c>
      <c r="P97" s="116" t="n">
        <v>357</v>
      </c>
      <c r="Q97" s="116" t="n">
        <v>420</v>
      </c>
      <c r="R97" s="116" t="n">
        <v>132</v>
      </c>
      <c r="S97" s="116" t="n">
        <v>152</v>
      </c>
      <c r="T97" s="125" t="n">
        <v>661648</v>
      </c>
      <c r="U97" s="125" t="n">
        <v>751499</v>
      </c>
      <c r="V97" s="126" t="n">
        <v>1</v>
      </c>
      <c r="W97" s="125" t="n">
        <v>4944</v>
      </c>
      <c r="X97" s="126" t="n">
        <v>0.438</v>
      </c>
      <c r="Y97" s="126" t="n">
        <v>1.015</v>
      </c>
      <c r="Z97" s="135" t="n">
        <v>0.444</v>
      </c>
      <c r="AA97" s="126" t="n">
        <v>0.744</v>
      </c>
      <c r="AB97" s="126" t="n">
        <v>0.9399999999999999</v>
      </c>
      <c r="AC97" s="126" t="n">
        <v>0.37</v>
      </c>
      <c r="AD97" s="126" t="n">
        <v>0.122</v>
      </c>
      <c r="AE97" s="126" t="n">
        <v>0.141</v>
      </c>
      <c r="AF97" s="125" t="n">
        <v>985972</v>
      </c>
      <c r="AG97" s="116" t="n">
        <v>0.76</v>
      </c>
      <c r="AH97" s="116" t="n">
        <v>447</v>
      </c>
      <c r="AI97" s="116" t="n">
        <v>420</v>
      </c>
      <c r="AJ97" s="116" t="n">
        <v>461</v>
      </c>
      <c r="AK97" s="125" t="n">
        <v>61232</v>
      </c>
      <c r="AL97" s="125" t="n">
        <v>60625</v>
      </c>
      <c r="AM97" s="125" t="n">
        <v>72071</v>
      </c>
      <c r="AN97" s="125" t="n">
        <v>10043</v>
      </c>
      <c r="AO97" s="125" t="n">
        <v>40043</v>
      </c>
      <c r="AP97" s="116" t="n">
        <v>6</v>
      </c>
      <c r="AQ97" s="116" t="n">
        <v>5</v>
      </c>
      <c r="AR97" s="116" t="n">
        <v>6</v>
      </c>
      <c r="AS97" s="116" t="n">
        <v>5</v>
      </c>
      <c r="AT97" s="116" t="n">
        <v>3</v>
      </c>
      <c r="AU97" s="116" t="n">
        <v>6</v>
      </c>
      <c r="AV97" s="116" t="n">
        <v>0</v>
      </c>
      <c r="AW97" s="116" t="n">
        <v>0</v>
      </c>
      <c r="AX97" s="116" t="n">
        <v>0</v>
      </c>
      <c r="AY97" s="116" t="n">
        <v>0</v>
      </c>
      <c r="AZ97" s="116" t="n"/>
      <c r="BA97" s="116" t="n"/>
      <c r="BB97" s="126" t="n">
        <v>0.833</v>
      </c>
      <c r="BC97" s="126" t="n">
        <v>1</v>
      </c>
      <c r="BD97" s="126" t="n">
        <v>0.833</v>
      </c>
      <c r="BE97" s="126" t="n">
        <v>0.6</v>
      </c>
      <c r="BF97" s="126" t="n">
        <v>0.75</v>
      </c>
      <c r="BG97" s="126" t="n">
        <v>0</v>
      </c>
      <c r="BH97" s="126" t="n">
        <v>0</v>
      </c>
      <c r="BI97" s="126" t="n">
        <v>0</v>
      </c>
      <c r="BJ97" s="116" t="n">
        <v>8</v>
      </c>
      <c r="BK97" s="116" t="n">
        <v>6</v>
      </c>
      <c r="BL97" s="116" t="n">
        <v>6</v>
      </c>
      <c r="BM97" s="116" t="n">
        <v>281</v>
      </c>
      <c r="BN97" s="116" t="n">
        <v>656</v>
      </c>
      <c r="BO97" s="116" t="n">
        <v>0</v>
      </c>
      <c r="BP97" s="116" t="n">
        <v>56</v>
      </c>
      <c r="BQ97" s="116" t="n">
        <v>466</v>
      </c>
      <c r="BR97" s="125" t="n">
        <v>661648</v>
      </c>
      <c r="BS97" s="125" t="n">
        <v>751499</v>
      </c>
      <c r="BT97" s="126" t="n">
        <v>1</v>
      </c>
      <c r="BU97" s="125" t="n">
        <v>183959</v>
      </c>
      <c r="BV97" s="125" t="n">
        <v>166082</v>
      </c>
      <c r="BW97" s="125" t="n">
        <v>61514</v>
      </c>
      <c r="BX97" s="125" t="n">
        <v>741958</v>
      </c>
      <c r="BY97" s="125" t="n">
        <v>741958</v>
      </c>
      <c r="BZ97" s="125" t="n">
        <v>969554</v>
      </c>
      <c r="CA97" s="116" t="n">
        <v>0.68</v>
      </c>
      <c r="CB97" s="116" t="n"/>
      <c r="CC97" s="125" t="n">
        <v>987431</v>
      </c>
      <c r="CD97" s="116" t="n">
        <v>0.76</v>
      </c>
      <c r="CE97" s="127" t="n">
        <v>1007367</v>
      </c>
      <c r="CF97" s="128" t="n">
        <v>0.75</v>
      </c>
    </row>
    <row r="98">
      <c r="A98" s="116" t="inlineStr">
        <is>
          <t>2025年6月-KOL汇总</t>
        </is>
      </c>
      <c r="B98" s="107" t="n"/>
      <c r="C98" s="108" t="n"/>
      <c r="D98" s="108" t="n"/>
      <c r="E98" s="108" t="n"/>
      <c r="F98" s="108" t="n"/>
      <c r="G98" s="124" t="n"/>
      <c r="H98" s="116" t="n"/>
      <c r="I98" s="125" t="n">
        <v>739702</v>
      </c>
      <c r="J98" s="125" t="n">
        <v>703268</v>
      </c>
      <c r="K98" s="117" t="n">
        <v>773</v>
      </c>
      <c r="L98" s="116" t="n">
        <v>956</v>
      </c>
      <c r="M98" s="116" t="n">
        <v>500</v>
      </c>
      <c r="N98" s="116" t="n">
        <v>522</v>
      </c>
      <c r="O98" s="116" t="n">
        <v>514</v>
      </c>
      <c r="P98" s="116" t="n">
        <v>395</v>
      </c>
      <c r="Q98" s="116" t="n">
        <v>484</v>
      </c>
      <c r="R98" s="116" t="n">
        <v>160</v>
      </c>
      <c r="S98" s="116" t="n">
        <v>198</v>
      </c>
      <c r="T98" s="125" t="n">
        <v>772461</v>
      </c>
      <c r="U98" s="125" t="n">
        <v>948905</v>
      </c>
      <c r="V98" s="126" t="n">
        <v>1</v>
      </c>
      <c r="W98" s="125" t="n">
        <v>4792</v>
      </c>
      <c r="X98" s="126" t="n">
        <v>0.523</v>
      </c>
      <c r="Y98" s="126" t="n">
        <v>1.028</v>
      </c>
      <c r="Z98" s="135" t="n">
        <v>0.538</v>
      </c>
      <c r="AA98" s="126" t="n">
        <v>0.768</v>
      </c>
      <c r="AB98" s="126" t="n">
        <v>0.9379999999999999</v>
      </c>
      <c r="AC98" s="126" t="n">
        <v>0.405</v>
      </c>
      <c r="AD98" s="126" t="n">
        <v>0.167</v>
      </c>
      <c r="AE98" s="126" t="n">
        <v>0.207</v>
      </c>
      <c r="AF98" s="125" t="n">
        <v>1003279</v>
      </c>
      <c r="AG98" s="116" t="n">
        <v>0.95</v>
      </c>
      <c r="AH98" s="116" t="n">
        <v>516</v>
      </c>
      <c r="AI98" s="116" t="n">
        <v>484</v>
      </c>
      <c r="AJ98" s="116" t="n">
        <v>546</v>
      </c>
      <c r="AK98" s="125" t="n">
        <v>59630</v>
      </c>
      <c r="AL98" s="125" t="n">
        <v>58665</v>
      </c>
      <c r="AM98" s="125" t="n">
        <v>91601</v>
      </c>
      <c r="AN98" s="125" t="n">
        <v>7721</v>
      </c>
      <c r="AO98" s="125" t="n">
        <v>47150</v>
      </c>
      <c r="AP98" s="116" t="n">
        <v>392</v>
      </c>
      <c r="AQ98" s="116" t="n">
        <v>164</v>
      </c>
      <c r="AR98" s="116" t="n">
        <v>164</v>
      </c>
      <c r="AS98" s="116" t="n">
        <v>164</v>
      </c>
      <c r="AT98" s="116" t="n">
        <v>95</v>
      </c>
      <c r="AU98" s="116" t="n">
        <v>98</v>
      </c>
      <c r="AV98" s="116" t="n">
        <v>12</v>
      </c>
      <c r="AW98" s="116" t="n">
        <v>12</v>
      </c>
      <c r="AX98" s="125" t="n">
        <v>42561</v>
      </c>
      <c r="AY98" s="116" t="n">
        <v>42561</v>
      </c>
      <c r="AZ98" s="126" t="n">
        <v>1</v>
      </c>
      <c r="BA98" s="116" t="n">
        <v>3547</v>
      </c>
      <c r="BB98" s="126" t="n">
        <v>0.418</v>
      </c>
      <c r="BC98" s="126" t="n">
        <v>1</v>
      </c>
      <c r="BD98" s="126" t="n">
        <v>0.418</v>
      </c>
      <c r="BE98" s="126" t="n">
        <v>0.579</v>
      </c>
      <c r="BF98" s="126" t="n">
        <v>0.587</v>
      </c>
      <c r="BG98" s="126" t="n">
        <v>0.126</v>
      </c>
      <c r="BH98" s="126" t="n">
        <v>0.031</v>
      </c>
      <c r="BI98" s="126" t="n">
        <v>0.031</v>
      </c>
      <c r="BJ98" s="116" t="n">
        <v>167</v>
      </c>
      <c r="BK98" s="116" t="n">
        <v>98</v>
      </c>
      <c r="BL98" s="116" t="n">
        <v>104</v>
      </c>
      <c r="BM98" s="125" t="n">
        <v>21944</v>
      </c>
      <c r="BN98" s="125" t="n">
        <v>14753</v>
      </c>
      <c r="BO98" s="125" t="n">
        <v>4423</v>
      </c>
      <c r="BP98" s="125" t="n">
        <v>3166</v>
      </c>
      <c r="BQ98" s="125" t="n">
        <v>8210</v>
      </c>
      <c r="BR98" s="125" t="n">
        <v>815022</v>
      </c>
      <c r="BS98" s="125" t="n">
        <v>991466</v>
      </c>
      <c r="BT98" s="126" t="n">
        <v>1</v>
      </c>
      <c r="BU98" s="125" t="n">
        <v>236141</v>
      </c>
      <c r="BV98" s="125" t="n">
        <v>206727</v>
      </c>
      <c r="BW98" s="125" t="n">
        <v>81742</v>
      </c>
      <c r="BX98" s="125" t="n">
        <v>739702</v>
      </c>
      <c r="BY98" s="125" t="n">
        <v>732937</v>
      </c>
      <c r="BZ98" s="125" t="n">
        <v>1021406</v>
      </c>
      <c r="CA98" s="116" t="n">
        <v>0.8</v>
      </c>
      <c r="CB98" s="155" t="n">
        <v>36434</v>
      </c>
      <c r="CC98" s="125" t="n">
        <v>1057584</v>
      </c>
      <c r="CD98" s="116" t="n">
        <v>0.9399999999999999</v>
      </c>
      <c r="CE98" s="127" t="n">
        <v>1077167</v>
      </c>
      <c r="CF98" s="128" t="n">
        <v>0.92</v>
      </c>
    </row>
    <row r="99">
      <c r="A99" s="116" t="inlineStr">
        <is>
          <t>2025年7月-KOL汇总</t>
        </is>
      </c>
      <c r="B99" s="107" t="n"/>
      <c r="C99" s="108" t="n"/>
      <c r="D99" s="108" t="n"/>
      <c r="E99" s="108" t="n"/>
      <c r="F99" s="108" t="n"/>
      <c r="G99" s="124" t="n"/>
      <c r="H99" s="116" t="n"/>
      <c r="I99" s="125" t="n">
        <v>644963</v>
      </c>
      <c r="J99" s="125" t="n">
        <v>621204</v>
      </c>
      <c r="K99" s="117" t="n">
        <v>969</v>
      </c>
      <c r="L99" s="116" t="n">
        <v>665</v>
      </c>
      <c r="M99" s="116" t="n">
        <v>345</v>
      </c>
      <c r="N99" s="116" t="n">
        <v>376</v>
      </c>
      <c r="O99" s="116" t="n">
        <v>359</v>
      </c>
      <c r="P99" s="116" t="n">
        <v>282</v>
      </c>
      <c r="Q99" s="116" t="n">
        <v>367</v>
      </c>
      <c r="R99" s="116" t="n">
        <v>93</v>
      </c>
      <c r="S99" s="116" t="n">
        <v>133</v>
      </c>
      <c r="T99" s="125" t="n">
        <v>449484</v>
      </c>
      <c r="U99" s="125" t="n">
        <v>631604</v>
      </c>
      <c r="V99" s="126" t="n">
        <v>1</v>
      </c>
      <c r="W99" s="125" t="n">
        <v>4749</v>
      </c>
      <c r="X99" s="126" t="n">
        <v>0.519</v>
      </c>
      <c r="Y99" s="126" t="n">
        <v>1.041</v>
      </c>
      <c r="Z99" s="135" t="n">
        <v>0.54</v>
      </c>
      <c r="AA99" s="126" t="n">
        <v>0.786</v>
      </c>
      <c r="AB99" s="126" t="n">
        <v>0.951</v>
      </c>
      <c r="AC99" s="126" t="n">
        <v>0.33</v>
      </c>
      <c r="AD99" s="126" t="n">
        <v>0.14</v>
      </c>
      <c r="AE99" s="126" t="n">
        <v>0.2</v>
      </c>
      <c r="AF99" s="125" t="n">
        <v>820604</v>
      </c>
      <c r="AG99" s="116" t="n">
        <v>0.77</v>
      </c>
      <c r="AH99" s="116" t="n">
        <v>386</v>
      </c>
      <c r="AI99" s="116" t="n">
        <v>367</v>
      </c>
      <c r="AJ99" s="116" t="n">
        <v>405</v>
      </c>
      <c r="AK99" s="125" t="n">
        <v>29263</v>
      </c>
      <c r="AL99" s="125" t="n">
        <v>39455</v>
      </c>
      <c r="AM99" s="125" t="n">
        <v>64675</v>
      </c>
      <c r="AN99" s="125" t="n">
        <v>6845</v>
      </c>
      <c r="AO99" s="125" t="n">
        <v>35697</v>
      </c>
      <c r="AP99" s="116" t="n">
        <v>4</v>
      </c>
      <c r="AQ99" s="116" t="n">
        <v>3</v>
      </c>
      <c r="AR99" s="116" t="n">
        <v>5</v>
      </c>
      <c r="AS99" s="116" t="n">
        <v>4</v>
      </c>
      <c r="AT99" s="116" t="n">
        <v>2</v>
      </c>
      <c r="AU99" s="116" t="n">
        <v>4</v>
      </c>
      <c r="AV99" s="116" t="n">
        <v>0</v>
      </c>
      <c r="AW99" s="116" t="n">
        <v>3</v>
      </c>
      <c r="AX99" s="116" t="n">
        <v>0</v>
      </c>
      <c r="AY99" s="116" t="n">
        <v>5640</v>
      </c>
      <c r="AZ99" s="126" t="n">
        <v>1</v>
      </c>
      <c r="BA99" s="116" t="n">
        <v>1880</v>
      </c>
      <c r="BB99" s="126" t="n">
        <v>0.75</v>
      </c>
      <c r="BC99" s="126" t="n">
        <v>1.333</v>
      </c>
      <c r="BD99" s="126" t="n">
        <v>1</v>
      </c>
      <c r="BE99" s="126" t="n">
        <v>0.5</v>
      </c>
      <c r="BF99" s="126" t="n">
        <v>0.5</v>
      </c>
      <c r="BG99" s="126" t="n">
        <v>0</v>
      </c>
      <c r="BH99" s="126" t="n">
        <v>0</v>
      </c>
      <c r="BI99" s="126" t="n">
        <v>0.75</v>
      </c>
      <c r="BJ99" s="116" t="n">
        <v>8</v>
      </c>
      <c r="BK99" s="116" t="n">
        <v>4</v>
      </c>
      <c r="BL99" s="116" t="n">
        <v>4</v>
      </c>
      <c r="BM99" s="116" t="n">
        <v>0</v>
      </c>
      <c r="BN99" s="116" t="n">
        <v>474</v>
      </c>
      <c r="BO99" s="116" t="n">
        <v>592</v>
      </c>
      <c r="BP99" s="116" t="n">
        <v>41</v>
      </c>
      <c r="BQ99" s="116" t="n">
        <v>329</v>
      </c>
      <c r="BR99" s="125" t="n">
        <v>449484</v>
      </c>
      <c r="BS99" s="125" t="n">
        <v>637244</v>
      </c>
      <c r="BT99" s="126" t="n">
        <v>1</v>
      </c>
      <c r="BU99" s="125" t="n">
        <v>148109</v>
      </c>
      <c r="BV99" s="125" t="n">
        <v>116888</v>
      </c>
      <c r="BW99" s="125" t="n">
        <v>29263</v>
      </c>
      <c r="BX99" s="125" t="n">
        <v>644963</v>
      </c>
      <c r="BY99" s="125" t="n">
        <v>637611</v>
      </c>
      <c r="BZ99" s="125" t="n">
        <v>783762</v>
      </c>
      <c r="CA99" s="116" t="n">
        <v>0.57</v>
      </c>
      <c r="CB99" s="155" t="n">
        <v>23760</v>
      </c>
      <c r="CC99" s="125" t="n">
        <v>822336</v>
      </c>
      <c r="CD99" s="116" t="n">
        <v>0.77</v>
      </c>
      <c r="CE99" s="127" t="n">
        <v>843248</v>
      </c>
      <c r="CF99" s="128" t="n">
        <v>0.76</v>
      </c>
    </row>
    <row r="100">
      <c r="A100" s="116" t="inlineStr">
        <is>
          <t>2025年8月-KOL汇总</t>
        </is>
      </c>
      <c r="B100" s="107" t="n"/>
      <c r="C100" s="108" t="n"/>
      <c r="D100" s="108" t="n"/>
      <c r="E100" s="108" t="n"/>
      <c r="F100" s="108" t="n"/>
      <c r="G100" s="124" t="n"/>
      <c r="H100" s="116" t="n"/>
      <c r="I100" s="125" t="n">
        <v>626588</v>
      </c>
      <c r="J100" s="125" t="n">
        <v>604308</v>
      </c>
      <c r="K100" s="117" t="n">
        <v>644</v>
      </c>
      <c r="L100" s="116" t="n">
        <v>973</v>
      </c>
      <c r="M100" s="116" t="n">
        <v>355</v>
      </c>
      <c r="N100" s="116" t="n">
        <v>379</v>
      </c>
      <c r="O100" s="116" t="n">
        <v>357</v>
      </c>
      <c r="P100" s="116" t="n">
        <v>267</v>
      </c>
      <c r="Q100" s="116" t="n">
        <v>340</v>
      </c>
      <c r="R100" s="116" t="n">
        <v>101</v>
      </c>
      <c r="S100" s="116" t="n">
        <v>126</v>
      </c>
      <c r="T100" s="125" t="n">
        <v>519388</v>
      </c>
      <c r="U100" s="125" t="n">
        <v>619388</v>
      </c>
      <c r="V100" s="126" t="n">
        <v>1</v>
      </c>
      <c r="W100" s="125" t="n">
        <v>4916</v>
      </c>
      <c r="X100" s="126" t="n">
        <v>0.365</v>
      </c>
      <c r="Y100" s="126" t="n">
        <v>1.006</v>
      </c>
      <c r="Z100" s="135" t="n">
        <v>0.367</v>
      </c>
      <c r="AA100" s="126" t="n">
        <v>0.748</v>
      </c>
      <c r="AB100" s="126" t="n">
        <v>0.997</v>
      </c>
      <c r="AC100" s="126" t="n">
        <v>0.378</v>
      </c>
      <c r="AD100" s="126" t="n">
        <v>0.104</v>
      </c>
      <c r="AE100" s="126" t="n">
        <v>0.129</v>
      </c>
      <c r="AF100" s="125" t="n">
        <v>867715</v>
      </c>
      <c r="AG100" s="116" t="n">
        <v>0.71</v>
      </c>
      <c r="AH100" s="116" t="n">
        <v>341</v>
      </c>
      <c r="AI100" s="116" t="n">
        <v>340</v>
      </c>
      <c r="AJ100" s="116" t="n">
        <v>378</v>
      </c>
      <c r="AK100" s="125" t="n">
        <v>87842</v>
      </c>
      <c r="AL100" s="125" t="n">
        <v>46813</v>
      </c>
      <c r="AM100" s="125" t="n">
        <v>63424</v>
      </c>
      <c r="AN100" s="125" t="n">
        <v>9730</v>
      </c>
      <c r="AO100" s="125" t="n">
        <v>33317</v>
      </c>
      <c r="AP100" s="116" t="n">
        <v>0</v>
      </c>
      <c r="AQ100" s="116" t="n">
        <v>0</v>
      </c>
      <c r="AR100" s="116" t="n">
        <v>0</v>
      </c>
      <c r="AS100" s="116" t="n">
        <v>0</v>
      </c>
      <c r="AT100" s="116" t="n">
        <v>0</v>
      </c>
      <c r="AU100" s="116" t="n">
        <v>1</v>
      </c>
      <c r="AV100" s="116" t="n">
        <v>0</v>
      </c>
      <c r="AW100" s="116" t="n">
        <v>0</v>
      </c>
      <c r="AX100" s="116" t="n">
        <v>0</v>
      </c>
      <c r="AY100" s="116" t="n">
        <v>0</v>
      </c>
      <c r="AZ100" s="116" t="n"/>
      <c r="BA100" s="116" t="n"/>
      <c r="BB100" s="116" t="n"/>
      <c r="BC100" s="116" t="n"/>
      <c r="BD100" s="116" t="n"/>
      <c r="BE100" s="116" t="n"/>
      <c r="BF100" s="126" t="n">
        <v>1</v>
      </c>
      <c r="BG100" s="116" t="n"/>
      <c r="BH100" s="116" t="n"/>
      <c r="BI100" s="116" t="n"/>
      <c r="BJ100" s="116" t="n">
        <v>1</v>
      </c>
      <c r="BK100" s="116" t="n">
        <v>1</v>
      </c>
      <c r="BL100" s="116" t="n">
        <v>1</v>
      </c>
      <c r="BM100" s="116" t="n">
        <v>0</v>
      </c>
      <c r="BN100" s="116" t="n">
        <v>0</v>
      </c>
      <c r="BO100" s="116" t="n">
        <v>0</v>
      </c>
      <c r="BP100" s="116" t="n">
        <v>0</v>
      </c>
      <c r="BQ100" s="116" t="n">
        <v>80</v>
      </c>
      <c r="BR100" s="125" t="n">
        <v>519388</v>
      </c>
      <c r="BS100" s="125" t="n">
        <v>619388</v>
      </c>
      <c r="BT100" s="126" t="n">
        <v>1</v>
      </c>
      <c r="BU100" s="125" t="n">
        <v>153365</v>
      </c>
      <c r="BV100" s="125" t="n">
        <v>132941</v>
      </c>
      <c r="BW100" s="125" t="n">
        <v>87842</v>
      </c>
      <c r="BX100" s="125" t="n">
        <v>626588</v>
      </c>
      <c r="BY100" s="125" t="n">
        <v>622167</v>
      </c>
      <c r="BZ100" s="125" t="n">
        <v>842951</v>
      </c>
      <c r="CA100" s="116" t="n">
        <v>0.62</v>
      </c>
      <c r="CB100" s="155" t="n">
        <v>22279</v>
      </c>
      <c r="CC100" s="125" t="n">
        <v>867795</v>
      </c>
      <c r="CD100" s="116" t="n">
        <v>0.71</v>
      </c>
      <c r="CE100" s="127" t="n">
        <v>852928</v>
      </c>
      <c r="CF100" s="128" t="n">
        <v>0.73</v>
      </c>
    </row>
    <row r="101">
      <c r="A101" s="116" t="inlineStr">
        <is>
          <t>2025年9月-KOL汇总</t>
        </is>
      </c>
      <c r="B101" s="107" t="n"/>
      <c r="C101" s="108" t="n"/>
      <c r="D101" s="108" t="n"/>
      <c r="E101" s="108" t="n"/>
      <c r="F101" s="108" t="n"/>
      <c r="G101" s="124" t="n"/>
      <c r="H101" s="116" t="e">
        <v>#REF!</v>
      </c>
      <c r="I101" s="96" t="n">
        <v>836304</v>
      </c>
      <c r="J101" s="96" t="n">
        <v>807722</v>
      </c>
      <c r="K101" s="95" t="n">
        <v>547</v>
      </c>
      <c r="L101" s="95" t="n">
        <v>1530</v>
      </c>
      <c r="M101" s="95" t="n">
        <v>488</v>
      </c>
      <c r="N101" s="95" t="n">
        <v>504</v>
      </c>
      <c r="O101" s="95" t="n">
        <v>486</v>
      </c>
      <c r="P101" s="95" t="n">
        <v>368</v>
      </c>
      <c r="Q101" s="95" t="n">
        <v>429</v>
      </c>
      <c r="R101" s="95" t="n">
        <v>132</v>
      </c>
      <c r="S101" s="95" t="n">
        <v>160</v>
      </c>
      <c r="T101" s="96" t="n">
        <v>670516</v>
      </c>
      <c r="U101" s="96" t="n">
        <v>791080</v>
      </c>
      <c r="V101" s="97" t="n">
        <v>1</v>
      </c>
      <c r="W101" s="96" t="n">
        <v>4944</v>
      </c>
      <c r="X101" s="97" t="n">
        <v>0.319</v>
      </c>
      <c r="Y101" s="97" t="n">
        <v>0.996</v>
      </c>
      <c r="Z101" s="102" t="n">
        <v>0.318</v>
      </c>
      <c r="AA101" s="97" t="n">
        <v>0.757</v>
      </c>
      <c r="AB101" s="97" t="n">
        <v>0.982</v>
      </c>
      <c r="AC101" s="97" t="n">
        <v>0.359</v>
      </c>
      <c r="AD101" s="97" t="n">
        <v>0.08599999999999999</v>
      </c>
      <c r="AE101" s="97" t="n">
        <v>0.105</v>
      </c>
      <c r="AF101" s="96" t="n">
        <v>1169735</v>
      </c>
      <c r="AG101" s="95" t="n">
        <v>0.68</v>
      </c>
      <c r="AH101" s="95" t="n">
        <v>437</v>
      </c>
      <c r="AI101" s="95" t="n">
        <v>429</v>
      </c>
      <c r="AJ101" s="95" t="n">
        <v>477</v>
      </c>
      <c r="AK101" s="96" t="n">
        <v>115926</v>
      </c>
      <c r="AL101" s="96" t="n">
        <v>72873</v>
      </c>
      <c r="AM101" s="96" t="n">
        <v>88821</v>
      </c>
      <c r="AN101" s="96" t="n">
        <v>15300</v>
      </c>
      <c r="AO101" s="96" t="n">
        <v>40511</v>
      </c>
      <c r="AP101" s="95" t="n">
        <v>0</v>
      </c>
      <c r="AQ101" s="95" t="n">
        <v>0</v>
      </c>
      <c r="AR101" s="95" t="n">
        <v>1</v>
      </c>
      <c r="AS101" s="95" t="n">
        <v>0</v>
      </c>
      <c r="AT101" s="95" t="n">
        <v>0</v>
      </c>
      <c r="AU101" s="95" t="n">
        <v>0</v>
      </c>
      <c r="AV101" s="95" t="n">
        <v>0</v>
      </c>
      <c r="AW101" s="95" t="n">
        <v>0</v>
      </c>
      <c r="AX101" s="95" t="n">
        <v>0</v>
      </c>
      <c r="AY101" s="95" t="n">
        <v>0</v>
      </c>
      <c r="AZ101" s="95" t="n"/>
      <c r="BA101" s="95" t="n"/>
      <c r="BB101" s="95" t="n"/>
      <c r="BC101" s="95" t="n"/>
      <c r="BD101" s="95" t="n"/>
      <c r="BE101" s="95" t="n"/>
      <c r="BF101" s="95" t="n"/>
      <c r="BG101" s="95" t="n"/>
      <c r="BH101" s="95" t="n"/>
      <c r="BI101" s="95" t="n"/>
      <c r="BJ101" s="95" t="n">
        <v>0</v>
      </c>
      <c r="BK101" s="95" t="n">
        <v>0</v>
      </c>
      <c r="BL101" s="95" t="n">
        <v>0</v>
      </c>
      <c r="BM101" s="95" t="n">
        <v>0</v>
      </c>
      <c r="BN101" s="95" t="n">
        <v>95</v>
      </c>
      <c r="BO101" s="95" t="n">
        <v>0</v>
      </c>
      <c r="BP101" s="95" t="n">
        <v>0</v>
      </c>
      <c r="BQ101" s="95" t="n">
        <v>0</v>
      </c>
      <c r="BR101" s="96" t="n">
        <v>670516</v>
      </c>
      <c r="BS101" s="96" t="n">
        <v>791080</v>
      </c>
      <c r="BT101" s="97" t="n">
        <v>1</v>
      </c>
      <c r="BU101" s="96" t="n">
        <v>217600</v>
      </c>
      <c r="BV101" s="96" t="n">
        <v>195455</v>
      </c>
      <c r="BW101" s="96" t="n">
        <v>115926</v>
      </c>
      <c r="BX101" s="96" t="n">
        <v>836304</v>
      </c>
      <c r="BY101" s="96" t="n">
        <v>831302</v>
      </c>
      <c r="BZ101" s="96" t="n">
        <v>1142683</v>
      </c>
      <c r="CA101" s="95" t="n">
        <v>0.59</v>
      </c>
      <c r="CB101" s="96" t="n">
        <v>28582</v>
      </c>
      <c r="CC101" s="96" t="n">
        <v>1169830</v>
      </c>
      <c r="CD101" s="95" t="n">
        <v>0.68</v>
      </c>
      <c r="CE101" s="96" t="n">
        <v>1168654</v>
      </c>
      <c r="CF101" s="95" t="n">
        <v>0.68</v>
      </c>
    </row>
    <row r="102">
      <c r="A102" s="116" t="inlineStr">
        <is>
          <t>2025年10月-KOL汇总</t>
        </is>
      </c>
      <c r="B102" s="107" t="n"/>
      <c r="C102" s="108" t="n"/>
      <c r="D102" s="108" t="n"/>
      <c r="E102" s="108" t="n"/>
      <c r="F102" s="108" t="n"/>
      <c r="G102" s="124" t="n"/>
      <c r="H102" s="116" t="n"/>
      <c r="I102" s="125" t="n">
        <v>895008</v>
      </c>
      <c r="J102" s="125" t="n">
        <v>875893</v>
      </c>
      <c r="K102" s="117" t="n">
        <v>485</v>
      </c>
      <c r="L102" s="116" t="n">
        <v>1847</v>
      </c>
      <c r="M102" s="116" t="n">
        <v>392</v>
      </c>
      <c r="N102" s="116" t="n">
        <v>409</v>
      </c>
      <c r="O102" s="116" t="n">
        <v>398</v>
      </c>
      <c r="P102" s="116" t="n">
        <v>287</v>
      </c>
      <c r="Q102" s="116" t="n">
        <v>336</v>
      </c>
      <c r="R102" s="116" t="n">
        <v>88</v>
      </c>
      <c r="S102" s="116" t="n">
        <v>107</v>
      </c>
      <c r="T102" s="125" t="n">
        <v>546314</v>
      </c>
      <c r="U102" s="125" t="n">
        <v>649028</v>
      </c>
      <c r="V102" s="126" t="n">
        <v>1</v>
      </c>
      <c r="W102" s="125" t="n">
        <v>6066</v>
      </c>
      <c r="X102" s="126" t="n">
        <v>0.212</v>
      </c>
      <c r="Y102" s="126" t="n">
        <v>1.015</v>
      </c>
      <c r="Z102" s="135" t="n">
        <v>0.215</v>
      </c>
      <c r="AA102" s="126" t="n">
        <v>0.721</v>
      </c>
      <c r="AB102" s="126" t="n">
        <v>0.988</v>
      </c>
      <c r="AC102" s="126" t="n">
        <v>0.307</v>
      </c>
      <c r="AD102" s="126" t="n">
        <v>0.048</v>
      </c>
      <c r="AE102" s="126" t="n">
        <v>0.058</v>
      </c>
      <c r="AF102" s="125" t="n">
        <v>1189315</v>
      </c>
      <c r="AG102" s="116" t="n">
        <v>0.55</v>
      </c>
      <c r="AH102" s="116" t="n">
        <v>1</v>
      </c>
      <c r="AI102" s="116" t="n">
        <v>0</v>
      </c>
      <c r="AJ102" s="116" t="n">
        <v>0</v>
      </c>
      <c r="AK102" s="116" t="n">
        <v>0</v>
      </c>
      <c r="AL102" s="116" t="n">
        <v>0</v>
      </c>
      <c r="AM102" s="116" t="n">
        <v>1</v>
      </c>
      <c r="AN102" s="116" t="n">
        <v>0</v>
      </c>
      <c r="AO102" s="116" t="n">
        <v>0</v>
      </c>
      <c r="AP102" s="116" t="n">
        <v>0</v>
      </c>
      <c r="AQ102" s="116" t="n">
        <v>0</v>
      </c>
      <c r="AR102" s="116" t="n"/>
      <c r="AS102" s="116" t="n"/>
      <c r="AT102" s="116" t="n">
        <v>0</v>
      </c>
      <c r="AU102" s="116" t="n"/>
      <c r="AV102" s="116" t="n">
        <v>0</v>
      </c>
      <c r="AW102" s="116" t="n"/>
      <c r="AX102" s="126" t="n">
        <v>1</v>
      </c>
      <c r="AY102" s="116" t="n"/>
      <c r="AZ102" s="126" t="n">
        <v>0</v>
      </c>
      <c r="BA102" s="116" t="n">
        <v>0</v>
      </c>
      <c r="BB102" s="125" t="n">
        <v>546314</v>
      </c>
      <c r="BC102" s="125" t="n">
        <v>649028</v>
      </c>
      <c r="BD102" s="126" t="n">
        <v>1</v>
      </c>
      <c r="BE102" s="125" t="n">
        <v>1167298</v>
      </c>
      <c r="BF102" s="126" t="n">
        <v>0.47</v>
      </c>
      <c r="BG102" s="125" t="n">
        <v>19114</v>
      </c>
      <c r="BH102" s="125" t="n">
        <v>1189485</v>
      </c>
      <c r="BI102" s="126" t="n">
        <v>0.55</v>
      </c>
      <c r="BJ102" s="125" t="n">
        <v>1212676</v>
      </c>
      <c r="BK102" s="116" t="n">
        <v>1</v>
      </c>
      <c r="BL102" s="116" t="n">
        <v>1</v>
      </c>
      <c r="BM102" s="116" t="n">
        <v>0</v>
      </c>
      <c r="BN102" s="116" t="n">
        <v>0</v>
      </c>
      <c r="BO102" s="116" t="n">
        <v>0</v>
      </c>
      <c r="BP102" s="116" t="n">
        <v>10</v>
      </c>
      <c r="BQ102" s="116" t="n">
        <v>80</v>
      </c>
      <c r="BR102" s="125" t="n">
        <v>436685</v>
      </c>
      <c r="BS102" s="125" t="n">
        <v>526281</v>
      </c>
      <c r="BT102" s="126" t="n">
        <v>1</v>
      </c>
      <c r="BU102" s="125" t="n">
        <v>143368</v>
      </c>
      <c r="BV102" s="125" t="n">
        <v>126889</v>
      </c>
      <c r="BW102" s="125" t="n">
        <v>112993</v>
      </c>
      <c r="BX102" s="125" t="n">
        <v>728966</v>
      </c>
      <c r="BY102" s="125" t="n">
        <v>725929</v>
      </c>
      <c r="BZ102" s="125" t="n">
        <v>965810</v>
      </c>
      <c r="CA102" s="116" t="n">
        <v>0.45</v>
      </c>
      <c r="CB102" s="155" t="n">
        <v>15542</v>
      </c>
      <c r="CC102" s="125" t="n">
        <v>985326</v>
      </c>
      <c r="CD102" s="116" t="n">
        <v>0.53</v>
      </c>
      <c r="CE102" s="127" t="n">
        <v>990758</v>
      </c>
      <c r="CF102" s="128" t="n">
        <v>0.53</v>
      </c>
    </row>
    <row r="103">
      <c r="A103" s="130" t="inlineStr">
        <is>
          <t>2025年11月-KOLHK汇总</t>
        </is>
      </c>
      <c r="B103" s="112" t="n"/>
      <c r="C103" s="113" t="n"/>
      <c r="D103" s="113" t="n"/>
      <c r="E103" s="113" t="n"/>
      <c r="F103" s="113" t="n"/>
      <c r="G103" s="131" t="n"/>
      <c r="H103" s="130" t="n"/>
      <c r="I103" s="136" t="n">
        <v>891461</v>
      </c>
      <c r="J103" s="136" t="n">
        <v>867691</v>
      </c>
      <c r="K103" s="137" t="n">
        <v>992</v>
      </c>
      <c r="L103" s="130" t="n">
        <v>899</v>
      </c>
      <c r="M103" s="130" t="n">
        <v>420</v>
      </c>
      <c r="N103" s="130" t="n">
        <v>443</v>
      </c>
      <c r="O103" s="130" t="n">
        <v>421</v>
      </c>
      <c r="P103" s="130" t="n">
        <v>290</v>
      </c>
      <c r="Q103" s="130" t="n">
        <v>348</v>
      </c>
      <c r="R103" s="130" t="n">
        <v>107</v>
      </c>
      <c r="S103" s="130" t="n">
        <v>133</v>
      </c>
      <c r="T103" s="136" t="n">
        <v>611945</v>
      </c>
      <c r="U103" s="136" t="n">
        <v>743108</v>
      </c>
      <c r="V103" s="138" t="n">
        <v>1</v>
      </c>
      <c r="W103" s="136" t="n">
        <v>5587</v>
      </c>
      <c r="X103" s="138" t="n">
        <v>0.467</v>
      </c>
      <c r="Y103" s="138" t="n">
        <v>1.002</v>
      </c>
      <c r="Z103" s="139" t="n">
        <v>0.468</v>
      </c>
      <c r="AA103" s="138" t="n">
        <v>0.6889999999999999</v>
      </c>
      <c r="AB103" s="138" t="n">
        <v>0.98</v>
      </c>
      <c r="AC103" s="138" t="n">
        <v>0.369</v>
      </c>
      <c r="AD103" s="138" t="n">
        <v>0.119</v>
      </c>
      <c r="AE103" s="138" t="n">
        <v>0.148</v>
      </c>
      <c r="AF103" s="136" t="n">
        <v>1124229</v>
      </c>
      <c r="AG103" s="130" t="n">
        <v>0.66</v>
      </c>
      <c r="AH103" s="130" t="n">
        <v>355</v>
      </c>
      <c r="AI103" s="130" t="n">
        <v>348</v>
      </c>
      <c r="AJ103" s="130" t="n">
        <v>368</v>
      </c>
      <c r="AK103" s="136" t="n">
        <v>58519</v>
      </c>
      <c r="AL103" s="136" t="n">
        <v>52322</v>
      </c>
      <c r="AM103" s="136" t="n">
        <v>81743</v>
      </c>
      <c r="AN103" s="136" t="n">
        <v>8990</v>
      </c>
      <c r="AO103" s="136" t="n">
        <v>31194</v>
      </c>
      <c r="AP103" s="130" t="n">
        <v>1</v>
      </c>
      <c r="AQ103" s="130" t="n">
        <v>0</v>
      </c>
      <c r="AR103" s="130" t="n">
        <v>0</v>
      </c>
      <c r="AS103" s="130" t="n">
        <v>0</v>
      </c>
      <c r="AT103" s="130" t="n">
        <v>0</v>
      </c>
      <c r="AU103" s="130" t="n">
        <v>0</v>
      </c>
      <c r="AV103" s="130" t="n">
        <v>0</v>
      </c>
      <c r="AW103" s="130" t="n">
        <v>0</v>
      </c>
      <c r="AX103" s="130" t="n">
        <v>0</v>
      </c>
      <c r="AY103" s="130" t="n">
        <v>0</v>
      </c>
      <c r="AZ103" s="130" t="n"/>
      <c r="BA103" s="130" t="n"/>
      <c r="BB103" s="138" t="n">
        <v>0</v>
      </c>
      <c r="BC103" s="130" t="n"/>
      <c r="BD103" s="138" t="n">
        <v>0</v>
      </c>
      <c r="BE103" s="130" t="n"/>
      <c r="BF103" s="130" t="n"/>
      <c r="BG103" s="130" t="n"/>
      <c r="BH103" s="138" t="n">
        <v>0</v>
      </c>
      <c r="BI103" s="138" t="n">
        <v>0</v>
      </c>
      <c r="BJ103" s="130" t="n">
        <v>0</v>
      </c>
      <c r="BK103" s="130" t="n">
        <v>0</v>
      </c>
      <c r="BL103" s="130" t="n">
        <v>0</v>
      </c>
      <c r="BM103" s="130" t="n">
        <v>0</v>
      </c>
      <c r="BN103" s="130" t="n">
        <v>0</v>
      </c>
      <c r="BO103" s="130" t="n">
        <v>0</v>
      </c>
      <c r="BP103" s="130" t="n">
        <v>10</v>
      </c>
      <c r="BQ103" s="130" t="n">
        <v>0</v>
      </c>
      <c r="BR103" s="136" t="n">
        <v>611945</v>
      </c>
      <c r="BS103" s="136" t="n">
        <v>743108</v>
      </c>
      <c r="BT103" s="138" t="n">
        <v>1</v>
      </c>
      <c r="BU103" s="136" t="n">
        <v>174259</v>
      </c>
      <c r="BV103" s="136" t="n">
        <v>151604</v>
      </c>
      <c r="BW103" s="136" t="n">
        <v>58519</v>
      </c>
      <c r="BX103" s="136" t="n">
        <v>891461</v>
      </c>
      <c r="BY103" s="136" t="n">
        <v>886814</v>
      </c>
      <c r="BZ103" s="136" t="n">
        <v>1096938</v>
      </c>
      <c r="CA103" s="130" t="n">
        <v>0.5600000000000001</v>
      </c>
      <c r="CB103" s="156" t="n">
        <v>23770</v>
      </c>
      <c r="CC103" s="136" t="n">
        <v>1124239</v>
      </c>
      <c r="CD103" s="130" t="n">
        <v>0.66</v>
      </c>
      <c r="CE103" s="140" t="n">
        <v>1133220</v>
      </c>
      <c r="CF103" s="141" t="n">
        <v>0.66</v>
      </c>
    </row>
  </sheetData>
  <mergeCells count="3">
    <mergeCell ref="J1:AG1"/>
    <mergeCell ref="AP1:BI1"/>
    <mergeCell ref="BR1:C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U3" sqref="AU3:AU7"/>
    </sheetView>
  </sheetViews>
  <sheetFormatPr baseColWidth="8" defaultColWidth="9" defaultRowHeight="15.75"/>
  <cols>
    <col width="28.1666666666667" customWidth="1" style="327" min="2" max="2"/>
    <col width="19.1666666666667" customWidth="1" style="327" min="3" max="3"/>
    <col width="13.1666666666667" customWidth="1" style="327" min="4" max="4"/>
    <col width="23" customWidth="1" style="327" min="5" max="5"/>
    <col width="28.1666666666667" customWidth="1" style="327" min="6" max="6"/>
    <col width="19" customWidth="1" style="327" min="7" max="7"/>
    <col width="61.3333333333333" customWidth="1" style="327" min="8" max="8"/>
  </cols>
  <sheetData>
    <row r="1" ht="17.25" customHeight="1" s="327">
      <c r="A1" s="75" t="inlineStr">
        <is>
          <t>10月商場排期及計畫</t>
        </is>
      </c>
      <c r="B1" s="438" t="n"/>
      <c r="C1" s="438" t="n"/>
      <c r="D1" s="438" t="n"/>
      <c r="E1" s="438" t="n"/>
      <c r="F1" s="438" t="n"/>
      <c r="G1" s="438" t="n"/>
      <c r="H1" s="439" t="n"/>
    </row>
    <row r="2" ht="17.25" customHeight="1" s="327">
      <c r="A2" s="76" t="inlineStr">
        <is>
          <t>項目</t>
        </is>
      </c>
      <c r="B2" s="76" t="inlineStr">
        <is>
          <t>地点</t>
        </is>
      </c>
      <c r="C2" s="77" t="inlineStr">
        <is>
          <t>时间</t>
        </is>
      </c>
      <c r="D2" s="77" t="inlineStr">
        <is>
          <t>人员安排</t>
        </is>
      </c>
      <c r="E2" s="77" t="inlineStr">
        <is>
          <t>推广形式</t>
        </is>
      </c>
      <c r="F2" s="77" t="inlineStr">
        <is>
          <t>话术卖点</t>
        </is>
      </c>
      <c r="G2" s="77" t="inlineStr">
        <is>
          <t>例子目标</t>
        </is>
      </c>
      <c r="H2" s="76" t="inlineStr">
        <is>
          <t>備注</t>
        </is>
      </c>
    </row>
    <row r="3" ht="51.75" customHeight="1" s="327">
      <c r="A3" s="78" t="inlineStr">
        <is>
          <t>inno4life(科技创意展)</t>
        </is>
      </c>
      <c r="B3" s="79" t="inlineStr">
        <is>
          <t>灣仔會議展覽中心</t>
        </is>
      </c>
      <c r="C3" s="78" t="inlineStr">
        <is>
          <t>3天
3/4/5</t>
        </is>
      </c>
      <c r="D3" s="78" t="inlineStr">
        <is>
          <t>4人+3人</t>
        </is>
      </c>
      <c r="E3" s="80" t="inlineStr">
        <is>
          <t>展銷/流動</t>
        </is>
      </c>
      <c r="F3" s="78" t="inlineStr">
        <is>
          <t>9.9小课包</t>
        </is>
      </c>
      <c r="G3" s="75" t="n">
        <v>200</v>
      </c>
      <c r="H3" s="81" t="inlineStr">
        <is>
          <t>準備工作完成，總部派4人，兼職3人</t>
        </is>
      </c>
    </row>
    <row r="4" ht="34.5" customHeight="1" s="327">
      <c r="A4" s="75" t="inlineStr">
        <is>
          <t>商场活动</t>
        </is>
      </c>
      <c r="B4" s="79" t="inlineStr">
        <is>
          <t>皇后山商場/葵芳商場</t>
        </is>
      </c>
      <c r="C4" s="78" t="inlineStr">
        <is>
          <t>中旬
（10.11.12）</t>
        </is>
      </c>
      <c r="D4" s="78" t="inlineStr">
        <is>
          <t>3人</t>
        </is>
      </c>
      <c r="E4" s="80" t="inlineStr">
        <is>
          <t>展銷</t>
        </is>
      </c>
      <c r="F4" s="78" t="inlineStr">
        <is>
          <t>9.9小课包</t>
        </is>
      </c>
      <c r="G4" s="75" t="n">
        <v>70</v>
      </c>
      <c r="H4" s="75" t="inlineStr">
        <is>
          <t>地理比較偏遠，商場較大，附近人群比較集中，計畫在本週內完成調研和場地確認，備選葵芳商場</t>
        </is>
      </c>
    </row>
    <row r="5" ht="34.5" customHeight="1" s="327">
      <c r="A5" s="441" t="n"/>
      <c r="B5" s="78" t="inlineStr">
        <is>
          <t>屯門市中心/蝴蝶廣場</t>
        </is>
      </c>
      <c r="C5" s="78" t="inlineStr">
        <is>
          <t>下旬
(17.18.19)</t>
        </is>
      </c>
      <c r="D5" s="78" t="inlineStr">
        <is>
          <t>3人</t>
        </is>
      </c>
      <c r="E5" s="80" t="inlineStr">
        <is>
          <t>展銷</t>
        </is>
      </c>
      <c r="F5" s="78" t="inlineStr">
        <is>
          <t>9.9小课包</t>
        </is>
      </c>
      <c r="G5" s="75" t="n">
        <v>70</v>
      </c>
      <c r="H5" s="75" t="inlineStr">
        <is>
          <t>人流量較大，葵盛東類似，如時間衝突與皇后山商場二選一，備選蝴蝶廣場，計畫下週完成場地確定</t>
        </is>
      </c>
    </row>
    <row r="6" ht="34.5" customHeight="1" s="327">
      <c r="A6" s="442" t="n"/>
      <c r="B6" s="78" t="inlineStr">
        <is>
          <t>愉景新城</t>
        </is>
      </c>
      <c r="C6" s="78" t="inlineStr">
        <is>
          <t>下旬
（25.26）</t>
        </is>
      </c>
      <c r="D6" s="78" t="inlineStr">
        <is>
          <t>10人</t>
        </is>
      </c>
      <c r="E6" s="78" t="inlineStr">
        <is>
          <t>中庭活動/闖關/遊戲</t>
        </is>
      </c>
      <c r="F6" s="79" t="inlineStr">
        <is>
          <t>數學遊戲/集印章/發禮物</t>
        </is>
      </c>
      <c r="G6" s="75" t="n">
        <v>70</v>
      </c>
      <c r="H6" s="81" t="inlineStr">
        <is>
          <t>兒童主題商場，計畫在下週完成場地確認及活動計畫，初步形式在中庭做遊戲闖關活動</t>
        </is>
      </c>
    </row>
    <row r="7" ht="51.75" customHeight="1" s="327">
      <c r="A7" s="78" t="inlineStr">
        <is>
          <t>地推</t>
        </is>
      </c>
      <c r="B7" s="79" t="inlineStr">
        <is>
          <t>學校路口</t>
        </is>
      </c>
      <c r="C7" s="78" t="inlineStr">
        <is>
          <t>第三周/第四周
（周一/週五）
計畫2場</t>
        </is>
      </c>
      <c r="D7" s="78" t="inlineStr">
        <is>
          <t>2人</t>
        </is>
      </c>
      <c r="E7" s="80" t="inlineStr">
        <is>
          <t>流動點位</t>
        </is>
      </c>
      <c r="F7" s="79" t="inlineStr">
        <is>
          <t>註冊送小禮物</t>
        </is>
      </c>
      <c r="G7" s="75" t="n">
        <v>20</v>
      </c>
      <c r="H7" s="81" t="inlineStr">
        <is>
          <t>計畫2場學校地推，每場10-15個註冊</t>
        </is>
      </c>
    </row>
    <row r="8" ht="36" customHeight="1" s="327">
      <c r="A8" s="82" t="inlineStr">
        <is>
          <t>1.計畫展會一場，商場2場，學校地推2場
2.策劃中庭主題活動，需商場確定方案是否可行
3.招募兼職3-5人，如果愉景新城活動方案通過，需總部派人支援活動</t>
        </is>
      </c>
      <c r="B8" s="443" t="n"/>
      <c r="C8" s="443" t="n"/>
      <c r="D8" s="443" t="n"/>
      <c r="E8" s="443" t="n"/>
      <c r="F8" s="443" t="n"/>
      <c r="G8" s="443" t="n"/>
      <c r="H8" s="443" t="n"/>
    </row>
    <row r="9">
      <c r="A9" s="444" t="n"/>
    </row>
  </sheetData>
  <mergeCells count="3">
    <mergeCell ref="A4:A6"/>
    <mergeCell ref="A8:H9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C18" sqref="C18"/>
    </sheetView>
  </sheetViews>
  <sheetFormatPr baseColWidth="8" defaultColWidth="9" defaultRowHeight="15.75"/>
  <cols>
    <col width="10" customWidth="1" style="327" min="1" max="1"/>
    <col width="27.3333333333333" customWidth="1" style="327" min="2" max="2"/>
    <col width="10" customWidth="1" style="327" min="3" max="6"/>
    <col width="12.6666666666667" customWidth="1" style="327" min="7" max="7"/>
    <col hidden="1" width="11.8333333333333" customWidth="1" style="327" min="8" max="8"/>
    <col hidden="1" width="16.3333333333333" customWidth="1" style="327" min="9" max="9"/>
    <col hidden="1" width="14.3333333333333" customWidth="1" style="6" min="10" max="10"/>
    <col hidden="1" width="9.5" customWidth="1" style="327" min="11" max="11"/>
    <col hidden="1" width="16.1666666666667" customWidth="1" style="327" min="12" max="12"/>
    <col hidden="1" width="18.5" customWidth="1" style="327" min="13" max="13"/>
    <col hidden="1" width="15.3333333333333" customWidth="1" style="327" min="14" max="14"/>
    <col hidden="1" width="17.6666666666667" customWidth="1" style="327" min="15" max="15"/>
    <col hidden="1" width="8" customWidth="1" style="6" min="16" max="16"/>
    <col hidden="1" width="14.6666666666667" customWidth="1" style="7" min="17" max="17"/>
    <col hidden="1" width="18.5" customWidth="1" style="327" min="18" max="18"/>
    <col hidden="1" width="18.1666666666667" customWidth="1" style="327" min="19" max="19"/>
    <col width="18.1666666666667" customWidth="1" style="327" min="20" max="20"/>
    <col width="15.6666666666667" customWidth="1" style="327" min="21" max="21"/>
  </cols>
  <sheetData>
    <row r="1" ht="16.5" customHeight="1" s="327">
      <c r="A1" s="8" t="n"/>
      <c r="B1" s="8" t="n"/>
      <c r="C1" s="8" t="n"/>
      <c r="D1" s="8" t="n"/>
      <c r="E1" s="8" t="n"/>
      <c r="F1" s="9" t="n"/>
      <c r="G1" s="8" t="n"/>
      <c r="H1" s="8" t="n"/>
      <c r="I1" s="8" t="n"/>
      <c r="J1" s="10" t="n"/>
      <c r="K1" s="8" t="n"/>
      <c r="L1" s="8" t="n"/>
      <c r="M1" s="8" t="n"/>
      <c r="N1" s="8" t="n"/>
      <c r="O1" s="8" t="n"/>
      <c r="P1" s="10" t="n"/>
      <c r="Q1" s="11" t="n"/>
      <c r="R1" s="8" t="n"/>
      <c r="S1" s="8" t="n"/>
      <c r="T1" s="8" t="n"/>
    </row>
    <row r="2" ht="16.5" customHeight="1" s="327">
      <c r="A2" s="8" t="n"/>
      <c r="B2" s="8" t="n"/>
      <c r="C2" s="8" t="n"/>
      <c r="D2" s="8" t="n"/>
      <c r="E2" s="8" t="n"/>
      <c r="F2" s="12" t="inlineStr">
        <is>
          <t>主投思维</t>
        </is>
      </c>
      <c r="G2" s="8" t="n"/>
      <c r="H2" s="8" t="n"/>
      <c r="I2" s="8" t="inlineStr">
        <is>
          <t>2025/2/14-16日</t>
        </is>
      </c>
      <c r="J2" s="10" t="n"/>
      <c r="K2" s="8" t="n"/>
      <c r="L2" s="8" t="inlineStr">
        <is>
          <t>2025年5月3-5日</t>
        </is>
      </c>
      <c r="M2" s="8" t="inlineStr">
        <is>
          <t>2025年5月23-25日</t>
        </is>
      </c>
      <c r="N2" s="8" t="inlineStr">
        <is>
          <t>2025年10月3-5</t>
        </is>
      </c>
      <c r="O2" s="8" t="inlineStr">
        <is>
          <t>2025年12月12-24</t>
        </is>
      </c>
      <c r="P2" s="10" t="n"/>
      <c r="Q2" s="13" t="inlineStr">
        <is>
          <t>2026年前平均值</t>
        </is>
      </c>
      <c r="R2" s="8" t="inlineStr">
        <is>
          <t>2025年3月27-29日</t>
        </is>
      </c>
      <c r="S2" s="8" t="inlineStr">
        <is>
          <t>2025年5月22-24日</t>
        </is>
      </c>
      <c r="T2" s="8" t="inlineStr">
        <is>
          <t>2025年5月16-17日</t>
        </is>
      </c>
      <c r="U2" s="8" t="inlineStr">
        <is>
          <t>2025年6月12-14日</t>
        </is>
      </c>
    </row>
    <row r="3" ht="17.25" customHeight="1" s="327">
      <c r="A3" s="14" t="n"/>
      <c r="B3" s="15" t="inlineStr">
        <is>
          <t>参数：8月初</t>
        </is>
      </c>
      <c r="C3" s="16" t="inlineStr">
        <is>
          <t>益智</t>
        </is>
      </c>
      <c r="D3" s="16" t="inlineStr">
        <is>
          <t>美术</t>
        </is>
      </c>
      <c r="E3" s="14" t="n"/>
      <c r="F3" s="14" t="n"/>
      <c r="G3" s="14" t="n"/>
      <c r="H3" s="14" t="inlineStr">
        <is>
          <t>9月兒童書展</t>
        </is>
      </c>
      <c r="I3" s="14" t="inlineStr">
        <is>
          <t>12月兒童書展</t>
        </is>
      </c>
      <c r="J3" s="17" t="inlineStr">
        <is>
          <t>12月較9月跌幅</t>
        </is>
      </c>
      <c r="K3" s="14" t="inlineStr">
        <is>
          <t>BB展</t>
        </is>
      </c>
      <c r="L3" s="14" t="inlineStr">
        <is>
          <t>課外活動展</t>
        </is>
      </c>
      <c r="M3" s="14" t="inlineStr">
        <is>
          <t>5月兒童展</t>
        </is>
      </c>
      <c r="N3" s="14" t="inlineStr">
        <is>
          <t>10月兒童展</t>
        </is>
      </c>
      <c r="O3" s="14" t="inlineStr">
        <is>
          <t>12月兒童展</t>
        </is>
      </c>
      <c r="P3" s="17" t="n"/>
      <c r="Q3" s="18" t="inlineStr">
        <is>
          <t>兒童書展平均值</t>
        </is>
      </c>
      <c r="R3" s="14" t="inlineStr">
        <is>
          <t>3月兒童展</t>
        </is>
      </c>
      <c r="S3" s="14" t="inlineStr">
        <is>
          <t>5月兒童展</t>
        </is>
      </c>
      <c r="T3" s="14" t="inlineStr">
        <is>
          <t>5月課外活動展</t>
        </is>
      </c>
      <c r="U3" s="14" t="inlineStr">
        <is>
          <t>6月澳門展</t>
        </is>
      </c>
    </row>
    <row r="4" ht="17.25" customHeight="1" s="327">
      <c r="A4" s="9" t="n"/>
      <c r="B4" s="423" t="inlineStr">
        <is>
          <t>单例子销售固定人工成本</t>
        </is>
      </c>
      <c r="C4" s="20" t="n">
        <v>144</v>
      </c>
      <c r="D4" s="21" t="n">
        <v>130</v>
      </c>
      <c r="E4" s="9" t="n"/>
      <c r="F4" s="22" t="inlineStr">
        <is>
          <t>链路合计</t>
        </is>
      </c>
      <c r="G4" s="9" t="inlineStr">
        <is>
          <t>ROI 2</t>
        </is>
      </c>
      <c r="H4" s="424">
        <f>H5/H6</f>
        <v/>
      </c>
      <c r="I4" s="424">
        <f>I5/I6</f>
        <v/>
      </c>
      <c r="J4" s="445" t="n"/>
      <c r="K4" s="424">
        <f>K5/K6</f>
        <v/>
      </c>
      <c r="L4" s="424">
        <f>L5/L6</f>
        <v/>
      </c>
      <c r="M4" s="424">
        <f>M5/M6</f>
        <v/>
      </c>
      <c r="N4" s="424">
        <f>N5/N6</f>
        <v/>
      </c>
      <c r="O4" s="424">
        <f>O5/O6</f>
        <v/>
      </c>
      <c r="P4" s="445" t="n"/>
      <c r="Q4" s="446">
        <f>Q5/Q6</f>
        <v/>
      </c>
      <c r="R4" s="424">
        <f>R5/R6</f>
        <v/>
      </c>
      <c r="S4" s="424">
        <f>S5/S6</f>
        <v/>
      </c>
      <c r="T4" s="424">
        <f>T5/T6</f>
        <v/>
      </c>
      <c r="U4" s="424">
        <f>U5/U6</f>
        <v/>
      </c>
    </row>
    <row r="5" ht="17.25" customHeight="1" s="327">
      <c r="A5" s="9" t="n"/>
      <c r="B5" s="423" t="inlineStr">
        <is>
          <t>单例子TMK人工成本</t>
        </is>
      </c>
      <c r="C5" s="26" t="n">
        <v>10</v>
      </c>
      <c r="D5" s="27" t="n">
        <v>10</v>
      </c>
      <c r="E5" s="9" t="n"/>
      <c r="F5" s="22" t="inlineStr">
        <is>
          <t>链路合计</t>
        </is>
      </c>
      <c r="G5" s="9" t="inlineStr">
        <is>
          <t>GMV</t>
        </is>
      </c>
      <c r="H5" s="425">
        <f>H17+H36</f>
        <v/>
      </c>
      <c r="I5" s="425">
        <f>I17+I36</f>
        <v/>
      </c>
      <c r="J5" s="447" t="n"/>
      <c r="K5" s="425">
        <f>K17+K36</f>
        <v/>
      </c>
      <c r="L5" s="425">
        <f>L17+L36</f>
        <v/>
      </c>
      <c r="M5" s="425">
        <f>M17+M36</f>
        <v/>
      </c>
      <c r="N5" s="425">
        <f>N17+N36</f>
        <v/>
      </c>
      <c r="O5" s="425">
        <f>O17+O36</f>
        <v/>
      </c>
      <c r="P5" s="447" t="n"/>
      <c r="Q5" s="448">
        <f>AVERAGE(O5,N5,M5,I5,H5)</f>
        <v/>
      </c>
      <c r="R5" s="425">
        <f>R17+R36</f>
        <v/>
      </c>
      <c r="S5" s="425">
        <f>S17+S36</f>
        <v/>
      </c>
      <c r="T5" s="425">
        <f>T17+T36</f>
        <v/>
      </c>
      <c r="U5" s="425">
        <f>U17+U36</f>
        <v/>
      </c>
    </row>
    <row r="6" ht="17.25" customHeight="1" s="327">
      <c r="A6" s="9" t="n"/>
      <c r="B6" s="31" t="inlineStr">
        <is>
          <t>销售提成比例</t>
        </is>
      </c>
      <c r="C6" s="32" t="n">
        <v>0.065</v>
      </c>
      <c r="D6" s="33" t="n">
        <v>0.0839</v>
      </c>
      <c r="E6" s="9" t="n"/>
      <c r="F6" s="22" t="inlineStr">
        <is>
          <t>链路合计</t>
        </is>
      </c>
      <c r="G6" s="9" t="inlineStr">
        <is>
          <t>ROI 2成本项</t>
        </is>
      </c>
      <c r="H6" s="426">
        <f>H37+H19</f>
        <v/>
      </c>
      <c r="I6" s="426">
        <f>I37+I19</f>
        <v/>
      </c>
      <c r="J6" s="449" t="n"/>
      <c r="K6" s="426">
        <f>K37+K19</f>
        <v/>
      </c>
      <c r="L6" s="426">
        <f>L37+L19</f>
        <v/>
      </c>
      <c r="M6" s="426">
        <f>M37+M19</f>
        <v/>
      </c>
      <c r="N6" s="426">
        <f>N37+N19</f>
        <v/>
      </c>
      <c r="O6" s="426">
        <f>O37+O19</f>
        <v/>
      </c>
      <c r="P6" s="449" t="n"/>
      <c r="Q6" s="450">
        <f>Q37+Q19</f>
        <v/>
      </c>
      <c r="R6" s="426">
        <f>R37+R19</f>
        <v/>
      </c>
      <c r="S6" s="426">
        <f>S37+S19</f>
        <v/>
      </c>
      <c r="T6" s="426">
        <f>T37+T19</f>
        <v/>
      </c>
      <c r="U6" s="426">
        <f>U37+U19</f>
        <v/>
      </c>
    </row>
    <row r="7" ht="17.25" customHeight="1" s="327">
      <c r="A7" s="9" t="n"/>
      <c r="B7" s="31" t="inlineStr">
        <is>
          <t>礼品及其他费用比例</t>
        </is>
      </c>
      <c r="C7" s="32" t="n">
        <v>0.018</v>
      </c>
      <c r="D7" s="33" t="n">
        <v>0.0155</v>
      </c>
      <c r="E7" s="9" t="n"/>
      <c r="F7" s="22" t="inlineStr">
        <is>
          <t>链路合计</t>
        </is>
      </c>
      <c r="G7" s="37" t="inlineStr">
        <is>
          <t>參展成本</t>
        </is>
      </c>
      <c r="H7" s="426" t="n">
        <v>97616</v>
      </c>
      <c r="I7" s="38" t="n">
        <v>145759.8</v>
      </c>
      <c r="J7" s="39" t="n"/>
      <c r="K7" s="426" t="n">
        <v>41427.9</v>
      </c>
      <c r="L7" s="426" t="n">
        <v>51452.7</v>
      </c>
      <c r="M7" s="426" t="n">
        <v>60000</v>
      </c>
      <c r="N7" s="426">
        <f>[2]開支總表!C18</f>
        <v/>
      </c>
      <c r="O7" s="426" t="n">
        <v>81026.5</v>
      </c>
      <c r="P7" s="449" t="n"/>
      <c r="Q7" s="451">
        <f>AVERAGE(O7,N7,M7,I7,H7)</f>
        <v/>
      </c>
      <c r="R7" s="426" t="n">
        <v>44783.718</v>
      </c>
      <c r="S7" s="426">
        <f>[3]開支總表!C15</f>
        <v/>
      </c>
      <c r="T7" s="426">
        <f>[3]開支總表!D15</f>
        <v/>
      </c>
      <c r="U7" s="426">
        <f>展会数据测算!$AG$30</f>
        <v/>
      </c>
    </row>
    <row r="8" ht="17.25" customHeight="1" s="327">
      <c r="A8" s="9" t="n"/>
      <c r="B8" s="31" t="inlineStr">
        <is>
          <t>试听课单课时成本</t>
        </is>
      </c>
      <c r="C8" s="20" t="n">
        <v>81.2</v>
      </c>
      <c r="D8" s="21" t="n">
        <v>74.31</v>
      </c>
      <c r="E8" s="9" t="n"/>
      <c r="F8" s="22" t="inlineStr">
        <is>
          <t>链路合计</t>
        </is>
      </c>
      <c r="G8" s="37" t="inlineStr">
        <is>
          <t>\</t>
        </is>
      </c>
      <c r="H8" s="41" t="n"/>
      <c r="I8" s="41" t="n"/>
      <c r="J8" s="42" t="n"/>
      <c r="K8" s="41" t="n"/>
      <c r="L8" s="41" t="n"/>
      <c r="M8" s="41" t="n"/>
      <c r="N8" s="41" t="n"/>
      <c r="O8" s="41" t="n"/>
      <c r="P8" s="42" t="n"/>
      <c r="Q8" s="43" t="n"/>
      <c r="R8" s="41" t="n"/>
      <c r="S8" s="41" t="n"/>
      <c r="T8" s="41" t="n"/>
      <c r="U8" s="41" t="n"/>
    </row>
    <row r="9" ht="17.25" customHeight="1" s="327">
      <c r="A9" s="8" t="n"/>
      <c r="B9" s="423" t="inlineStr">
        <is>
          <t>单例子市场运营人工及日常成本</t>
        </is>
      </c>
      <c r="C9" s="44" t="n">
        <v>88.76000000000001</v>
      </c>
      <c r="D9" s="44" t="n">
        <v>100</v>
      </c>
      <c r="E9" s="8" t="n"/>
      <c r="F9" s="22" t="inlineStr">
        <is>
          <t>主投</t>
        </is>
      </c>
      <c r="G9" s="9" t="inlineStr">
        <is>
          <t>例子数</t>
        </is>
      </c>
      <c r="H9" s="427" t="n">
        <v>420</v>
      </c>
      <c r="I9" s="428" t="n">
        <v>360</v>
      </c>
      <c r="J9" s="452" t="n"/>
      <c r="K9" s="428" t="n">
        <v>235</v>
      </c>
      <c r="L9" s="428" t="n">
        <v>303</v>
      </c>
      <c r="M9" s="428" t="n">
        <v>301</v>
      </c>
      <c r="N9" s="428" t="n">
        <v>298</v>
      </c>
      <c r="O9" s="428" t="n">
        <v>537</v>
      </c>
      <c r="P9" s="452" t="n"/>
      <c r="Q9" s="453">
        <f>AVERAGE(O9,N9,M9,I9,H9)</f>
        <v/>
      </c>
      <c r="R9" s="428" t="n">
        <v>371</v>
      </c>
      <c r="S9" s="428" t="n">
        <v>350</v>
      </c>
      <c r="T9" s="428" t="n">
        <v>300</v>
      </c>
      <c r="U9" s="428" t="n">
        <v>100</v>
      </c>
    </row>
    <row r="10" ht="16.5" customHeight="1" s="327">
      <c r="A10" s="8" t="n"/>
      <c r="B10" s="8" t="n"/>
      <c r="C10" s="8" t="n"/>
      <c r="D10" s="8" t="n"/>
      <c r="E10" s="8" t="n"/>
      <c r="F10" s="22" t="inlineStr">
        <is>
          <t>主投</t>
        </is>
      </c>
      <c r="G10" s="9" t="inlineStr">
        <is>
          <t>例子分发率</t>
        </is>
      </c>
      <c r="H10" s="49">
        <f>H14/H9</f>
        <v/>
      </c>
      <c r="I10" s="49">
        <f>H10</f>
        <v/>
      </c>
      <c r="J10" s="50" t="n"/>
      <c r="K10" s="49">
        <f>H10</f>
        <v/>
      </c>
      <c r="L10" s="49">
        <f>I10</f>
        <v/>
      </c>
      <c r="M10" s="49">
        <f>L10</f>
        <v/>
      </c>
      <c r="N10" s="49" t="n">
        <v>0.8557</v>
      </c>
      <c r="O10" s="49" t="n">
        <v>0.7933</v>
      </c>
      <c r="P10" s="50" t="n"/>
      <c r="Q10" s="51">
        <f>AVERAGE(O10,N10,M10,I10,H10)</f>
        <v/>
      </c>
      <c r="R10" s="49" t="n">
        <v>0.7897999999999999</v>
      </c>
      <c r="S10" s="49" t="n">
        <v>0.7897999999999999</v>
      </c>
      <c r="T10" s="49" t="n">
        <v>0.7897999999999999</v>
      </c>
      <c r="U10" s="49" t="n">
        <v>0.7897999999999999</v>
      </c>
    </row>
    <row r="11" ht="16.5" customHeight="1" s="327">
      <c r="A11" s="8" t="n"/>
      <c r="B11" s="8" t="n"/>
      <c r="C11" s="8" t="n"/>
      <c r="D11" s="8" t="n"/>
      <c r="E11" s="8" t="n"/>
      <c r="F11" s="22" t="inlineStr">
        <is>
          <t>主投</t>
        </is>
      </c>
      <c r="G11" s="9" t="inlineStr">
        <is>
          <t>例子到课率</t>
        </is>
      </c>
      <c r="H11" s="49">
        <f>H15/H9</f>
        <v/>
      </c>
      <c r="I11" s="52" t="n">
        <v>0.517</v>
      </c>
      <c r="J11" s="53">
        <f>(H11-I11)/H11</f>
        <v/>
      </c>
      <c r="K11" s="52" t="n">
        <v>0.51</v>
      </c>
      <c r="L11" s="52">
        <f>82.8%*86.9%</f>
        <v/>
      </c>
      <c r="M11" s="52">
        <f>77.7%*77.8%</f>
        <v/>
      </c>
      <c r="N11" s="52" t="n">
        <v>0.661</v>
      </c>
      <c r="O11" s="52" t="n">
        <v>0.556</v>
      </c>
      <c r="P11" s="53">
        <f>(N11-O11)/N11</f>
        <v/>
      </c>
      <c r="Q11" s="54">
        <f>AVERAGE(O11,N11,M11,I11,H11)</f>
        <v/>
      </c>
      <c r="R11" s="52" t="n">
        <v>0.539</v>
      </c>
      <c r="S11" s="52">
        <f>N11</f>
        <v/>
      </c>
      <c r="T11" s="55" t="n">
        <v>0.7</v>
      </c>
      <c r="U11" s="55" t="n">
        <v>0.7</v>
      </c>
    </row>
    <row r="12" ht="16.5" customHeight="1" s="327">
      <c r="A12" s="8" t="n"/>
      <c r="B12" s="8" t="n"/>
      <c r="C12" s="8" t="n"/>
      <c r="D12" s="8" t="inlineStr"/>
      <c r="E12" s="8" t="n"/>
      <c r="F12" s="22" t="inlineStr">
        <is>
          <t>主投</t>
        </is>
      </c>
      <c r="G12" s="9" t="inlineStr">
        <is>
          <t>滚动转化率</t>
        </is>
      </c>
      <c r="H12" s="56">
        <f>H16/H9</f>
        <v/>
      </c>
      <c r="I12" s="52" t="n">
        <v>0.094</v>
      </c>
      <c r="J12" s="53">
        <f>(H12-I12)/H12</f>
        <v/>
      </c>
      <c r="K12" s="52" t="n">
        <v>0.08500000000000001</v>
      </c>
      <c r="L12" s="52" t="n">
        <v>0.139</v>
      </c>
      <c r="M12" s="52" t="n">
        <v>0.09</v>
      </c>
      <c r="N12" s="52" t="n">
        <v>0.08724</v>
      </c>
      <c r="O12" s="52" t="n">
        <v>0.07076399999999999</v>
      </c>
      <c r="P12" s="53">
        <f>(N12-O12)/N12</f>
        <v/>
      </c>
      <c r="Q12" s="54">
        <f>AVERAGE(O12,N12,M12,I12,H12)</f>
        <v/>
      </c>
      <c r="R12" s="52" t="n">
        <v>0.04043</v>
      </c>
      <c r="S12" s="52" t="n">
        <v>0.075</v>
      </c>
      <c r="T12" s="52" t="n">
        <v>0.115</v>
      </c>
      <c r="U12" s="52" t="n">
        <v>0.115</v>
      </c>
    </row>
    <row r="13" ht="16.5" customHeight="1" s="327">
      <c r="A13" s="8" t="n"/>
      <c r="B13" s="8" t="n"/>
      <c r="C13" s="8" t="n"/>
      <c r="D13" s="8" t="n"/>
      <c r="E13" s="8" t="n"/>
      <c r="F13" s="22" t="inlineStr">
        <is>
          <t>主投</t>
        </is>
      </c>
      <c r="G13" s="9" t="inlineStr">
        <is>
          <t>ASP</t>
        </is>
      </c>
      <c r="H13" s="429">
        <f>H17/H16</f>
        <v/>
      </c>
      <c r="I13" s="427" t="n">
        <v>3943</v>
      </c>
      <c r="J13" s="53">
        <f>(H13-I13)/H13</f>
        <v/>
      </c>
      <c r="K13" s="427" t="n">
        <v>4444</v>
      </c>
      <c r="L13" s="427" t="n">
        <v>4220</v>
      </c>
      <c r="M13" s="427" t="n">
        <v>4898</v>
      </c>
      <c r="N13" s="427" t="n">
        <v>6019</v>
      </c>
      <c r="O13" s="427" t="n">
        <v>5287</v>
      </c>
      <c r="P13" s="53">
        <f>(N13-O13)/N13</f>
        <v/>
      </c>
      <c r="Q13" s="451">
        <f>AVERAGE(O13,N13,M13,I13,H13)</f>
        <v/>
      </c>
      <c r="R13" s="427" t="n">
        <v>5195</v>
      </c>
      <c r="S13" s="427" t="n">
        <v>5195</v>
      </c>
      <c r="T13" s="427" t="n">
        <v>4900</v>
      </c>
      <c r="U13" s="427" t="n">
        <v>4900</v>
      </c>
    </row>
    <row r="14" ht="16.5" customHeight="1" s="327">
      <c r="A14" s="8" t="n"/>
      <c r="B14" s="8" t="n"/>
      <c r="C14" s="8" t="n"/>
      <c r="D14" s="8" t="n"/>
      <c r="E14" s="8" t="n"/>
      <c r="F14" s="22" t="inlineStr">
        <is>
          <t>主投</t>
        </is>
      </c>
      <c r="G14" s="9" t="inlineStr">
        <is>
          <t>分发数</t>
        </is>
      </c>
      <c r="H14" s="430" t="n">
        <v>416</v>
      </c>
      <c r="I14" s="430">
        <f>I$9*I10</f>
        <v/>
      </c>
      <c r="J14" s="454" t="n"/>
      <c r="K14" s="430">
        <f>K$9*K10</f>
        <v/>
      </c>
      <c r="L14" s="430">
        <f>L$9*L10</f>
        <v/>
      </c>
      <c r="M14" s="430">
        <f>M$9*M10</f>
        <v/>
      </c>
      <c r="N14" s="430">
        <f>N$9*N10</f>
        <v/>
      </c>
      <c r="O14" s="430">
        <f>O$9*O10</f>
        <v/>
      </c>
      <c r="P14" s="454" t="n"/>
      <c r="Q14" s="455">
        <f>Q$9*Q10</f>
        <v/>
      </c>
      <c r="R14" s="430">
        <f>R$9*R10</f>
        <v/>
      </c>
      <c r="S14" s="430">
        <f>S$9*S10</f>
        <v/>
      </c>
      <c r="T14" s="430">
        <f>T$9*T10</f>
        <v/>
      </c>
      <c r="U14" s="430">
        <f>U$9*U10</f>
        <v/>
      </c>
    </row>
    <row r="15" ht="16.5" customHeight="1" s="327">
      <c r="A15" s="8" t="n"/>
      <c r="B15" s="8" t="n"/>
      <c r="C15" s="8" t="n"/>
      <c r="D15" s="8" t="n"/>
      <c r="E15" s="8" t="n"/>
      <c r="F15" s="22" t="inlineStr">
        <is>
          <t>主投</t>
        </is>
      </c>
      <c r="G15" s="9" t="inlineStr">
        <is>
          <t>到课数</t>
        </is>
      </c>
      <c r="H15" s="430" t="n">
        <v>281</v>
      </c>
      <c r="I15" s="430">
        <f>I$9*I11</f>
        <v/>
      </c>
      <c r="J15" s="454" t="n"/>
      <c r="K15" s="430">
        <f>K$9*K11</f>
        <v/>
      </c>
      <c r="L15" s="430">
        <f>L$9*L11</f>
        <v/>
      </c>
      <c r="M15" s="430">
        <f>M$9*M11</f>
        <v/>
      </c>
      <c r="N15" s="430">
        <f>N$9*N11</f>
        <v/>
      </c>
      <c r="O15" s="430">
        <f>O$9*O11</f>
        <v/>
      </c>
      <c r="P15" s="454" t="n"/>
      <c r="Q15" s="455">
        <f>Q$9*Q11</f>
        <v/>
      </c>
      <c r="R15" s="430">
        <f>R$9*R11</f>
        <v/>
      </c>
      <c r="S15" s="430">
        <f>S$9*S11</f>
        <v/>
      </c>
      <c r="T15" s="430">
        <f>T$9*T11</f>
        <v/>
      </c>
      <c r="U15" s="430">
        <f>U$9*U11</f>
        <v/>
      </c>
    </row>
    <row r="16" ht="16.5" customHeight="1" s="327">
      <c r="A16" s="8" t="n"/>
      <c r="B16" s="8" t="n"/>
      <c r="C16" s="8" t="n"/>
      <c r="D16" s="8" t="n"/>
      <c r="E16" s="8" t="n"/>
      <c r="F16" s="22" t="inlineStr">
        <is>
          <t>主投</t>
        </is>
      </c>
      <c r="G16" s="9" t="inlineStr">
        <is>
          <t>转化数</t>
        </is>
      </c>
      <c r="H16" s="430" t="n">
        <v>43</v>
      </c>
      <c r="I16" s="430">
        <f>I$9*I12</f>
        <v/>
      </c>
      <c r="J16" s="454" t="n"/>
      <c r="K16" s="430">
        <f>K$9*K12</f>
        <v/>
      </c>
      <c r="L16" s="430">
        <f>L$9*L12</f>
        <v/>
      </c>
      <c r="M16" s="430">
        <f>M$9*M12</f>
        <v/>
      </c>
      <c r="N16" s="430">
        <f>N$9*N12</f>
        <v/>
      </c>
      <c r="O16" s="430">
        <f>O$9*O12</f>
        <v/>
      </c>
      <c r="P16" s="454" t="n"/>
      <c r="Q16" s="455">
        <f>Q$9*Q12</f>
        <v/>
      </c>
      <c r="R16" s="430">
        <f>R$9*R12</f>
        <v/>
      </c>
      <c r="S16" s="430">
        <f>S$9*S12</f>
        <v/>
      </c>
      <c r="T16" s="430">
        <f>T$9*T12</f>
        <v/>
      </c>
      <c r="U16" s="430">
        <f>U$9*U12</f>
        <v/>
      </c>
    </row>
    <row r="17" ht="16.5" customHeight="1" s="327">
      <c r="A17" s="8" t="n"/>
      <c r="B17" s="430" t="n"/>
      <c r="C17" s="8" t="n"/>
      <c r="D17" s="8" t="n"/>
      <c r="E17" s="8" t="n"/>
      <c r="F17" s="22" t="inlineStr">
        <is>
          <t>主投</t>
        </is>
      </c>
      <c r="G17" s="9" t="inlineStr">
        <is>
          <t>GMV</t>
        </is>
      </c>
      <c r="H17" s="430" t="n">
        <v>181744</v>
      </c>
      <c r="I17" s="430">
        <f>I13*I16</f>
        <v/>
      </c>
      <c r="J17" s="53">
        <f>(H17-I17)/H17</f>
        <v/>
      </c>
      <c r="K17" s="430">
        <f>K13*K16</f>
        <v/>
      </c>
      <c r="L17" s="430">
        <f>L13*L16</f>
        <v/>
      </c>
      <c r="M17" s="430">
        <f>M13*M16</f>
        <v/>
      </c>
      <c r="N17" s="430">
        <f>N13*N16</f>
        <v/>
      </c>
      <c r="O17" s="430">
        <f>O13*O16</f>
        <v/>
      </c>
      <c r="P17" s="50" t="inlineStr">
        <is>
          <t>\</t>
        </is>
      </c>
      <c r="Q17" s="455">
        <f>Q13*Q16</f>
        <v/>
      </c>
      <c r="R17" s="430">
        <f>R13*R16</f>
        <v/>
      </c>
      <c r="S17" s="430">
        <f>S13*S16</f>
        <v/>
      </c>
      <c r="T17" s="430">
        <f>T13*T16</f>
        <v/>
      </c>
      <c r="U17" s="430">
        <f>U13*U16</f>
        <v/>
      </c>
    </row>
    <row r="18" ht="16.5" customHeight="1" s="327">
      <c r="A18" s="8" t="n"/>
      <c r="B18" s="430" t="n"/>
      <c r="C18" s="8" t="n"/>
      <c r="D18" s="8" t="n"/>
      <c r="E18" s="8" t="n"/>
      <c r="F18" s="22" t="n"/>
      <c r="G18" s="9" t="inlineStr">
        <is>
          <t>GMV/leads</t>
        </is>
      </c>
      <c r="H18" s="430">
        <f>H17/H9</f>
        <v/>
      </c>
      <c r="I18" s="430">
        <f>I17/I9</f>
        <v/>
      </c>
      <c r="J18" s="50" t="n"/>
      <c r="K18" s="430">
        <f>K17/K9</f>
        <v/>
      </c>
      <c r="L18" s="430">
        <f>L17/L9</f>
        <v/>
      </c>
      <c r="M18" s="430">
        <f>M17/M9</f>
        <v/>
      </c>
      <c r="N18" s="430">
        <f>N17/N9</f>
        <v/>
      </c>
      <c r="O18" s="430">
        <f>O17/O9</f>
        <v/>
      </c>
      <c r="P18" s="53">
        <f>(N18-O18)/N18</f>
        <v/>
      </c>
      <c r="Q18" s="455">
        <f>Q17/Q9</f>
        <v/>
      </c>
      <c r="R18" s="430">
        <f>R17/R9</f>
        <v/>
      </c>
      <c r="S18" s="430">
        <f>S17/S9</f>
        <v/>
      </c>
      <c r="T18" s="430">
        <f>T17/T9</f>
        <v/>
      </c>
      <c r="U18" s="430">
        <f>U17/U9</f>
        <v/>
      </c>
    </row>
    <row r="19" ht="16.5" customHeight="1" s="327">
      <c r="A19" s="8" t="n"/>
      <c r="B19" s="8" t="n"/>
      <c r="C19" s="8" t="n"/>
      <c r="D19" s="8" t="n"/>
      <c r="E19" s="8" t="n"/>
      <c r="F19" s="22" t="inlineStr">
        <is>
          <t>主投</t>
        </is>
      </c>
      <c r="G19" s="9" t="inlineStr">
        <is>
          <t>ROI 2成本项</t>
        </is>
      </c>
      <c r="H19" s="430">
        <f>SUM(H20:H24)+H7</f>
        <v/>
      </c>
      <c r="I19" s="430">
        <f>SUM(I20:I24)+I7</f>
        <v/>
      </c>
      <c r="J19" s="454" t="n"/>
      <c r="K19" s="430">
        <f>SUM(K20:K24)+K7</f>
        <v/>
      </c>
      <c r="L19" s="430">
        <f>SUM(L20:L24)+L7</f>
        <v/>
      </c>
      <c r="M19" s="430">
        <f>SUM(M20:M24)+M7</f>
        <v/>
      </c>
      <c r="N19" s="430">
        <f>SUM(N20:N24)+N7</f>
        <v/>
      </c>
      <c r="O19" s="430">
        <f>SUM(O20:O24)+O7</f>
        <v/>
      </c>
      <c r="P19" s="454" t="n"/>
      <c r="Q19" s="455">
        <f>SUM(Q20:Q24)+Q7</f>
        <v/>
      </c>
      <c r="R19" s="430">
        <f>SUM(R20:R24)+R7</f>
        <v/>
      </c>
      <c r="S19" s="430">
        <f>SUM(S20:S24)+S7</f>
        <v/>
      </c>
      <c r="T19" s="430">
        <f>SUM(T20:T24)+T7</f>
        <v/>
      </c>
      <c r="U19" s="430">
        <f>SUM(U20:U24)+U7</f>
        <v/>
      </c>
    </row>
    <row r="20" ht="16.5" customHeight="1" s="327">
      <c r="A20" s="8" t="n"/>
      <c r="B20" s="8" t="n"/>
      <c r="C20" s="8" t="n"/>
      <c r="D20" s="8" t="n"/>
      <c r="E20" s="8" t="n"/>
      <c r="F20" s="22" t="inlineStr">
        <is>
          <t>主投</t>
        </is>
      </c>
      <c r="G20" s="9" t="inlineStr">
        <is>
          <t>销售固定成本</t>
        </is>
      </c>
      <c r="H20" s="430">
        <f>H14*$C$4</f>
        <v/>
      </c>
      <c r="I20" s="430">
        <f>I14*$C$4</f>
        <v/>
      </c>
      <c r="J20" s="454" t="n"/>
      <c r="K20" s="430">
        <f>K14*$C$4</f>
        <v/>
      </c>
      <c r="L20" s="430">
        <f>L14*$C$4</f>
        <v/>
      </c>
      <c r="M20" s="430">
        <f>M14*$C$4</f>
        <v/>
      </c>
      <c r="N20" s="430">
        <f>N14*$C$4</f>
        <v/>
      </c>
      <c r="O20" s="430">
        <f>O14*$C$4</f>
        <v/>
      </c>
      <c r="P20" s="454" t="n"/>
      <c r="Q20" s="455">
        <f>Q14*$C$4</f>
        <v/>
      </c>
      <c r="R20" s="430">
        <f>R14*$C$4</f>
        <v/>
      </c>
      <c r="S20" s="430">
        <f>S14*$C$4</f>
        <v/>
      </c>
      <c r="T20" s="430">
        <f>T14*$C$4</f>
        <v/>
      </c>
      <c r="U20" s="430">
        <f>U14*$C$4</f>
        <v/>
      </c>
    </row>
    <row r="21" ht="16.5" customHeight="1" s="327">
      <c r="A21" s="8" t="n"/>
      <c r="B21" s="8" t="n"/>
      <c r="C21" s="8" t="n"/>
      <c r="D21" s="8" t="n"/>
      <c r="E21" s="8" t="n"/>
      <c r="F21" s="22" t="inlineStr">
        <is>
          <t>主投</t>
        </is>
      </c>
      <c r="G21" s="9" t="inlineStr">
        <is>
          <t>销售变动成本</t>
        </is>
      </c>
      <c r="H21" s="430">
        <f>H17*($C$6+$C$7)</f>
        <v/>
      </c>
      <c r="I21" s="430">
        <f>I17*($C$6+$C$7)</f>
        <v/>
      </c>
      <c r="J21" s="454" t="n"/>
      <c r="K21" s="430">
        <f>K17*($C$6+$C$7)</f>
        <v/>
      </c>
      <c r="L21" s="430">
        <f>L17*($C$6+$C$7)</f>
        <v/>
      </c>
      <c r="M21" s="430">
        <f>M17*($C$6+$C$7)</f>
        <v/>
      </c>
      <c r="N21" s="430">
        <f>N17*($C$6+$C$7)</f>
        <v/>
      </c>
      <c r="O21" s="430">
        <f>O17*($C$6+$C$7)</f>
        <v/>
      </c>
      <c r="P21" s="454" t="n"/>
      <c r="Q21" s="455">
        <f>Q17*($C$6+$C$7)</f>
        <v/>
      </c>
      <c r="R21" s="430">
        <f>R17*($C$6+$C$7)</f>
        <v/>
      </c>
      <c r="S21" s="430">
        <f>S17*($C$6+$C$7)</f>
        <v/>
      </c>
      <c r="T21" s="430">
        <f>T17*($C$6+$C$7)</f>
        <v/>
      </c>
      <c r="U21" s="430">
        <f>U17*($C$6+$C$7)</f>
        <v/>
      </c>
    </row>
    <row r="22" ht="16.5" customHeight="1" s="327">
      <c r="A22" s="8" t="n"/>
      <c r="B22" s="8" t="n"/>
      <c r="C22" s="8" t="n"/>
      <c r="D22" s="8" t="n"/>
      <c r="E22" s="8" t="n"/>
      <c r="F22" s="22" t="inlineStr">
        <is>
          <t>主投</t>
        </is>
      </c>
      <c r="G22" s="9" t="inlineStr">
        <is>
          <t>TMK费用</t>
        </is>
      </c>
      <c r="H22" s="430">
        <f>H9*$C$5</f>
        <v/>
      </c>
      <c r="I22" s="430">
        <f>I9*$C$5</f>
        <v/>
      </c>
      <c r="J22" s="454" t="n"/>
      <c r="K22" s="430">
        <f>K9*$C$5</f>
        <v/>
      </c>
      <c r="L22" s="430">
        <f>L9*$C$5</f>
        <v/>
      </c>
      <c r="M22" s="430">
        <f>M9*$C$5</f>
        <v/>
      </c>
      <c r="N22" s="430">
        <f>N9*$C$5</f>
        <v/>
      </c>
      <c r="O22" s="430">
        <f>O9*$C$5</f>
        <v/>
      </c>
      <c r="P22" s="454" t="n"/>
      <c r="Q22" s="455">
        <f>Q9*$C$5</f>
        <v/>
      </c>
      <c r="R22" s="430">
        <f>R9*$C$5</f>
        <v/>
      </c>
      <c r="S22" s="430">
        <f>S9*$C$5</f>
        <v/>
      </c>
      <c r="T22" s="430">
        <f>T9*$C$5</f>
        <v/>
      </c>
      <c r="U22" s="430">
        <f>U9*$C$5</f>
        <v/>
      </c>
    </row>
    <row r="23" ht="16.5" customHeight="1" s="327">
      <c r="A23" s="8" t="n"/>
      <c r="B23" s="8" t="n"/>
      <c r="C23" s="8" t="n"/>
      <c r="D23" s="8" t="n"/>
      <c r="E23" s="8" t="n"/>
      <c r="F23" s="22" t="inlineStr">
        <is>
          <t>主投</t>
        </is>
      </c>
      <c r="G23" s="9" t="inlineStr">
        <is>
          <t>DEMO费用</t>
        </is>
      </c>
      <c r="H23" s="430">
        <f>H15*$C$8</f>
        <v/>
      </c>
      <c r="I23" s="430">
        <f>I15*$C$8</f>
        <v/>
      </c>
      <c r="J23" s="454" t="n"/>
      <c r="K23" s="430">
        <f>K15*$C$8</f>
        <v/>
      </c>
      <c r="L23" s="430">
        <f>L15*$C$8</f>
        <v/>
      </c>
      <c r="M23" s="430">
        <f>M15*$C$8</f>
        <v/>
      </c>
      <c r="N23" s="430">
        <f>N15*$C$8</f>
        <v/>
      </c>
      <c r="O23" s="430">
        <f>O15*$C$8</f>
        <v/>
      </c>
      <c r="P23" s="454" t="n"/>
      <c r="Q23" s="455">
        <f>Q15*$C$8</f>
        <v/>
      </c>
      <c r="R23" s="430">
        <f>R15*$C$8</f>
        <v/>
      </c>
      <c r="S23" s="430">
        <f>S15*$C$8</f>
        <v/>
      </c>
      <c r="T23" s="430">
        <f>T15*$C$8</f>
        <v/>
      </c>
      <c r="U23" s="430">
        <f>U15*$C$8</f>
        <v/>
      </c>
    </row>
    <row r="24" ht="16.5" customHeight="1" s="327">
      <c r="A24" s="8" t="n"/>
      <c r="B24" s="8" t="n"/>
      <c r="C24" s="8" t="n"/>
      <c r="D24" s="8" t="n"/>
      <c r="E24" s="8" t="n"/>
      <c r="F24" s="22" t="inlineStr">
        <is>
          <t>主投</t>
        </is>
      </c>
      <c r="G24" s="9" t="inlineStr">
        <is>
          <t>运营人工成本</t>
        </is>
      </c>
      <c r="H24" s="430">
        <f>H9*$C$9/2</f>
        <v/>
      </c>
      <c r="I24" s="430">
        <f>I9*$C$9/2</f>
        <v/>
      </c>
      <c r="J24" s="454" t="n"/>
      <c r="K24" s="430">
        <f>K9*$C$9/2</f>
        <v/>
      </c>
      <c r="L24" s="430">
        <f>L9*$C$9/2</f>
        <v/>
      </c>
      <c r="M24" s="430">
        <f>M9*$C$9/2</f>
        <v/>
      </c>
      <c r="N24" s="430">
        <f>N9*$C$9/2</f>
        <v/>
      </c>
      <c r="O24" s="430">
        <f>O9*$C$9/2</f>
        <v/>
      </c>
      <c r="P24" s="454" t="n"/>
      <c r="Q24" s="455">
        <f>Q9*$C$9/2</f>
        <v/>
      </c>
      <c r="R24" s="430">
        <f>R9*$C$9/2</f>
        <v/>
      </c>
      <c r="S24" s="430">
        <f>S9*$C$9/2</f>
        <v/>
      </c>
      <c r="T24" s="430">
        <f>T9*$C$9/2</f>
        <v/>
      </c>
      <c r="U24" s="430">
        <f>U9*$C$9/2</f>
        <v/>
      </c>
    </row>
    <row r="25" ht="16.5" customHeight="1" s="327">
      <c r="A25" s="8" t="n"/>
      <c r="B25" s="8" t="n"/>
      <c r="C25" s="8" t="n"/>
      <c r="D25" s="8" t="n"/>
      <c r="E25" s="8" t="n"/>
      <c r="F25" s="22" t="inlineStr">
        <is>
          <t>主投</t>
        </is>
      </c>
      <c r="G25" s="9" t="inlineStr">
        <is>
          <t>ROI 2</t>
        </is>
      </c>
      <c r="H25" s="431">
        <f>H17/H19</f>
        <v/>
      </c>
      <c r="I25" s="431">
        <f>I17/I19</f>
        <v/>
      </c>
      <c r="J25" s="456" t="n"/>
      <c r="K25" s="431">
        <f>K17/K19</f>
        <v/>
      </c>
      <c r="L25" s="431">
        <f>L17/L19</f>
        <v/>
      </c>
      <c r="M25" s="431">
        <f>M17/M19</f>
        <v/>
      </c>
      <c r="N25" s="431">
        <f>N17/N19</f>
        <v/>
      </c>
      <c r="O25" s="431">
        <f>O17/O19</f>
        <v/>
      </c>
      <c r="P25" s="456" t="n"/>
      <c r="Q25" s="457">
        <f>Q17/Q19</f>
        <v/>
      </c>
      <c r="R25" s="431">
        <f>R17/R19</f>
        <v/>
      </c>
      <c r="S25" s="431">
        <f>S17/S19</f>
        <v/>
      </c>
      <c r="T25" s="431">
        <f>T17/T19</f>
        <v/>
      </c>
      <c r="U25" s="431">
        <f>U17/U19</f>
        <v/>
      </c>
    </row>
    <row r="26" ht="16.5" customHeight="1" s="327">
      <c r="A26" s="9" t="n"/>
      <c r="B26" s="9" t="n"/>
      <c r="C26" s="9" t="n"/>
      <c r="D26" s="9" t="n"/>
      <c r="E26" s="9" t="n"/>
      <c r="F26" s="22" t="n"/>
      <c r="G26" s="9" t="n"/>
      <c r="H26" s="9" t="n"/>
      <c r="I26" s="9" t="n"/>
      <c r="J26" s="42" t="n"/>
      <c r="K26" s="9" t="n"/>
      <c r="L26" s="9" t="n"/>
      <c r="M26" s="9" t="n"/>
      <c r="N26" s="9" t="n"/>
      <c r="O26" s="9" t="n"/>
      <c r="P26" s="42" t="n"/>
      <c r="Q26" s="43" t="n"/>
      <c r="R26" s="9" t="n"/>
      <c r="S26" s="9" t="n"/>
      <c r="T26" s="9" t="n"/>
      <c r="U26" s="9" t="n"/>
    </row>
    <row r="27" ht="16.5" customHeight="1" s="327">
      <c r="A27" s="8" t="n"/>
      <c r="B27" s="8" t="n"/>
      <c r="C27" s="8" t="n"/>
      <c r="D27" s="8" t="n"/>
      <c r="E27" s="8" t="n"/>
      <c r="F27" s="22" t="inlineStr">
        <is>
          <t>辅投</t>
        </is>
      </c>
      <c r="G27" s="9" t="inlineStr">
        <is>
          <t>联投率</t>
        </is>
      </c>
      <c r="H27" s="432" t="n"/>
      <c r="I27" s="432" t="n"/>
      <c r="J27" s="458" t="n"/>
      <c r="K27" s="432" t="n"/>
      <c r="L27" s="432" t="n"/>
      <c r="M27" s="432" t="n"/>
      <c r="N27" s="432" t="n"/>
      <c r="O27" s="432" t="n"/>
      <c r="P27" s="458" t="n"/>
      <c r="Q27" s="459" t="n"/>
      <c r="R27" s="432" t="n"/>
      <c r="S27" s="432" t="n"/>
      <c r="T27" s="432" t="n"/>
    </row>
    <row r="28" ht="16.5" customHeight="1" s="327">
      <c r="A28" s="8" t="n"/>
      <c r="B28" s="8" t="n"/>
      <c r="C28" s="8" t="n"/>
      <c r="D28" s="8" t="n"/>
      <c r="E28" s="8" t="n"/>
      <c r="F28" s="22" t="inlineStr">
        <is>
          <t>辅投</t>
        </is>
      </c>
      <c r="G28" s="9" t="inlineStr">
        <is>
          <t>例子数</t>
        </is>
      </c>
      <c r="H28" s="430" t="n"/>
      <c r="I28" s="430" t="n"/>
      <c r="J28" s="454" t="n"/>
      <c r="K28" s="430" t="n"/>
      <c r="L28" s="430" t="n"/>
      <c r="M28" s="430" t="n"/>
      <c r="N28" s="430" t="n"/>
      <c r="O28" s="430" t="n"/>
      <c r="P28" s="454" t="n"/>
      <c r="Q28" s="455" t="n"/>
      <c r="R28" s="430" t="n"/>
      <c r="S28" s="430" t="n"/>
      <c r="T28" s="430" t="n"/>
    </row>
    <row r="29" ht="16.5" customHeight="1" s="327">
      <c r="A29" s="8" t="n"/>
      <c r="B29" s="8" t="n"/>
      <c r="C29" s="8" t="n"/>
      <c r="D29" s="8" t="n"/>
      <c r="E29" s="8" t="n"/>
      <c r="F29" s="22" t="inlineStr">
        <is>
          <t>辅投</t>
        </is>
      </c>
      <c r="G29" s="9" t="inlineStr">
        <is>
          <t>例子分发率</t>
        </is>
      </c>
      <c r="H29" s="67" t="n"/>
      <c r="I29" s="67" t="n"/>
      <c r="J29" s="50" t="n"/>
      <c r="K29" s="67" t="n"/>
      <c r="L29" s="67" t="n"/>
      <c r="M29" s="67" t="n"/>
      <c r="N29" s="67" t="n"/>
      <c r="O29" s="67" t="n"/>
      <c r="P29" s="50" t="n"/>
      <c r="Q29" s="68" t="n"/>
      <c r="R29" s="67" t="n"/>
      <c r="S29" s="67" t="n"/>
      <c r="T29" s="67" t="n"/>
    </row>
    <row r="30" ht="16.5" customHeight="1" s="327">
      <c r="A30" s="8" t="n"/>
      <c r="B30" s="8" t="n"/>
      <c r="C30" s="8" t="n"/>
      <c r="D30" s="8" t="n"/>
      <c r="E30" s="8" t="n"/>
      <c r="F30" s="22" t="inlineStr">
        <is>
          <t>辅投</t>
        </is>
      </c>
      <c r="G30" s="9" t="inlineStr">
        <is>
          <t>例子到课率</t>
        </is>
      </c>
      <c r="H30" s="67" t="n"/>
      <c r="I30" s="69" t="n"/>
      <c r="J30" s="53" t="n"/>
      <c r="K30" s="69" t="n"/>
      <c r="L30" s="69" t="n"/>
      <c r="M30" s="69" t="n"/>
      <c r="N30" s="69" t="n"/>
      <c r="O30" s="69" t="n"/>
      <c r="P30" s="53" t="n"/>
      <c r="Q30" s="70" t="n"/>
      <c r="R30" s="69" t="n"/>
      <c r="S30" s="69" t="n"/>
      <c r="T30" s="69" t="n"/>
    </row>
    <row r="31" ht="16.5" customHeight="1" s="327">
      <c r="A31" s="8" t="n"/>
      <c r="B31" s="8" t="n"/>
      <c r="C31" s="8" t="n"/>
      <c r="D31" s="8" t="n"/>
      <c r="E31" s="8" t="n"/>
      <c r="F31" s="22" t="inlineStr">
        <is>
          <t>辅投</t>
        </is>
      </c>
      <c r="G31" s="9" t="inlineStr">
        <is>
          <t>滚动转化率</t>
        </is>
      </c>
      <c r="H31" s="71" t="n"/>
      <c r="I31" s="72" t="n"/>
      <c r="J31" s="53" t="n"/>
      <c r="K31" s="72" t="n"/>
      <c r="L31" s="72" t="n"/>
      <c r="M31" s="72" t="n"/>
      <c r="N31" s="72" t="n"/>
      <c r="O31" s="72" t="n"/>
      <c r="P31" s="53" t="n"/>
      <c r="Q31" s="70" t="n"/>
      <c r="R31" s="72" t="n"/>
      <c r="S31" s="72" t="n"/>
      <c r="T31" s="72" t="n"/>
    </row>
    <row r="32" ht="16.5" customHeight="1" s="327">
      <c r="A32" s="8" t="n"/>
      <c r="B32" s="8" t="n"/>
      <c r="C32" s="8" t="n"/>
      <c r="D32" s="8" t="n"/>
      <c r="E32" s="8" t="n"/>
      <c r="F32" s="22" t="inlineStr">
        <is>
          <t>辅投</t>
        </is>
      </c>
      <c r="G32" s="9" t="inlineStr">
        <is>
          <t>ASP</t>
        </is>
      </c>
      <c r="H32" s="433" t="n"/>
      <c r="I32" s="434" t="n"/>
      <c r="J32" s="454" t="n"/>
      <c r="K32" s="434" t="n"/>
      <c r="L32" s="434" t="n"/>
      <c r="M32" s="434" t="n"/>
      <c r="N32" s="434" t="n"/>
      <c r="O32" s="434" t="n"/>
      <c r="P32" s="454" t="n"/>
      <c r="Q32" s="455" t="n"/>
      <c r="R32" s="434" t="n"/>
      <c r="S32" s="434" t="n"/>
      <c r="T32" s="434" t="n"/>
    </row>
    <row r="33" ht="16.5" customHeight="1" s="327">
      <c r="A33" s="8" t="n"/>
      <c r="B33" s="8" t="n"/>
      <c r="C33" s="8" t="n"/>
      <c r="D33" s="8" t="n"/>
      <c r="E33" s="8" t="n"/>
      <c r="F33" s="22" t="inlineStr">
        <is>
          <t>辅投</t>
        </is>
      </c>
      <c r="G33" s="9" t="inlineStr">
        <is>
          <t>分发数</t>
        </is>
      </c>
      <c r="H33" s="430" t="n"/>
      <c r="I33" s="430" t="n"/>
      <c r="J33" s="454" t="n"/>
      <c r="K33" s="430" t="n"/>
      <c r="L33" s="430" t="n"/>
      <c r="M33" s="430" t="n"/>
      <c r="N33" s="430" t="n"/>
      <c r="O33" s="430" t="n"/>
      <c r="P33" s="454" t="n"/>
      <c r="Q33" s="455" t="n"/>
      <c r="R33" s="430" t="n"/>
      <c r="S33" s="430" t="n"/>
      <c r="T33" s="430" t="n"/>
    </row>
    <row r="34" ht="16.5" customHeight="1" s="327">
      <c r="A34" s="8" t="n"/>
      <c r="B34" s="8" t="n"/>
      <c r="C34" s="8" t="n"/>
      <c r="D34" s="8" t="n"/>
      <c r="E34" s="8" t="n"/>
      <c r="F34" s="22" t="inlineStr">
        <is>
          <t>辅投</t>
        </is>
      </c>
      <c r="G34" s="9" t="inlineStr">
        <is>
          <t>到课数</t>
        </is>
      </c>
      <c r="H34" s="430" t="n"/>
      <c r="I34" s="430" t="n"/>
      <c r="J34" s="454" t="n"/>
      <c r="K34" s="430" t="n"/>
      <c r="L34" s="430" t="n"/>
      <c r="M34" s="430" t="n"/>
      <c r="N34" s="430" t="n"/>
      <c r="O34" s="430" t="n"/>
      <c r="P34" s="454" t="n"/>
      <c r="Q34" s="455" t="n"/>
      <c r="R34" s="430" t="n"/>
      <c r="S34" s="430" t="n"/>
      <c r="T34" s="430" t="n"/>
    </row>
    <row r="35" ht="16.5" customHeight="1" s="327">
      <c r="A35" s="8" t="n"/>
      <c r="B35" s="8" t="n"/>
      <c r="C35" s="8" t="n"/>
      <c r="D35" s="8" t="n"/>
      <c r="E35" s="8" t="n"/>
      <c r="F35" s="22" t="inlineStr">
        <is>
          <t>辅投</t>
        </is>
      </c>
      <c r="G35" s="9" t="inlineStr">
        <is>
          <t>转化数</t>
        </is>
      </c>
      <c r="H35" s="430" t="n"/>
      <c r="I35" s="430" t="n"/>
      <c r="J35" s="454" t="n"/>
      <c r="K35" s="430" t="n"/>
      <c r="L35" s="430" t="n"/>
      <c r="M35" s="430" t="n"/>
      <c r="N35" s="430" t="n"/>
      <c r="O35" s="430" t="n"/>
      <c r="P35" s="454" t="n"/>
      <c r="Q35" s="455" t="n"/>
      <c r="R35" s="430" t="n"/>
      <c r="S35" s="430" t="n"/>
      <c r="T35" s="430" t="n"/>
    </row>
    <row r="36" ht="16.5" customHeight="1" s="327">
      <c r="A36" s="8" t="n"/>
      <c r="B36" s="8" t="n"/>
      <c r="C36" s="8" t="n"/>
      <c r="D36" s="8" t="n"/>
      <c r="E36" s="8" t="n"/>
      <c r="F36" s="22" t="inlineStr">
        <is>
          <t>辅投</t>
        </is>
      </c>
      <c r="G36" s="9" t="inlineStr">
        <is>
          <t>GMV</t>
        </is>
      </c>
      <c r="H36" s="430" t="n"/>
      <c r="I36" s="430" t="n"/>
      <c r="J36" s="454" t="n"/>
      <c r="K36" s="430" t="n"/>
      <c r="L36" s="430" t="n"/>
      <c r="M36" s="430" t="n"/>
      <c r="N36" s="430" t="n"/>
      <c r="O36" s="430" t="n"/>
      <c r="P36" s="454" t="n"/>
      <c r="Q36" s="455" t="n"/>
      <c r="R36" s="430" t="n"/>
      <c r="S36" s="430" t="n"/>
      <c r="T36" s="430" t="n"/>
    </row>
    <row r="37" ht="16.5" customHeight="1" s="327">
      <c r="A37" s="8" t="n"/>
      <c r="B37" s="8" t="n"/>
      <c r="C37" s="8" t="n"/>
      <c r="D37" s="8" t="n"/>
      <c r="E37" s="8" t="n"/>
      <c r="F37" s="22" t="inlineStr">
        <is>
          <t>辅投</t>
        </is>
      </c>
      <c r="G37" s="9" t="inlineStr">
        <is>
          <t>ROI 2成本项</t>
        </is>
      </c>
      <c r="H37" s="430" t="n"/>
      <c r="I37" s="430" t="n"/>
      <c r="J37" s="454" t="n"/>
      <c r="K37" s="430" t="n"/>
      <c r="L37" s="430" t="n"/>
      <c r="M37" s="430" t="n"/>
      <c r="N37" s="430" t="n"/>
      <c r="O37" s="430" t="n"/>
      <c r="P37" s="454" t="n"/>
      <c r="Q37" s="455" t="n"/>
      <c r="R37" s="430" t="n"/>
      <c r="S37" s="430" t="n"/>
      <c r="T37" s="430" t="n"/>
    </row>
    <row r="38" ht="16.5" customHeight="1" s="327">
      <c r="A38" s="8" t="n"/>
      <c r="B38" s="8" t="n"/>
      <c r="C38" s="8" t="n"/>
      <c r="D38" s="8" t="n"/>
      <c r="E38" s="8" t="n"/>
      <c r="F38" s="22" t="inlineStr">
        <is>
          <t>辅投</t>
        </is>
      </c>
      <c r="G38" s="9" t="inlineStr">
        <is>
          <t>销售固定成本</t>
        </is>
      </c>
      <c r="H38" s="430" t="n"/>
      <c r="I38" s="430" t="n"/>
      <c r="J38" s="454" t="n"/>
      <c r="K38" s="430" t="n"/>
      <c r="L38" s="430" t="n"/>
      <c r="M38" s="430" t="n"/>
      <c r="N38" s="430" t="n"/>
      <c r="O38" s="430" t="n"/>
      <c r="P38" s="454" t="n"/>
      <c r="Q38" s="455" t="n"/>
      <c r="R38" s="430" t="n"/>
      <c r="S38" s="430" t="n"/>
      <c r="T38" s="430" t="n"/>
    </row>
    <row r="39" ht="16.5" customHeight="1" s="327">
      <c r="A39" s="8" t="n"/>
      <c r="B39" s="8" t="n"/>
      <c r="C39" s="8" t="n"/>
      <c r="D39" s="8" t="n"/>
      <c r="E39" s="8" t="n"/>
      <c r="F39" s="22" t="inlineStr">
        <is>
          <t>辅投</t>
        </is>
      </c>
      <c r="G39" s="9" t="inlineStr">
        <is>
          <t>销售变动成本</t>
        </is>
      </c>
      <c r="H39" s="430" t="n"/>
      <c r="I39" s="430" t="n"/>
      <c r="J39" s="454" t="n"/>
      <c r="K39" s="430" t="n"/>
      <c r="L39" s="430" t="n"/>
      <c r="M39" s="430" t="n"/>
      <c r="N39" s="430" t="n"/>
      <c r="O39" s="430" t="n"/>
      <c r="P39" s="454" t="n"/>
      <c r="Q39" s="455" t="n"/>
      <c r="R39" s="430" t="n"/>
      <c r="S39" s="430" t="n"/>
      <c r="T39" s="430" t="n"/>
    </row>
    <row r="40" ht="16.5" customHeight="1" s="327">
      <c r="A40" s="8" t="n"/>
      <c r="B40" s="8" t="n"/>
      <c r="C40" s="8" t="n"/>
      <c r="D40" s="8" t="n"/>
      <c r="E40" s="8" t="n"/>
      <c r="F40" s="22" t="inlineStr">
        <is>
          <t>辅投</t>
        </is>
      </c>
      <c r="G40" s="9" t="inlineStr">
        <is>
          <t>TMK费用</t>
        </is>
      </c>
      <c r="H40" s="430" t="n"/>
      <c r="I40" s="430" t="n"/>
      <c r="J40" s="454" t="n"/>
      <c r="K40" s="430" t="n"/>
      <c r="L40" s="430" t="n"/>
      <c r="M40" s="430" t="n"/>
      <c r="N40" s="430" t="n"/>
      <c r="O40" s="430" t="n"/>
      <c r="P40" s="454" t="n"/>
      <c r="Q40" s="455" t="n"/>
      <c r="R40" s="430" t="n"/>
      <c r="S40" s="430" t="n"/>
      <c r="T40" s="430" t="n"/>
    </row>
    <row r="41" ht="16.5" customHeight="1" s="327">
      <c r="A41" s="8" t="n"/>
      <c r="B41" s="8" t="n"/>
      <c r="C41" s="8" t="n"/>
      <c r="D41" s="8" t="n"/>
      <c r="E41" s="8" t="n"/>
      <c r="F41" s="22" t="inlineStr">
        <is>
          <t>辅投</t>
        </is>
      </c>
      <c r="G41" s="9" t="inlineStr">
        <is>
          <t>DEMO费用</t>
        </is>
      </c>
      <c r="H41" s="430" t="n"/>
      <c r="I41" s="430" t="n"/>
      <c r="J41" s="454" t="n"/>
      <c r="K41" s="430" t="n"/>
      <c r="L41" s="430" t="n"/>
      <c r="M41" s="430" t="n"/>
      <c r="N41" s="430" t="n"/>
      <c r="O41" s="430" t="n"/>
      <c r="P41" s="454" t="n"/>
      <c r="Q41" s="455" t="n"/>
      <c r="R41" s="430" t="n"/>
      <c r="S41" s="430" t="n"/>
      <c r="T41" s="430" t="n"/>
    </row>
    <row r="42" ht="16.5" customHeight="1" s="327">
      <c r="A42" s="8" t="n"/>
      <c r="B42" s="8" t="n"/>
      <c r="C42" s="8" t="n"/>
      <c r="D42" s="8" t="n"/>
      <c r="E42" s="8" t="n"/>
      <c r="F42" s="22" t="inlineStr">
        <is>
          <t>辅投</t>
        </is>
      </c>
      <c r="G42" s="9" t="inlineStr">
        <is>
          <t>运营人工成本</t>
        </is>
      </c>
      <c r="H42" s="430" t="n"/>
      <c r="I42" s="430" t="n"/>
      <c r="J42" s="454" t="n"/>
      <c r="K42" s="430" t="n"/>
      <c r="L42" s="430" t="n"/>
      <c r="M42" s="430" t="n"/>
      <c r="N42" s="430" t="n"/>
      <c r="O42" s="430" t="n"/>
      <c r="P42" s="454" t="n"/>
      <c r="Q42" s="455" t="n"/>
      <c r="R42" s="430" t="n"/>
      <c r="S42" s="430" t="n"/>
      <c r="T42" s="430" t="n"/>
    </row>
    <row r="43" ht="16.5" customHeight="1" s="327">
      <c r="A43" s="8" t="n"/>
      <c r="B43" s="8" t="n"/>
      <c r="C43" s="8" t="n"/>
      <c r="D43" s="8" t="n"/>
      <c r="E43" s="8" t="n"/>
      <c r="F43" s="22" t="inlineStr">
        <is>
          <t>辅投</t>
        </is>
      </c>
      <c r="G43" s="9" t="inlineStr">
        <is>
          <t>ROI 2</t>
        </is>
      </c>
      <c r="H43" s="431" t="n"/>
      <c r="I43" s="431" t="n"/>
      <c r="J43" s="456" t="n"/>
      <c r="K43" s="431" t="n"/>
      <c r="L43" s="431" t="n"/>
      <c r="M43" s="431" t="n"/>
      <c r="N43" s="431" t="n"/>
      <c r="O43" s="431" t="n"/>
      <c r="P43" s="456" t="n"/>
      <c r="Q43" s="457" t="n"/>
      <c r="R43" s="431" t="n"/>
      <c r="S43" s="431" t="n"/>
      <c r="T43" s="431" t="n"/>
    </row>
    <row r="44" ht="16.5" customHeight="1" s="327">
      <c r="A44" s="8" t="n"/>
      <c r="B44" s="8" t="n"/>
      <c r="C44" s="8" t="n"/>
      <c r="D44" s="8" t="n"/>
      <c r="E44" s="8" t="n"/>
      <c r="F44" s="9" t="n"/>
      <c r="G44" s="8" t="n"/>
      <c r="H44" s="8" t="n"/>
      <c r="I44" s="8" t="n"/>
      <c r="J44" s="10" t="n"/>
      <c r="K44" s="8" t="n"/>
      <c r="L44" s="8" t="n"/>
      <c r="M44" s="8" t="n"/>
      <c r="N44" s="8" t="n"/>
      <c r="O44" s="8" t="n"/>
      <c r="P44" s="10" t="n"/>
      <c r="Q44" s="11" t="n"/>
      <c r="R44" s="8" t="n"/>
      <c r="S44" s="8" t="n"/>
      <c r="T44" s="8" t="n"/>
    </row>
    <row r="45" ht="16.5" customHeight="1" s="327">
      <c r="A45" s="8" t="n"/>
      <c r="B45" s="8" t="n"/>
      <c r="C45" s="8" t="n"/>
      <c r="D45" s="8" t="n"/>
      <c r="E45" s="8" t="n"/>
      <c r="F45" s="9" t="n"/>
      <c r="G45" s="8" t="n"/>
      <c r="H45" s="8" t="n"/>
      <c r="I45" s="8" t="n"/>
      <c r="J45" s="10" t="n"/>
      <c r="K45" s="8" t="n"/>
      <c r="L45" s="8" t="n"/>
      <c r="M45" s="8" t="n"/>
      <c r="N45" s="8" t="n"/>
      <c r="O45" s="8" t="n"/>
      <c r="P45" s="10" t="n"/>
      <c r="Q45" s="11" t="n"/>
      <c r="R45" s="8" t="n"/>
      <c r="S45" s="8" t="n"/>
      <c r="T45" s="8" t="n"/>
    </row>
    <row r="46" ht="16.5" customHeight="1" s="327">
      <c r="A46" s="8" t="n"/>
      <c r="B46" s="8" t="n"/>
      <c r="C46" s="8" t="n"/>
      <c r="D46" s="8" t="n"/>
      <c r="E46" s="8" t="n"/>
      <c r="F46" s="9" t="n"/>
      <c r="G46" s="8" t="n"/>
      <c r="H46" s="8" t="n"/>
      <c r="I46" s="8" t="n"/>
      <c r="J46" s="10" t="n"/>
      <c r="K46" s="8" t="n"/>
      <c r="L46" s="8" t="n"/>
      <c r="M46" s="8" t="n"/>
      <c r="N46" s="8" t="n"/>
      <c r="O46" s="8" t="n"/>
      <c r="P46" s="10" t="n"/>
      <c r="Q46" s="11" t="n"/>
      <c r="R46" s="8" t="n"/>
      <c r="S46" s="8" t="n"/>
      <c r="T46" s="8" t="n"/>
    </row>
    <row r="47" ht="16.5" customHeight="1" s="327">
      <c r="A47" s="8" t="n"/>
      <c r="B47" s="8" t="n"/>
      <c r="C47" s="8" t="n"/>
      <c r="D47" s="8" t="n"/>
      <c r="E47" s="8" t="n"/>
      <c r="F47" s="9" t="n"/>
      <c r="G47" s="8" t="n"/>
      <c r="H47" s="8" t="n"/>
      <c r="I47" s="8" t="n"/>
      <c r="J47" s="10" t="n"/>
      <c r="K47" s="8" t="n"/>
      <c r="L47" s="8" t="n"/>
      <c r="M47" s="8" t="n"/>
      <c r="N47" s="8" t="n"/>
      <c r="O47" s="8" t="n"/>
      <c r="P47" s="10" t="n"/>
      <c r="Q47" s="11" t="n"/>
      <c r="R47" s="8" t="n"/>
      <c r="S47" s="8" t="n"/>
      <c r="T47" s="8" t="n"/>
    </row>
    <row r="48" ht="16.5" customHeight="1" s="327">
      <c r="A48" s="8" t="n"/>
      <c r="B48" s="8" t="n"/>
      <c r="C48" s="8" t="n"/>
      <c r="D48" s="8" t="n"/>
      <c r="E48" s="8" t="n"/>
      <c r="F48" s="9" t="n"/>
      <c r="G48" s="8" t="n"/>
      <c r="H48" s="8" t="n"/>
      <c r="I48" s="8" t="n"/>
      <c r="J48" s="10" t="n"/>
      <c r="K48" s="8" t="n"/>
      <c r="L48" s="8" t="n"/>
      <c r="M48" s="8" t="n"/>
      <c r="N48" s="8" t="n"/>
      <c r="O48" s="8" t="n"/>
      <c r="P48" s="10" t="n"/>
      <c r="Q48" s="11" t="n"/>
      <c r="R48" s="8" t="n"/>
      <c r="S48" s="8" t="n"/>
      <c r="T48" s="8" t="n"/>
    </row>
    <row r="49" ht="16.5" customHeight="1" s="327">
      <c r="A49" s="8" t="n"/>
      <c r="B49" s="8" t="n"/>
      <c r="C49" s="8" t="n"/>
      <c r="D49" s="8" t="n"/>
      <c r="E49" s="8" t="n"/>
      <c r="F49" s="9" t="n"/>
      <c r="G49" s="8" t="n"/>
      <c r="H49" s="8" t="n"/>
      <c r="I49" s="8" t="n"/>
      <c r="J49" s="10" t="n"/>
      <c r="K49" s="8" t="n"/>
      <c r="L49" s="8" t="n"/>
      <c r="M49" s="8" t="n"/>
      <c r="N49" s="8" t="n"/>
      <c r="O49" s="8" t="n"/>
      <c r="P49" s="10" t="n"/>
      <c r="Q49" s="11" t="n"/>
      <c r="R49" s="8" t="n"/>
      <c r="S49" s="8" t="n"/>
      <c r="T49" s="8" t="n"/>
    </row>
    <row r="50" ht="16.5" customHeight="1" s="327">
      <c r="A50" s="8" t="n"/>
      <c r="B50" s="8" t="n"/>
      <c r="C50" s="8" t="n"/>
      <c r="D50" s="8" t="n"/>
      <c r="E50" s="8" t="n"/>
      <c r="F50" s="9" t="n"/>
      <c r="G50" s="8" t="n"/>
      <c r="H50" s="8" t="n"/>
      <c r="I50" s="8" t="n"/>
      <c r="J50" s="10" t="n"/>
      <c r="K50" s="8" t="n"/>
      <c r="L50" s="8" t="n"/>
      <c r="M50" s="8" t="n"/>
      <c r="N50" s="8" t="n"/>
      <c r="O50" s="8" t="n"/>
      <c r="P50" s="10" t="n"/>
      <c r="Q50" s="11" t="n"/>
      <c r="R50" s="8" t="n"/>
      <c r="S50" s="8" t="n"/>
      <c r="T50" s="8" t="n"/>
    </row>
    <row r="51" ht="16.5" customHeight="1" s="327">
      <c r="A51" s="8" t="n"/>
      <c r="B51" s="8" t="n"/>
      <c r="C51" s="8" t="n"/>
      <c r="D51" s="8" t="n"/>
      <c r="E51" s="8" t="n"/>
      <c r="F51" s="9" t="n"/>
      <c r="G51" s="8" t="n"/>
      <c r="H51" s="8" t="n"/>
      <c r="I51" s="8" t="n"/>
      <c r="J51" s="10" t="n"/>
      <c r="K51" s="8" t="n"/>
      <c r="L51" s="8" t="n"/>
      <c r="M51" s="8" t="n"/>
      <c r="N51" s="8" t="n"/>
      <c r="O51" s="8" t="n"/>
      <c r="P51" s="10" t="n"/>
      <c r="Q51" s="11" t="n"/>
      <c r="R51" s="8" t="n"/>
      <c r="S51" s="8" t="n"/>
      <c r="T51" s="8" t="n"/>
    </row>
    <row r="52" ht="16.5" customHeight="1" s="327">
      <c r="A52" s="8" t="n"/>
      <c r="B52" s="8" t="n"/>
      <c r="C52" s="8" t="n"/>
      <c r="D52" s="8" t="n"/>
      <c r="E52" s="8" t="n"/>
      <c r="F52" s="9" t="n"/>
      <c r="G52" s="8" t="n"/>
      <c r="H52" s="8" t="n"/>
      <c r="I52" s="8" t="n"/>
      <c r="J52" s="10" t="n"/>
      <c r="K52" s="8" t="n"/>
      <c r="L52" s="8" t="n"/>
      <c r="M52" s="8" t="n"/>
      <c r="N52" s="8" t="n"/>
      <c r="O52" s="8" t="n"/>
      <c r="P52" s="10" t="n"/>
      <c r="Q52" s="11" t="n"/>
      <c r="R52" s="8" t="n"/>
      <c r="S52" s="8" t="n"/>
      <c r="T52" s="8" t="n"/>
    </row>
    <row r="53" ht="16.5" customHeight="1" s="327">
      <c r="A53" s="8" t="n"/>
      <c r="B53" s="8" t="n"/>
      <c r="C53" s="8" t="n"/>
      <c r="D53" s="8" t="n"/>
      <c r="E53" s="8" t="n"/>
      <c r="F53" s="9" t="n"/>
      <c r="G53" s="8" t="n"/>
      <c r="H53" s="8" t="n"/>
      <c r="I53" s="8" t="n"/>
      <c r="J53" s="10" t="n"/>
      <c r="K53" s="8" t="n"/>
      <c r="L53" s="8" t="n"/>
      <c r="M53" s="8" t="n"/>
      <c r="N53" s="8" t="n"/>
      <c r="O53" s="8" t="n"/>
      <c r="P53" s="10" t="n"/>
      <c r="Q53" s="11" t="n"/>
      <c r="R53" s="8" t="n"/>
      <c r="S53" s="8" t="n"/>
      <c r="T53" s="8" t="n"/>
    </row>
    <row r="54" ht="16.5" customHeight="1" s="327">
      <c r="A54" s="8" t="n"/>
      <c r="B54" s="8" t="n"/>
      <c r="C54" s="8" t="n"/>
      <c r="D54" s="8" t="n"/>
      <c r="E54" s="8" t="n"/>
      <c r="F54" s="9" t="n"/>
      <c r="G54" s="8" t="n"/>
      <c r="H54" s="8" t="n"/>
      <c r="I54" s="8" t="n"/>
      <c r="J54" s="10" t="n"/>
      <c r="K54" s="8" t="n"/>
      <c r="L54" s="8" t="n"/>
      <c r="M54" s="8" t="n"/>
      <c r="N54" s="8" t="n"/>
      <c r="O54" s="8" t="n"/>
      <c r="P54" s="10" t="n"/>
      <c r="Q54" s="11" t="n"/>
      <c r="R54" s="8" t="n"/>
      <c r="S54" s="8" t="n"/>
      <c r="T54" s="8" t="n"/>
    </row>
    <row r="55" ht="16.5" customHeight="1" s="327">
      <c r="A55" s="8" t="n"/>
      <c r="B55" s="8" t="n"/>
      <c r="C55" s="8" t="n"/>
      <c r="D55" s="8" t="n"/>
      <c r="E55" s="8" t="n"/>
      <c r="F55" s="9" t="n"/>
      <c r="G55" s="8" t="n"/>
      <c r="H55" s="8" t="n"/>
      <c r="I55" s="8" t="n"/>
      <c r="J55" s="10" t="n"/>
      <c r="K55" s="8" t="n"/>
      <c r="L55" s="8" t="n"/>
      <c r="M55" s="8" t="n"/>
      <c r="N55" s="8" t="n"/>
      <c r="O55" s="8" t="n"/>
      <c r="P55" s="10" t="n"/>
      <c r="Q55" s="11" t="n"/>
      <c r="R55" s="8" t="n"/>
      <c r="S55" s="8" t="n"/>
      <c r="T55" s="8" t="n"/>
    </row>
    <row r="56" ht="16.5" customHeight="1" s="327">
      <c r="A56" s="8" t="n"/>
      <c r="B56" s="8" t="n"/>
      <c r="C56" s="8" t="n"/>
      <c r="D56" s="8" t="n"/>
      <c r="E56" s="8" t="n"/>
      <c r="F56" s="9" t="n"/>
      <c r="G56" s="8" t="n"/>
      <c r="H56" s="8" t="n"/>
      <c r="I56" s="8" t="n"/>
      <c r="J56" s="10" t="n"/>
      <c r="K56" s="8" t="n"/>
      <c r="L56" s="8" t="n"/>
      <c r="M56" s="8" t="n"/>
      <c r="N56" s="8" t="n"/>
      <c r="O56" s="8" t="n"/>
      <c r="P56" s="10" t="n"/>
      <c r="Q56" s="11" t="n"/>
      <c r="R56" s="8" t="n"/>
      <c r="S56" s="8" t="n"/>
      <c r="T56" s="8" t="n"/>
    </row>
    <row r="57" ht="16.5" customHeight="1" s="327">
      <c r="A57" s="8" t="n"/>
      <c r="B57" s="8" t="n"/>
      <c r="C57" s="8" t="n"/>
      <c r="D57" s="8" t="n"/>
      <c r="E57" s="8" t="n"/>
      <c r="F57" s="9" t="n"/>
      <c r="G57" s="8" t="n"/>
      <c r="H57" s="8" t="n"/>
      <c r="I57" s="8" t="n"/>
      <c r="J57" s="10" t="n"/>
      <c r="K57" s="8" t="n"/>
      <c r="L57" s="8" t="n"/>
      <c r="M57" s="8" t="n"/>
      <c r="N57" s="8" t="n"/>
      <c r="O57" s="8" t="n"/>
      <c r="P57" s="10" t="n"/>
      <c r="Q57" s="11" t="n"/>
      <c r="R57" s="8" t="n"/>
      <c r="S57" s="8" t="n"/>
      <c r="T57" s="8" t="n"/>
    </row>
    <row r="58" ht="16.5" customHeight="1" s="327">
      <c r="A58" s="8" t="n"/>
      <c r="B58" s="8" t="n"/>
      <c r="C58" s="8" t="n"/>
      <c r="D58" s="8" t="n"/>
      <c r="E58" s="8" t="n"/>
      <c r="F58" s="9" t="n"/>
      <c r="G58" s="8" t="n"/>
      <c r="H58" s="8" t="n"/>
      <c r="I58" s="8" t="n"/>
      <c r="J58" s="10" t="n"/>
      <c r="K58" s="8" t="n"/>
      <c r="L58" s="8" t="n"/>
      <c r="M58" s="8" t="n"/>
      <c r="N58" s="8" t="n"/>
      <c r="O58" s="8" t="n"/>
      <c r="P58" s="10" t="n"/>
      <c r="Q58" s="11" t="n"/>
      <c r="R58" s="8" t="n"/>
      <c r="S58" s="8" t="n"/>
      <c r="T58" s="8" t="n"/>
    </row>
    <row r="59" ht="16.5" customHeight="1" s="327">
      <c r="A59" s="8" t="n"/>
      <c r="B59" s="8" t="n"/>
      <c r="C59" s="8" t="n"/>
      <c r="D59" s="8" t="n"/>
      <c r="E59" s="8" t="n"/>
      <c r="F59" s="9" t="n"/>
      <c r="G59" s="8" t="n"/>
      <c r="H59" s="8" t="n"/>
      <c r="I59" s="8" t="n"/>
      <c r="J59" s="10" t="n"/>
      <c r="K59" s="8" t="n"/>
      <c r="L59" s="8" t="n"/>
      <c r="M59" s="8" t="n"/>
      <c r="N59" s="8" t="n"/>
      <c r="O59" s="8" t="n"/>
      <c r="P59" s="10" t="n"/>
      <c r="Q59" s="11" t="n"/>
      <c r="R59" s="8" t="n"/>
      <c r="S59" s="8" t="n"/>
      <c r="T59" s="8" t="n"/>
    </row>
    <row r="60" ht="16.5" customHeight="1" s="327">
      <c r="A60" s="8" t="n"/>
      <c r="B60" s="8" t="n"/>
      <c r="C60" s="8" t="n"/>
      <c r="D60" s="8" t="n"/>
      <c r="E60" s="8" t="n"/>
      <c r="F60" s="9" t="n"/>
      <c r="G60" s="8" t="n"/>
      <c r="H60" s="8" t="n"/>
      <c r="I60" s="8" t="n"/>
      <c r="J60" s="10" t="n"/>
      <c r="K60" s="8" t="n"/>
      <c r="L60" s="8" t="n"/>
      <c r="M60" s="8" t="n"/>
      <c r="N60" s="8" t="n"/>
      <c r="O60" s="8" t="n"/>
      <c r="P60" s="10" t="n"/>
      <c r="Q60" s="11" t="n"/>
      <c r="R60" s="8" t="n"/>
      <c r="S60" s="8" t="n"/>
      <c r="T60" s="8" t="n"/>
    </row>
    <row r="61" ht="16.5" customHeight="1" s="327">
      <c r="A61" s="8" t="n"/>
      <c r="B61" s="8" t="n"/>
      <c r="C61" s="8" t="n"/>
      <c r="D61" s="8" t="n"/>
      <c r="E61" s="8" t="n"/>
      <c r="F61" s="9" t="n"/>
      <c r="G61" s="8" t="n"/>
      <c r="H61" s="8" t="n"/>
      <c r="I61" s="8" t="n"/>
      <c r="J61" s="10" t="n"/>
      <c r="K61" s="8" t="n"/>
      <c r="L61" s="8" t="n"/>
      <c r="M61" s="8" t="n"/>
      <c r="N61" s="8" t="n"/>
      <c r="O61" s="8" t="n"/>
      <c r="P61" s="10" t="n"/>
      <c r="Q61" s="11" t="n"/>
      <c r="R61" s="8" t="n"/>
      <c r="S61" s="8" t="n"/>
      <c r="T61" s="8" t="n"/>
    </row>
    <row r="62" ht="16.5" customHeight="1" s="327">
      <c r="A62" s="8" t="n"/>
      <c r="B62" s="8" t="n"/>
      <c r="C62" s="8" t="n"/>
      <c r="D62" s="8" t="n"/>
      <c r="E62" s="8" t="n"/>
      <c r="F62" s="9" t="n"/>
      <c r="G62" s="8" t="n"/>
      <c r="H62" s="8" t="n"/>
      <c r="I62" s="8" t="n"/>
      <c r="J62" s="10" t="n"/>
      <c r="K62" s="8" t="n"/>
      <c r="L62" s="8" t="n"/>
      <c r="M62" s="8" t="n"/>
      <c r="N62" s="8" t="n"/>
      <c r="O62" s="8" t="n"/>
      <c r="P62" s="10" t="n"/>
      <c r="Q62" s="11" t="n"/>
      <c r="R62" s="8" t="n"/>
      <c r="S62" s="8" t="n"/>
      <c r="T62" s="8" t="n"/>
    </row>
    <row r="63" ht="16.5" customHeight="1" s="327">
      <c r="A63" s="8" t="n"/>
      <c r="B63" s="8" t="n"/>
      <c r="C63" s="8" t="n"/>
      <c r="D63" s="8" t="n"/>
      <c r="E63" s="8" t="n"/>
      <c r="F63" s="9" t="n"/>
      <c r="G63" s="8" t="n"/>
      <c r="H63" s="8" t="n"/>
      <c r="I63" s="8" t="n"/>
      <c r="J63" s="10" t="n"/>
      <c r="K63" s="8" t="n"/>
      <c r="L63" s="8" t="n"/>
      <c r="M63" s="8" t="n"/>
      <c r="N63" s="8" t="n"/>
      <c r="O63" s="8" t="n"/>
      <c r="P63" s="10" t="n"/>
      <c r="Q63" s="11" t="n"/>
      <c r="R63" s="8" t="n"/>
      <c r="S63" s="8" t="n"/>
      <c r="T63" s="8" t="n"/>
    </row>
    <row r="64" ht="16.5" customHeight="1" s="327">
      <c r="A64" s="8" t="n"/>
      <c r="B64" s="8" t="n"/>
      <c r="C64" s="8" t="n"/>
      <c r="D64" s="8" t="n"/>
      <c r="E64" s="8" t="n"/>
      <c r="F64" s="9" t="n"/>
      <c r="G64" s="8" t="n"/>
      <c r="H64" s="8" t="n"/>
      <c r="I64" s="8" t="n"/>
      <c r="J64" s="10" t="n"/>
      <c r="K64" s="8" t="n"/>
      <c r="L64" s="8" t="n"/>
      <c r="M64" s="8" t="n"/>
      <c r="N64" s="8" t="n"/>
      <c r="O64" s="8" t="n"/>
      <c r="P64" s="10" t="n"/>
      <c r="Q64" s="11" t="n"/>
      <c r="R64" s="8" t="n"/>
      <c r="S64" s="8" t="n"/>
      <c r="T64" s="8" t="n"/>
    </row>
    <row r="65" ht="16.5" customHeight="1" s="327">
      <c r="A65" s="8" t="n"/>
      <c r="B65" s="8" t="n"/>
      <c r="C65" s="8" t="n"/>
      <c r="D65" s="8" t="n"/>
      <c r="E65" s="8" t="n"/>
      <c r="F65" s="9" t="n"/>
      <c r="G65" s="8" t="n"/>
      <c r="H65" s="8" t="n"/>
      <c r="I65" s="8" t="n"/>
      <c r="J65" s="10" t="n"/>
      <c r="K65" s="8" t="n"/>
      <c r="L65" s="8" t="n"/>
      <c r="M65" s="8" t="n"/>
      <c r="N65" s="8" t="n"/>
      <c r="O65" s="8" t="n"/>
      <c r="P65" s="10" t="n"/>
      <c r="Q65" s="11" t="n"/>
      <c r="R65" s="8" t="n"/>
      <c r="S65" s="8" t="n"/>
      <c r="T65" s="8" t="n"/>
    </row>
    <row r="66" ht="16.5" customHeight="1" s="327">
      <c r="A66" s="8" t="n"/>
      <c r="B66" s="8" t="n"/>
      <c r="C66" s="8" t="n"/>
      <c r="D66" s="8" t="n"/>
      <c r="E66" s="8" t="n"/>
      <c r="F66" s="9" t="n"/>
      <c r="G66" s="8" t="n"/>
      <c r="H66" s="8" t="n"/>
      <c r="I66" s="8" t="n"/>
      <c r="J66" s="10" t="n"/>
      <c r="K66" s="8" t="n"/>
      <c r="L66" s="8" t="n"/>
      <c r="M66" s="8" t="n"/>
      <c r="N66" s="8" t="n"/>
      <c r="O66" s="8" t="n"/>
      <c r="P66" s="10" t="n"/>
      <c r="Q66" s="11" t="n"/>
      <c r="R66" s="8" t="n"/>
      <c r="S66" s="8" t="n"/>
      <c r="T66" s="8" t="n"/>
    </row>
    <row r="67" ht="16.5" customHeight="1" s="327">
      <c r="A67" s="8" t="n"/>
      <c r="B67" s="8" t="n"/>
      <c r="C67" s="8" t="n"/>
      <c r="D67" s="8" t="n"/>
      <c r="E67" s="8" t="n"/>
      <c r="F67" s="9" t="n"/>
      <c r="G67" s="8" t="n"/>
      <c r="H67" s="8" t="n"/>
      <c r="I67" s="8" t="n"/>
      <c r="J67" s="10" t="n"/>
      <c r="K67" s="8" t="n"/>
      <c r="L67" s="8" t="n"/>
      <c r="M67" s="8" t="n"/>
      <c r="N67" s="8" t="n"/>
      <c r="O67" s="8" t="n"/>
      <c r="P67" s="10" t="n"/>
      <c r="Q67" s="11" t="n"/>
      <c r="R67" s="8" t="n"/>
      <c r="S67" s="8" t="n"/>
      <c r="T67" s="8" t="n"/>
    </row>
    <row r="68" ht="16.5" customHeight="1" s="327">
      <c r="A68" s="8" t="n"/>
      <c r="B68" s="8" t="n"/>
      <c r="C68" s="8" t="n"/>
      <c r="D68" s="8" t="n"/>
      <c r="E68" s="8" t="n"/>
      <c r="F68" s="9" t="n"/>
      <c r="G68" s="8" t="n"/>
      <c r="H68" s="8" t="n"/>
      <c r="I68" s="8" t="n"/>
      <c r="J68" s="10" t="n"/>
      <c r="K68" s="8" t="n"/>
      <c r="L68" s="8" t="n"/>
      <c r="M68" s="8" t="n"/>
      <c r="N68" s="8" t="n"/>
      <c r="O68" s="8" t="n"/>
      <c r="P68" s="10" t="n"/>
      <c r="Q68" s="11" t="n"/>
      <c r="R68" s="8" t="n"/>
      <c r="S68" s="8" t="n"/>
      <c r="T68" s="8" t="n"/>
    </row>
    <row r="69" ht="16.5" customHeight="1" s="327">
      <c r="A69" s="8" t="n"/>
      <c r="B69" s="8" t="n"/>
      <c r="C69" s="8" t="n"/>
      <c r="D69" s="8" t="n"/>
      <c r="E69" s="8" t="n"/>
      <c r="F69" s="9" t="n"/>
      <c r="G69" s="8" t="n"/>
      <c r="H69" s="8" t="n"/>
      <c r="I69" s="8" t="n"/>
      <c r="J69" s="10" t="n"/>
      <c r="K69" s="8" t="n"/>
      <c r="L69" s="8" t="n"/>
      <c r="M69" s="8" t="n"/>
      <c r="N69" s="8" t="n"/>
      <c r="O69" s="8" t="n"/>
      <c r="P69" s="10" t="n"/>
      <c r="Q69" s="11" t="n"/>
      <c r="R69" s="8" t="n"/>
      <c r="S69" s="8" t="n"/>
      <c r="T69" s="8" t="n"/>
    </row>
    <row r="70" ht="16.5" customHeight="1" s="327">
      <c r="A70" s="8" t="n"/>
      <c r="B70" s="8" t="n"/>
      <c r="C70" s="8" t="n"/>
      <c r="D70" s="8" t="n"/>
      <c r="E70" s="8" t="n"/>
      <c r="F70" s="9" t="n"/>
      <c r="G70" s="8" t="n"/>
      <c r="H70" s="8" t="n"/>
      <c r="I70" s="8" t="n"/>
      <c r="J70" s="10" t="n"/>
      <c r="K70" s="8" t="n"/>
      <c r="L70" s="8" t="n"/>
      <c r="M70" s="8" t="n"/>
      <c r="N70" s="8" t="n"/>
      <c r="O70" s="8" t="n"/>
      <c r="P70" s="10" t="n"/>
      <c r="Q70" s="11" t="n"/>
      <c r="R70" s="8" t="n"/>
      <c r="S70" s="8" t="n"/>
      <c r="T70" s="8" t="n"/>
    </row>
    <row r="71" ht="16.5" customHeight="1" s="327">
      <c r="A71" s="8" t="n"/>
      <c r="B71" s="8" t="n"/>
      <c r="C71" s="8" t="n"/>
      <c r="D71" s="8" t="n"/>
      <c r="E71" s="8" t="n"/>
      <c r="F71" s="9" t="n"/>
      <c r="G71" s="8" t="n"/>
      <c r="H71" s="8" t="n"/>
      <c r="I71" s="8" t="n"/>
      <c r="J71" s="10" t="n"/>
      <c r="K71" s="8" t="n"/>
      <c r="L71" s="8" t="n"/>
      <c r="M71" s="8" t="n"/>
      <c r="N71" s="8" t="n"/>
      <c r="O71" s="8" t="n"/>
      <c r="P71" s="10" t="n"/>
      <c r="Q71" s="11" t="n"/>
      <c r="R71" s="8" t="n"/>
      <c r="S71" s="8" t="n"/>
      <c r="T71" s="8" t="n"/>
    </row>
    <row r="72" ht="16.5" customHeight="1" s="327">
      <c r="A72" s="8" t="n"/>
      <c r="B72" s="8" t="n"/>
      <c r="C72" s="8" t="n"/>
      <c r="D72" s="8" t="n"/>
      <c r="E72" s="8" t="n"/>
      <c r="F72" s="9" t="n"/>
      <c r="G72" s="8" t="n"/>
      <c r="H72" s="8" t="n"/>
      <c r="I72" s="8" t="n"/>
      <c r="J72" s="10" t="n"/>
      <c r="K72" s="8" t="n"/>
      <c r="L72" s="8" t="n"/>
      <c r="M72" s="8" t="n"/>
      <c r="N72" s="8" t="n"/>
      <c r="O72" s="8" t="n"/>
      <c r="P72" s="10" t="n"/>
      <c r="Q72" s="11" t="n"/>
      <c r="R72" s="8" t="n"/>
      <c r="S72" s="8" t="n"/>
      <c r="T72" s="8" t="n"/>
    </row>
    <row r="73" ht="16.5" customHeight="1" s="327">
      <c r="A73" s="8" t="n"/>
      <c r="B73" s="8" t="n"/>
      <c r="C73" s="8" t="n"/>
      <c r="D73" s="8" t="n"/>
      <c r="E73" s="8" t="n"/>
      <c r="F73" s="9" t="n"/>
      <c r="G73" s="8" t="n"/>
      <c r="H73" s="8" t="n"/>
      <c r="I73" s="8" t="n"/>
      <c r="J73" s="10" t="n"/>
      <c r="K73" s="8" t="n"/>
      <c r="L73" s="8" t="n"/>
      <c r="M73" s="8" t="n"/>
      <c r="N73" s="8" t="n"/>
      <c r="O73" s="8" t="n"/>
      <c r="P73" s="10" t="n"/>
      <c r="Q73" s="11" t="n"/>
      <c r="R73" s="8" t="n"/>
      <c r="S73" s="8" t="n"/>
      <c r="T73" s="8" t="n"/>
    </row>
    <row r="74" ht="16.5" customHeight="1" s="327">
      <c r="A74" s="8" t="n"/>
      <c r="B74" s="8" t="n"/>
      <c r="C74" s="8" t="n"/>
      <c r="D74" s="8" t="n"/>
      <c r="E74" s="8" t="n"/>
      <c r="F74" s="9" t="n"/>
      <c r="G74" s="8" t="n"/>
      <c r="H74" s="8" t="n"/>
      <c r="I74" s="8" t="n"/>
      <c r="J74" s="10" t="n"/>
      <c r="K74" s="8" t="n"/>
      <c r="L74" s="8" t="n"/>
      <c r="M74" s="8" t="n"/>
      <c r="N74" s="8" t="n"/>
      <c r="O74" s="8" t="n"/>
      <c r="P74" s="10" t="n"/>
      <c r="Q74" s="11" t="n"/>
      <c r="R74" s="8" t="n"/>
      <c r="S74" s="8" t="n"/>
      <c r="T74" s="8" t="n"/>
    </row>
    <row r="75" ht="16.5" customHeight="1" s="327">
      <c r="A75" s="8" t="n"/>
      <c r="B75" s="8" t="n"/>
      <c r="C75" s="8" t="n"/>
      <c r="D75" s="8" t="n"/>
      <c r="E75" s="8" t="n"/>
      <c r="F75" s="9" t="n"/>
      <c r="G75" s="8" t="n"/>
      <c r="H75" s="8" t="n"/>
      <c r="I75" s="8" t="n"/>
      <c r="J75" s="10" t="n"/>
      <c r="K75" s="8" t="n"/>
      <c r="L75" s="8" t="n"/>
      <c r="M75" s="8" t="n"/>
      <c r="N75" s="8" t="n"/>
      <c r="O75" s="8" t="n"/>
      <c r="P75" s="10" t="n"/>
      <c r="Q75" s="11" t="n"/>
      <c r="R75" s="8" t="n"/>
      <c r="S75" s="8" t="n"/>
      <c r="T75" s="8" t="n"/>
    </row>
    <row r="76" ht="16.5" customHeight="1" s="327">
      <c r="A76" s="8" t="n"/>
      <c r="B76" s="8" t="n"/>
      <c r="C76" s="8" t="n"/>
      <c r="D76" s="8" t="n"/>
      <c r="E76" s="8" t="n"/>
      <c r="F76" s="9" t="n"/>
      <c r="G76" s="8" t="n"/>
      <c r="H76" s="8" t="n"/>
      <c r="I76" s="8" t="n"/>
      <c r="J76" s="10" t="n"/>
      <c r="K76" s="8" t="n"/>
      <c r="L76" s="8" t="n"/>
      <c r="M76" s="8" t="n"/>
      <c r="N76" s="8" t="n"/>
      <c r="O76" s="8" t="n"/>
      <c r="P76" s="10" t="n"/>
      <c r="Q76" s="11" t="n"/>
      <c r="R76" s="8" t="n"/>
      <c r="S76" s="8" t="n"/>
      <c r="T76" s="8" t="n"/>
    </row>
    <row r="77" ht="16.5" customHeight="1" s="327">
      <c r="A77" s="8" t="n"/>
      <c r="B77" s="8" t="n"/>
      <c r="C77" s="8" t="n"/>
      <c r="D77" s="8" t="n"/>
      <c r="E77" s="8" t="n"/>
      <c r="F77" s="9" t="n"/>
      <c r="G77" s="8" t="n"/>
      <c r="H77" s="8" t="n"/>
      <c r="I77" s="8" t="n"/>
      <c r="J77" s="10" t="n"/>
      <c r="K77" s="8" t="n"/>
      <c r="L77" s="8" t="n"/>
      <c r="M77" s="8" t="n"/>
      <c r="N77" s="8" t="n"/>
      <c r="O77" s="8" t="n"/>
      <c r="P77" s="10" t="n"/>
      <c r="Q77" s="11" t="n"/>
      <c r="R77" s="8" t="n"/>
      <c r="S77" s="8" t="n"/>
      <c r="T77" s="8" t="n"/>
    </row>
    <row r="78" ht="16.5" customHeight="1" s="327">
      <c r="A78" s="8" t="n"/>
      <c r="B78" s="8" t="n"/>
      <c r="C78" s="8" t="n"/>
      <c r="D78" s="8" t="n"/>
      <c r="E78" s="8" t="n"/>
      <c r="F78" s="9" t="n"/>
      <c r="G78" s="8" t="n"/>
      <c r="H78" s="8" t="n"/>
      <c r="I78" s="8" t="n"/>
      <c r="J78" s="10" t="n"/>
      <c r="K78" s="8" t="n"/>
      <c r="L78" s="8" t="n"/>
      <c r="M78" s="8" t="n"/>
      <c r="N78" s="8" t="n"/>
      <c r="O78" s="8" t="n"/>
      <c r="P78" s="10" t="n"/>
      <c r="Q78" s="11" t="n"/>
      <c r="R78" s="8" t="n"/>
      <c r="S78" s="8" t="n"/>
      <c r="T78" s="8" t="n"/>
    </row>
    <row r="79" ht="16.5" customHeight="1" s="327">
      <c r="A79" s="8" t="n"/>
      <c r="B79" s="8" t="n"/>
      <c r="C79" s="8" t="n"/>
      <c r="D79" s="8" t="n"/>
      <c r="E79" s="8" t="n"/>
      <c r="F79" s="9" t="n"/>
      <c r="G79" s="8" t="n"/>
      <c r="H79" s="8" t="n"/>
      <c r="I79" s="8" t="n"/>
      <c r="J79" s="10" t="n"/>
      <c r="K79" s="8" t="n"/>
      <c r="L79" s="8" t="n"/>
      <c r="M79" s="8" t="n"/>
      <c r="N79" s="8" t="n"/>
      <c r="O79" s="8" t="n"/>
      <c r="P79" s="10" t="n"/>
      <c r="Q79" s="11" t="n"/>
      <c r="R79" s="8" t="n"/>
      <c r="S79" s="8" t="n"/>
      <c r="T79" s="8" t="n"/>
    </row>
    <row r="80" ht="16.5" customHeight="1" s="327">
      <c r="A80" s="8" t="n"/>
      <c r="B80" s="8" t="n"/>
      <c r="C80" s="8" t="n"/>
      <c r="D80" s="8" t="n"/>
      <c r="E80" s="8" t="n"/>
      <c r="F80" s="9" t="n"/>
      <c r="G80" s="8" t="n"/>
      <c r="H80" s="8" t="n"/>
      <c r="I80" s="8" t="n"/>
      <c r="J80" s="10" t="n"/>
      <c r="K80" s="8" t="n"/>
      <c r="L80" s="8" t="n"/>
      <c r="M80" s="8" t="n"/>
      <c r="N80" s="8" t="n"/>
      <c r="O80" s="8" t="n"/>
      <c r="P80" s="10" t="n"/>
      <c r="Q80" s="11" t="n"/>
      <c r="R80" s="8" t="n"/>
      <c r="S80" s="8" t="n"/>
      <c r="T80" s="8" t="n"/>
    </row>
    <row r="81" ht="16.5" customHeight="1" s="327">
      <c r="A81" s="8" t="n"/>
      <c r="B81" s="8" t="n"/>
      <c r="C81" s="8" t="n"/>
      <c r="D81" s="8" t="n"/>
      <c r="E81" s="8" t="n"/>
      <c r="F81" s="9" t="n"/>
      <c r="G81" s="8" t="n"/>
      <c r="H81" s="8" t="n"/>
      <c r="I81" s="8" t="n"/>
      <c r="J81" s="10" t="n"/>
      <c r="K81" s="8" t="n"/>
      <c r="L81" s="8" t="n"/>
      <c r="M81" s="8" t="n"/>
      <c r="N81" s="8" t="n"/>
      <c r="O81" s="8" t="n"/>
      <c r="P81" s="10" t="n"/>
      <c r="Q81" s="11" t="n"/>
      <c r="R81" s="8" t="n"/>
      <c r="S81" s="8" t="n"/>
      <c r="T81" s="8" t="n"/>
    </row>
    <row r="82" ht="16.5" customHeight="1" s="327">
      <c r="A82" s="8" t="n"/>
      <c r="B82" s="8" t="n"/>
      <c r="C82" s="8" t="n"/>
      <c r="D82" s="8" t="n"/>
      <c r="E82" s="8" t="n"/>
      <c r="F82" s="9" t="n"/>
      <c r="G82" s="8" t="n"/>
      <c r="H82" s="8" t="n"/>
      <c r="I82" s="8" t="n"/>
      <c r="J82" s="10" t="n"/>
      <c r="K82" s="8" t="n"/>
      <c r="L82" s="8" t="n"/>
      <c r="M82" s="8" t="n"/>
      <c r="N82" s="8" t="n"/>
      <c r="O82" s="8" t="n"/>
      <c r="P82" s="10" t="n"/>
      <c r="Q82" s="11" t="n"/>
      <c r="R82" s="8" t="n"/>
      <c r="S82" s="8" t="n"/>
      <c r="T82" s="8" t="n"/>
    </row>
    <row r="83" ht="16.5" customHeight="1" s="327">
      <c r="A83" s="8" t="n"/>
      <c r="B83" s="8" t="n"/>
      <c r="C83" s="8" t="n"/>
      <c r="D83" s="8" t="n"/>
      <c r="E83" s="8" t="n"/>
      <c r="F83" s="9" t="n"/>
      <c r="G83" s="8" t="n"/>
      <c r="H83" s="8" t="n"/>
      <c r="I83" s="8" t="n"/>
      <c r="J83" s="10" t="n"/>
      <c r="K83" s="8" t="n"/>
      <c r="L83" s="8" t="n"/>
      <c r="M83" s="8" t="n"/>
      <c r="N83" s="8" t="n"/>
      <c r="O83" s="8" t="n"/>
      <c r="P83" s="10" t="n"/>
      <c r="Q83" s="11" t="n"/>
      <c r="R83" s="8" t="n"/>
      <c r="S83" s="8" t="n"/>
      <c r="T83" s="8" t="n"/>
    </row>
    <row r="84" ht="16.5" customHeight="1" s="327">
      <c r="A84" s="8" t="n"/>
      <c r="B84" s="8" t="n"/>
      <c r="C84" s="8" t="n"/>
      <c r="D84" s="8" t="n"/>
      <c r="E84" s="8" t="n"/>
      <c r="F84" s="9" t="n"/>
      <c r="G84" s="8" t="n"/>
      <c r="H84" s="8" t="n"/>
      <c r="I84" s="8" t="n"/>
      <c r="J84" s="10" t="n"/>
      <c r="K84" s="8" t="n"/>
      <c r="L84" s="8" t="n"/>
      <c r="M84" s="8" t="n"/>
      <c r="N84" s="8" t="n"/>
      <c r="O84" s="8" t="n"/>
      <c r="P84" s="10" t="n"/>
      <c r="Q84" s="11" t="n"/>
      <c r="R84" s="8" t="n"/>
      <c r="S84" s="8" t="n"/>
      <c r="T84" s="8" t="n"/>
    </row>
    <row r="85" ht="16.5" customHeight="1" s="327">
      <c r="A85" s="8" t="n"/>
      <c r="B85" s="8" t="n"/>
      <c r="C85" s="8" t="n"/>
      <c r="D85" s="8" t="n"/>
      <c r="E85" s="8" t="n"/>
      <c r="F85" s="9" t="n"/>
      <c r="G85" s="8" t="n"/>
      <c r="H85" s="8" t="n"/>
      <c r="I85" s="8" t="n"/>
      <c r="J85" s="10" t="n"/>
      <c r="K85" s="8" t="n"/>
      <c r="L85" s="8" t="n"/>
      <c r="M85" s="8" t="n"/>
      <c r="N85" s="8" t="n"/>
      <c r="O85" s="8" t="n"/>
      <c r="P85" s="10" t="n"/>
      <c r="Q85" s="11" t="n"/>
      <c r="R85" s="8" t="n"/>
      <c r="S85" s="8" t="n"/>
      <c r="T85" s="8" t="n"/>
    </row>
    <row r="86" ht="16.5" customHeight="1" s="327">
      <c r="A86" s="8" t="n"/>
      <c r="B86" s="8" t="n"/>
      <c r="C86" s="8" t="n"/>
      <c r="D86" s="8" t="n"/>
      <c r="E86" s="8" t="n"/>
      <c r="F86" s="9" t="n"/>
      <c r="G86" s="8" t="n"/>
      <c r="H86" s="8" t="n"/>
      <c r="I86" s="8" t="n"/>
      <c r="J86" s="10" t="n"/>
      <c r="K86" s="8" t="n"/>
      <c r="L86" s="8" t="n"/>
      <c r="M86" s="8" t="n"/>
      <c r="N86" s="8" t="n"/>
      <c r="O86" s="8" t="n"/>
      <c r="P86" s="10" t="n"/>
      <c r="Q86" s="11" t="n"/>
      <c r="R86" s="8" t="n"/>
      <c r="S86" s="8" t="n"/>
      <c r="T86" s="8" t="n"/>
    </row>
    <row r="87" ht="16.5" customHeight="1" s="327">
      <c r="A87" s="8" t="n"/>
      <c r="B87" s="8" t="n"/>
      <c r="C87" s="8" t="n"/>
      <c r="D87" s="8" t="n"/>
      <c r="E87" s="8" t="n"/>
      <c r="F87" s="9" t="n"/>
      <c r="G87" s="8" t="n"/>
      <c r="H87" s="8" t="n"/>
      <c r="I87" s="8" t="n"/>
      <c r="J87" s="10" t="n"/>
      <c r="K87" s="8" t="n"/>
      <c r="L87" s="8" t="n"/>
      <c r="M87" s="8" t="n"/>
      <c r="N87" s="8" t="n"/>
      <c r="O87" s="8" t="n"/>
      <c r="P87" s="10" t="n"/>
      <c r="Q87" s="11" t="n"/>
      <c r="R87" s="8" t="n"/>
      <c r="S87" s="8" t="n"/>
      <c r="T87" s="8" t="n"/>
    </row>
    <row r="88" ht="16.5" customHeight="1" s="327">
      <c r="A88" s="8" t="n"/>
      <c r="B88" s="8" t="n"/>
      <c r="C88" s="8" t="n"/>
      <c r="D88" s="8" t="n"/>
      <c r="E88" s="8" t="n"/>
      <c r="F88" s="9" t="n"/>
      <c r="G88" s="8" t="n"/>
      <c r="H88" s="8" t="n"/>
      <c r="I88" s="8" t="n"/>
      <c r="J88" s="10" t="n"/>
      <c r="K88" s="8" t="n"/>
      <c r="L88" s="8" t="n"/>
      <c r="M88" s="8" t="n"/>
      <c r="N88" s="8" t="n"/>
      <c r="O88" s="8" t="n"/>
      <c r="P88" s="10" t="n"/>
      <c r="Q88" s="11" t="n"/>
      <c r="R88" s="8" t="n"/>
      <c r="S88" s="8" t="n"/>
      <c r="T88" s="8" t="n"/>
    </row>
    <row r="89" ht="16.5" customHeight="1" s="327">
      <c r="A89" s="8" t="n"/>
      <c r="B89" s="8" t="n"/>
      <c r="C89" s="8" t="n"/>
      <c r="D89" s="8" t="n"/>
      <c r="E89" s="8" t="n"/>
      <c r="F89" s="9" t="n"/>
      <c r="G89" s="8" t="n"/>
      <c r="H89" s="8" t="n"/>
      <c r="I89" s="8" t="n"/>
      <c r="J89" s="10" t="n"/>
      <c r="K89" s="8" t="n"/>
      <c r="L89" s="8" t="n"/>
      <c r="M89" s="8" t="n"/>
      <c r="N89" s="8" t="n"/>
      <c r="O89" s="8" t="n"/>
      <c r="P89" s="10" t="n"/>
      <c r="Q89" s="11" t="n"/>
      <c r="R89" s="8" t="n"/>
      <c r="S89" s="8" t="n"/>
      <c r="T89" s="8" t="n"/>
    </row>
    <row r="90" ht="16.5" customHeight="1" s="327">
      <c r="A90" s="8" t="n"/>
      <c r="B90" s="8" t="n"/>
      <c r="C90" s="8" t="n"/>
      <c r="D90" s="8" t="n"/>
      <c r="E90" s="8" t="n"/>
      <c r="F90" s="9" t="n"/>
      <c r="G90" s="8" t="n"/>
      <c r="H90" s="8" t="n"/>
      <c r="I90" s="8" t="n"/>
      <c r="J90" s="10" t="n"/>
      <c r="K90" s="8" t="n"/>
      <c r="L90" s="8" t="n"/>
      <c r="M90" s="8" t="n"/>
      <c r="N90" s="8" t="n"/>
      <c r="O90" s="8" t="n"/>
      <c r="P90" s="10" t="n"/>
      <c r="Q90" s="11" t="n"/>
      <c r="R90" s="8" t="n"/>
      <c r="S90" s="8" t="n"/>
      <c r="T90" s="8" t="n"/>
    </row>
    <row r="91" ht="16.5" customHeight="1" s="327">
      <c r="A91" s="8" t="n"/>
      <c r="B91" s="8" t="n"/>
      <c r="C91" s="8" t="n"/>
      <c r="D91" s="8" t="n"/>
      <c r="E91" s="8" t="n"/>
      <c r="F91" s="9" t="n"/>
      <c r="G91" s="8" t="n"/>
      <c r="H91" s="8" t="n"/>
      <c r="I91" s="8" t="n"/>
      <c r="J91" s="10" t="n"/>
      <c r="K91" s="8" t="n"/>
      <c r="L91" s="8" t="n"/>
      <c r="M91" s="8" t="n"/>
      <c r="N91" s="8" t="n"/>
      <c r="O91" s="8" t="n"/>
      <c r="P91" s="10" t="n"/>
      <c r="Q91" s="11" t="n"/>
      <c r="R91" s="8" t="n"/>
      <c r="S91" s="8" t="n"/>
      <c r="T91" s="8" t="n"/>
    </row>
    <row r="92" ht="16.5" customHeight="1" s="327">
      <c r="A92" s="8" t="n"/>
      <c r="B92" s="8" t="n"/>
      <c r="C92" s="8" t="n"/>
      <c r="D92" s="8" t="n"/>
      <c r="E92" s="8" t="n"/>
      <c r="F92" s="9" t="n"/>
      <c r="G92" s="8" t="n"/>
      <c r="H92" s="8" t="n"/>
      <c r="I92" s="8" t="n"/>
      <c r="J92" s="10" t="n"/>
      <c r="K92" s="8" t="n"/>
      <c r="L92" s="8" t="n"/>
      <c r="M92" s="8" t="n"/>
      <c r="N92" s="8" t="n"/>
      <c r="O92" s="8" t="n"/>
      <c r="P92" s="10" t="n"/>
      <c r="Q92" s="11" t="n"/>
      <c r="R92" s="8" t="n"/>
      <c r="S92" s="8" t="n"/>
      <c r="T92" s="8" t="n"/>
    </row>
    <row r="93" ht="16.5" customHeight="1" s="327">
      <c r="A93" s="8" t="n"/>
      <c r="B93" s="8" t="n"/>
      <c r="C93" s="8" t="n"/>
      <c r="D93" s="8" t="n"/>
      <c r="E93" s="8" t="n"/>
      <c r="F93" s="9" t="n"/>
      <c r="G93" s="8" t="n"/>
      <c r="H93" s="8" t="n"/>
      <c r="I93" s="8" t="n"/>
      <c r="J93" s="10" t="n"/>
      <c r="K93" s="8" t="n"/>
      <c r="L93" s="8" t="n"/>
      <c r="M93" s="8" t="n"/>
      <c r="N93" s="8" t="n"/>
      <c r="O93" s="8" t="n"/>
      <c r="P93" s="10" t="n"/>
      <c r="Q93" s="11" t="n"/>
      <c r="R93" s="8" t="n"/>
      <c r="S93" s="8" t="n"/>
      <c r="T93" s="8" t="n"/>
    </row>
    <row r="94" ht="16.5" customHeight="1" s="327">
      <c r="A94" s="8" t="n"/>
      <c r="B94" s="8" t="n"/>
      <c r="C94" s="8" t="n"/>
      <c r="D94" s="8" t="n"/>
      <c r="E94" s="8" t="n"/>
      <c r="F94" s="9" t="n"/>
      <c r="G94" s="8" t="n"/>
      <c r="H94" s="8" t="n"/>
      <c r="I94" s="8" t="n"/>
      <c r="J94" s="10" t="n"/>
      <c r="K94" s="8" t="n"/>
      <c r="L94" s="8" t="n"/>
      <c r="M94" s="8" t="n"/>
      <c r="N94" s="8" t="n"/>
      <c r="O94" s="8" t="n"/>
      <c r="P94" s="10" t="n"/>
      <c r="Q94" s="11" t="n"/>
      <c r="R94" s="8" t="n"/>
      <c r="S94" s="8" t="n"/>
      <c r="T94" s="8" t="n"/>
    </row>
    <row r="95" ht="16.5" customHeight="1" s="327">
      <c r="A95" s="8" t="n"/>
      <c r="B95" s="8" t="n"/>
      <c r="C95" s="8" t="n"/>
      <c r="D95" s="8" t="n"/>
      <c r="E95" s="8" t="n"/>
      <c r="F95" s="9" t="n"/>
      <c r="G95" s="8" t="n"/>
      <c r="H95" s="8" t="n"/>
      <c r="I95" s="8" t="n"/>
      <c r="J95" s="10" t="n"/>
      <c r="K95" s="8" t="n"/>
      <c r="L95" s="8" t="n"/>
      <c r="M95" s="8" t="n"/>
      <c r="N95" s="8" t="n"/>
      <c r="O95" s="8" t="n"/>
      <c r="P95" s="10" t="n"/>
      <c r="Q95" s="11" t="n"/>
      <c r="R95" s="8" t="n"/>
      <c r="S95" s="8" t="n"/>
      <c r="T95" s="8" t="n"/>
    </row>
    <row r="96" ht="16.5" customHeight="1" s="327">
      <c r="A96" s="8" t="n"/>
      <c r="B96" s="8" t="n"/>
      <c r="C96" s="8" t="n"/>
      <c r="D96" s="8" t="n"/>
      <c r="E96" s="8" t="n"/>
      <c r="F96" s="9" t="n"/>
      <c r="G96" s="8" t="n"/>
      <c r="H96" s="8" t="n"/>
      <c r="I96" s="8" t="n"/>
      <c r="J96" s="10" t="n"/>
      <c r="K96" s="8" t="n"/>
      <c r="L96" s="8" t="n"/>
      <c r="M96" s="8" t="n"/>
      <c r="N96" s="8" t="n"/>
      <c r="O96" s="8" t="n"/>
      <c r="P96" s="10" t="n"/>
      <c r="Q96" s="11" t="n"/>
      <c r="R96" s="8" t="n"/>
      <c r="S96" s="8" t="n"/>
      <c r="T96" s="8" t="n"/>
    </row>
    <row r="97" ht="16.5" customHeight="1" s="327">
      <c r="A97" s="8" t="n"/>
      <c r="B97" s="8" t="n"/>
      <c r="C97" s="8" t="n"/>
      <c r="D97" s="8" t="n"/>
      <c r="E97" s="8" t="n"/>
      <c r="F97" s="9" t="n"/>
      <c r="G97" s="8" t="n"/>
      <c r="H97" s="8" t="n"/>
      <c r="I97" s="8" t="n"/>
      <c r="J97" s="10" t="n"/>
      <c r="K97" s="8" t="n"/>
      <c r="L97" s="8" t="n"/>
      <c r="M97" s="8" t="n"/>
      <c r="N97" s="8" t="n"/>
      <c r="O97" s="8" t="n"/>
      <c r="P97" s="10" t="n"/>
      <c r="Q97" s="11" t="n"/>
      <c r="R97" s="8" t="n"/>
      <c r="S97" s="8" t="n"/>
      <c r="T97" s="8" t="n"/>
    </row>
    <row r="98" ht="16.5" customHeight="1" s="327">
      <c r="A98" s="8" t="n"/>
      <c r="B98" s="8" t="n"/>
      <c r="C98" s="8" t="n"/>
      <c r="D98" s="8" t="n"/>
      <c r="E98" s="8" t="n"/>
      <c r="F98" s="9" t="n"/>
      <c r="G98" s="8" t="n"/>
      <c r="H98" s="8" t="n"/>
      <c r="I98" s="8" t="n"/>
      <c r="J98" s="10" t="n"/>
      <c r="K98" s="8" t="n"/>
      <c r="L98" s="8" t="n"/>
      <c r="M98" s="8" t="n"/>
      <c r="N98" s="8" t="n"/>
      <c r="O98" s="8" t="n"/>
      <c r="P98" s="10" t="n"/>
      <c r="Q98" s="11" t="n"/>
      <c r="R98" s="8" t="n"/>
      <c r="S98" s="8" t="n"/>
      <c r="T98" s="8" t="n"/>
    </row>
    <row r="99" ht="16.5" customHeight="1" s="327">
      <c r="A99" s="8" t="n"/>
      <c r="B99" s="8" t="n"/>
      <c r="C99" s="8" t="n"/>
      <c r="D99" s="8" t="n"/>
      <c r="E99" s="8" t="n"/>
      <c r="F99" s="9" t="n"/>
      <c r="G99" s="8" t="n"/>
      <c r="H99" s="8" t="n"/>
      <c r="I99" s="8" t="n"/>
      <c r="J99" s="10" t="n"/>
      <c r="K99" s="8" t="n"/>
      <c r="L99" s="8" t="n"/>
      <c r="M99" s="8" t="n"/>
      <c r="N99" s="8" t="n"/>
      <c r="O99" s="8" t="n"/>
      <c r="P99" s="10" t="n"/>
      <c r="Q99" s="11" t="n"/>
      <c r="R99" s="8" t="n"/>
      <c r="S99" s="8" t="n"/>
      <c r="T99" s="8" t="n"/>
    </row>
    <row r="100" ht="16.5" customHeight="1" s="327">
      <c r="A100" s="8" t="n"/>
      <c r="B100" s="8" t="n"/>
      <c r="C100" s="8" t="n"/>
      <c r="D100" s="8" t="n"/>
      <c r="E100" s="8" t="n"/>
      <c r="F100" s="9" t="n"/>
      <c r="G100" s="8" t="n"/>
      <c r="H100" s="8" t="n"/>
      <c r="I100" s="8" t="n"/>
      <c r="J100" s="10" t="n"/>
      <c r="K100" s="8" t="n"/>
      <c r="L100" s="8" t="n"/>
      <c r="M100" s="8" t="n"/>
      <c r="N100" s="8" t="n"/>
      <c r="O100" s="8" t="n"/>
      <c r="P100" s="10" t="n"/>
      <c r="Q100" s="11" t="n"/>
      <c r="R100" s="8" t="n"/>
      <c r="S100" s="8" t="n"/>
      <c r="T100" s="8" t="n"/>
    </row>
    <row r="101" ht="16.5" customHeight="1" s="327">
      <c r="A101" s="8" t="n"/>
      <c r="B101" s="8" t="n"/>
      <c r="C101" s="8" t="n"/>
      <c r="D101" s="8" t="n"/>
      <c r="E101" s="8" t="n"/>
      <c r="F101" s="9" t="n"/>
      <c r="G101" s="8" t="n"/>
      <c r="H101" s="8" t="n"/>
      <c r="I101" s="8" t="n"/>
      <c r="J101" s="10" t="n"/>
      <c r="K101" s="8" t="n"/>
      <c r="L101" s="8" t="n"/>
      <c r="M101" s="8" t="n"/>
      <c r="N101" s="8" t="n"/>
      <c r="O101" s="8" t="n"/>
      <c r="P101" s="10" t="n"/>
      <c r="Q101" s="11" t="n"/>
      <c r="R101" s="8" t="n"/>
      <c r="S101" s="8" t="n"/>
      <c r="T101" s="8" t="n"/>
    </row>
    <row r="102" ht="16.5" customHeight="1" s="327">
      <c r="A102" s="8" t="n"/>
      <c r="B102" s="8" t="n"/>
      <c r="C102" s="8" t="n"/>
      <c r="D102" s="8" t="n"/>
      <c r="E102" s="8" t="n"/>
      <c r="F102" s="9" t="n"/>
      <c r="G102" s="8" t="n"/>
      <c r="H102" s="8" t="n"/>
      <c r="I102" s="8" t="n"/>
      <c r="J102" s="10" t="n"/>
      <c r="K102" s="8" t="n"/>
      <c r="L102" s="8" t="n"/>
      <c r="M102" s="8" t="n"/>
      <c r="N102" s="8" t="n"/>
      <c r="O102" s="8" t="n"/>
      <c r="P102" s="10" t="n"/>
      <c r="Q102" s="11" t="n"/>
      <c r="R102" s="8" t="n"/>
      <c r="S102" s="8" t="n"/>
      <c r="T102" s="8" t="n"/>
    </row>
    <row r="103" ht="16.5" customHeight="1" s="327">
      <c r="A103" s="8" t="n"/>
      <c r="B103" s="8" t="n"/>
      <c r="C103" s="8" t="n"/>
      <c r="D103" s="8" t="n"/>
      <c r="E103" s="8" t="n"/>
      <c r="F103" s="9" t="n"/>
      <c r="G103" s="8" t="n"/>
      <c r="H103" s="8" t="n"/>
      <c r="I103" s="8" t="n"/>
      <c r="J103" s="10" t="n"/>
      <c r="K103" s="8" t="n"/>
      <c r="L103" s="8" t="n"/>
      <c r="M103" s="8" t="n"/>
      <c r="N103" s="8" t="n"/>
      <c r="O103" s="8" t="n"/>
      <c r="P103" s="10" t="n"/>
      <c r="Q103" s="11" t="n"/>
      <c r="R103" s="8" t="n"/>
      <c r="S103" s="8" t="n"/>
      <c r="T103" s="8" t="n"/>
    </row>
    <row r="104" ht="16.5" customHeight="1" s="327">
      <c r="A104" s="8" t="n"/>
      <c r="B104" s="8" t="n"/>
      <c r="C104" s="8" t="n"/>
      <c r="D104" s="8" t="n"/>
      <c r="E104" s="8" t="n"/>
      <c r="F104" s="9" t="n"/>
      <c r="G104" s="8" t="n"/>
      <c r="H104" s="8" t="n"/>
      <c r="I104" s="8" t="n"/>
      <c r="J104" s="10" t="n"/>
      <c r="K104" s="8" t="n"/>
      <c r="L104" s="8" t="n"/>
      <c r="M104" s="8" t="n"/>
      <c r="N104" s="8" t="n"/>
      <c r="O104" s="8" t="n"/>
      <c r="P104" s="10" t="n"/>
      <c r="Q104" s="11" t="n"/>
      <c r="R104" s="8" t="n"/>
      <c r="S104" s="8" t="n"/>
      <c r="T104" s="8" t="n"/>
    </row>
    <row r="105" ht="16.5" customHeight="1" s="327">
      <c r="A105" s="8" t="n"/>
      <c r="B105" s="8" t="n"/>
      <c r="C105" s="8" t="n"/>
      <c r="D105" s="8" t="n"/>
      <c r="E105" s="8" t="n"/>
      <c r="F105" s="9" t="n"/>
      <c r="G105" s="8" t="n"/>
      <c r="H105" s="8" t="n"/>
      <c r="I105" s="8" t="n"/>
      <c r="J105" s="10" t="n"/>
      <c r="K105" s="8" t="n"/>
      <c r="L105" s="8" t="n"/>
      <c r="M105" s="8" t="n"/>
      <c r="N105" s="8" t="n"/>
      <c r="O105" s="8" t="n"/>
      <c r="P105" s="10" t="n"/>
      <c r="Q105" s="11" t="n"/>
      <c r="R105" s="8" t="n"/>
      <c r="S105" s="8" t="n"/>
      <c r="T105" s="8" t="n"/>
    </row>
    <row r="106" ht="16.5" customHeight="1" s="327">
      <c r="A106" s="8" t="n"/>
      <c r="B106" s="8" t="n"/>
      <c r="C106" s="8" t="n"/>
      <c r="D106" s="8" t="n"/>
      <c r="E106" s="8" t="n"/>
      <c r="F106" s="9" t="n"/>
      <c r="G106" s="8" t="n"/>
      <c r="H106" s="8" t="n"/>
      <c r="I106" s="8" t="n"/>
      <c r="J106" s="10" t="n"/>
      <c r="K106" s="8" t="n"/>
      <c r="L106" s="8" t="n"/>
      <c r="M106" s="8" t="n"/>
      <c r="N106" s="8" t="n"/>
      <c r="O106" s="8" t="n"/>
      <c r="P106" s="10" t="n"/>
      <c r="Q106" s="11" t="n"/>
      <c r="R106" s="8" t="n"/>
      <c r="S106" s="8" t="n"/>
      <c r="T106" s="8" t="n"/>
    </row>
    <row r="107" ht="16.5" customHeight="1" s="327">
      <c r="A107" s="8" t="n"/>
      <c r="B107" s="8" t="n"/>
      <c r="C107" s="8" t="n"/>
      <c r="D107" s="8" t="n"/>
      <c r="E107" s="8" t="n"/>
      <c r="F107" s="9" t="n"/>
      <c r="G107" s="8" t="n"/>
      <c r="H107" s="8" t="n"/>
      <c r="I107" s="8" t="n"/>
      <c r="J107" s="10" t="n"/>
      <c r="K107" s="8" t="n"/>
      <c r="L107" s="8" t="n"/>
      <c r="M107" s="8" t="n"/>
      <c r="N107" s="8" t="n"/>
      <c r="O107" s="8" t="n"/>
      <c r="P107" s="10" t="n"/>
      <c r="Q107" s="11" t="n"/>
      <c r="R107" s="8" t="n"/>
      <c r="S107" s="8" t="n"/>
      <c r="T107" s="8" t="n"/>
    </row>
    <row r="108" ht="16.5" customHeight="1" s="327">
      <c r="A108" s="8" t="n"/>
      <c r="B108" s="8" t="n"/>
      <c r="C108" s="8" t="n"/>
      <c r="D108" s="8" t="n"/>
      <c r="E108" s="8" t="n"/>
      <c r="F108" s="9" t="n"/>
      <c r="G108" s="8" t="n"/>
      <c r="H108" s="8" t="n"/>
      <c r="I108" s="8" t="n"/>
      <c r="J108" s="10" t="n"/>
      <c r="K108" s="8" t="n"/>
      <c r="L108" s="8" t="n"/>
      <c r="M108" s="8" t="n"/>
      <c r="N108" s="8" t="n"/>
      <c r="O108" s="8" t="n"/>
      <c r="P108" s="10" t="n"/>
      <c r="Q108" s="11" t="n"/>
      <c r="R108" s="8" t="n"/>
      <c r="S108" s="8" t="n"/>
      <c r="T108" s="8" t="n"/>
    </row>
    <row r="109" ht="16.5" customHeight="1" s="327">
      <c r="A109" s="8" t="n"/>
      <c r="B109" s="8" t="n"/>
      <c r="C109" s="8" t="n"/>
      <c r="D109" s="8" t="n"/>
      <c r="E109" s="8" t="n"/>
      <c r="F109" s="9" t="n"/>
      <c r="G109" s="8" t="n"/>
      <c r="H109" s="8" t="n"/>
      <c r="I109" s="8" t="n"/>
      <c r="J109" s="10" t="n"/>
      <c r="K109" s="8" t="n"/>
      <c r="L109" s="8" t="n"/>
      <c r="M109" s="8" t="n"/>
      <c r="N109" s="8" t="n"/>
      <c r="O109" s="8" t="n"/>
      <c r="P109" s="10" t="n"/>
      <c r="Q109" s="11" t="n"/>
      <c r="R109" s="8" t="n"/>
      <c r="S109" s="8" t="n"/>
      <c r="T109" s="8" t="n"/>
    </row>
    <row r="110" ht="16.5" customHeight="1" s="327">
      <c r="A110" s="8" t="n"/>
      <c r="B110" s="8" t="n"/>
      <c r="C110" s="8" t="n"/>
      <c r="D110" s="8" t="n"/>
      <c r="E110" s="8" t="n"/>
      <c r="F110" s="9" t="n"/>
      <c r="G110" s="8" t="n"/>
      <c r="H110" s="8" t="n"/>
      <c r="I110" s="8" t="n"/>
      <c r="J110" s="10" t="n"/>
      <c r="K110" s="8" t="n"/>
      <c r="L110" s="8" t="n"/>
      <c r="M110" s="8" t="n"/>
      <c r="N110" s="8" t="n"/>
      <c r="O110" s="8" t="n"/>
      <c r="P110" s="10" t="n"/>
      <c r="Q110" s="11" t="n"/>
      <c r="R110" s="8" t="n"/>
      <c r="S110" s="8" t="n"/>
      <c r="T110" s="8" t="n"/>
    </row>
    <row r="111" ht="16.5" customHeight="1" s="327">
      <c r="A111" s="8" t="n"/>
      <c r="B111" s="8" t="n"/>
      <c r="C111" s="8" t="n"/>
      <c r="D111" s="8" t="n"/>
      <c r="E111" s="8" t="n"/>
      <c r="F111" s="9" t="n"/>
      <c r="G111" s="8" t="n"/>
      <c r="H111" s="8" t="n"/>
      <c r="I111" s="8" t="n"/>
      <c r="J111" s="10" t="n"/>
      <c r="K111" s="8" t="n"/>
      <c r="L111" s="8" t="n"/>
      <c r="M111" s="8" t="n"/>
      <c r="N111" s="8" t="n"/>
      <c r="O111" s="8" t="n"/>
      <c r="P111" s="10" t="n"/>
      <c r="Q111" s="11" t="n"/>
      <c r="R111" s="8" t="n"/>
      <c r="S111" s="8" t="n"/>
      <c r="T111" s="8" t="n"/>
    </row>
    <row r="112" ht="16.5" customHeight="1" s="327">
      <c r="A112" s="8" t="n"/>
      <c r="B112" s="8" t="n"/>
      <c r="C112" s="8" t="n"/>
      <c r="D112" s="8" t="n"/>
      <c r="E112" s="8" t="n"/>
      <c r="F112" s="9" t="n"/>
      <c r="G112" s="8" t="n"/>
      <c r="H112" s="8" t="n"/>
      <c r="I112" s="8" t="n"/>
      <c r="J112" s="10" t="n"/>
      <c r="K112" s="8" t="n"/>
      <c r="L112" s="8" t="n"/>
      <c r="M112" s="8" t="n"/>
      <c r="N112" s="8" t="n"/>
      <c r="O112" s="8" t="n"/>
      <c r="P112" s="10" t="n"/>
      <c r="Q112" s="11" t="n"/>
      <c r="R112" s="8" t="n"/>
      <c r="S112" s="8" t="n"/>
      <c r="T112" s="8" t="n"/>
    </row>
    <row r="113" ht="16.5" customHeight="1" s="327">
      <c r="A113" s="8" t="n"/>
      <c r="B113" s="8" t="n"/>
      <c r="C113" s="8" t="n"/>
      <c r="D113" s="8" t="n"/>
      <c r="E113" s="8" t="n"/>
      <c r="F113" s="9" t="n"/>
      <c r="G113" s="8" t="n"/>
      <c r="H113" s="8" t="n"/>
      <c r="I113" s="8" t="n"/>
      <c r="J113" s="10" t="n"/>
      <c r="K113" s="8" t="n"/>
      <c r="L113" s="8" t="n"/>
      <c r="M113" s="8" t="n"/>
      <c r="N113" s="8" t="n"/>
      <c r="O113" s="8" t="n"/>
      <c r="P113" s="10" t="n"/>
      <c r="Q113" s="11" t="n"/>
      <c r="R113" s="8" t="n"/>
      <c r="S113" s="8" t="n"/>
      <c r="T113" s="8" t="n"/>
    </row>
    <row r="114" ht="16.5" customHeight="1" s="327">
      <c r="A114" s="8" t="n"/>
      <c r="B114" s="8" t="n"/>
      <c r="C114" s="8" t="n"/>
      <c r="D114" s="8" t="n"/>
      <c r="E114" s="8" t="n"/>
      <c r="F114" s="9" t="n"/>
      <c r="G114" s="8" t="n"/>
      <c r="H114" s="8" t="n"/>
      <c r="I114" s="8" t="n"/>
      <c r="J114" s="10" t="n"/>
      <c r="K114" s="8" t="n"/>
      <c r="L114" s="8" t="n"/>
      <c r="M114" s="8" t="n"/>
      <c r="N114" s="8" t="n"/>
      <c r="O114" s="8" t="n"/>
      <c r="P114" s="10" t="n"/>
      <c r="Q114" s="11" t="n"/>
      <c r="R114" s="8" t="n"/>
      <c r="S114" s="8" t="n"/>
      <c r="T114" s="8" t="n"/>
    </row>
    <row r="115" ht="16.5" customHeight="1" s="327">
      <c r="A115" s="8" t="n"/>
      <c r="B115" s="8" t="n"/>
      <c r="C115" s="8" t="n"/>
      <c r="D115" s="8" t="n"/>
      <c r="E115" s="8" t="n"/>
      <c r="F115" s="9" t="n"/>
      <c r="G115" s="8" t="n"/>
      <c r="H115" s="8" t="n"/>
      <c r="I115" s="8" t="n"/>
      <c r="J115" s="10" t="n"/>
      <c r="K115" s="8" t="n"/>
      <c r="L115" s="8" t="n"/>
      <c r="M115" s="8" t="n"/>
      <c r="N115" s="8" t="n"/>
      <c r="O115" s="8" t="n"/>
      <c r="P115" s="10" t="n"/>
      <c r="Q115" s="11" t="n"/>
      <c r="R115" s="8" t="n"/>
      <c r="S115" s="8" t="n"/>
      <c r="T115" s="8" t="n"/>
    </row>
    <row r="116" ht="16.5" customHeight="1" s="327">
      <c r="A116" s="8" t="n"/>
      <c r="B116" s="8" t="n"/>
      <c r="C116" s="8" t="n"/>
      <c r="D116" s="8" t="n"/>
      <c r="E116" s="8" t="n"/>
      <c r="F116" s="9" t="n"/>
      <c r="G116" s="8" t="n"/>
      <c r="H116" s="8" t="n"/>
      <c r="I116" s="8" t="n"/>
      <c r="J116" s="10" t="n"/>
      <c r="K116" s="8" t="n"/>
      <c r="L116" s="8" t="n"/>
      <c r="M116" s="8" t="n"/>
      <c r="N116" s="8" t="n"/>
      <c r="O116" s="8" t="n"/>
      <c r="P116" s="10" t="n"/>
      <c r="Q116" s="11" t="n"/>
      <c r="R116" s="8" t="n"/>
      <c r="S116" s="8" t="n"/>
      <c r="T116" s="8" t="n"/>
    </row>
    <row r="117" ht="16.5" customHeight="1" s="327">
      <c r="A117" s="8" t="n"/>
      <c r="B117" s="8" t="n"/>
      <c r="C117" s="8" t="n"/>
      <c r="D117" s="8" t="n"/>
      <c r="E117" s="8" t="n"/>
      <c r="F117" s="9" t="n"/>
      <c r="G117" s="8" t="n"/>
      <c r="H117" s="8" t="n"/>
      <c r="I117" s="8" t="n"/>
      <c r="J117" s="10" t="n"/>
      <c r="K117" s="8" t="n"/>
      <c r="L117" s="8" t="n"/>
      <c r="M117" s="8" t="n"/>
      <c r="N117" s="8" t="n"/>
      <c r="O117" s="8" t="n"/>
      <c r="P117" s="10" t="n"/>
      <c r="Q117" s="11" t="n"/>
      <c r="R117" s="8" t="n"/>
      <c r="S117" s="8" t="n"/>
      <c r="T117" s="8" t="n"/>
    </row>
    <row r="118" ht="16.5" customHeight="1" s="327">
      <c r="A118" s="8" t="n"/>
      <c r="B118" s="8" t="n"/>
      <c r="C118" s="8" t="n"/>
      <c r="D118" s="8" t="n"/>
      <c r="E118" s="8" t="n"/>
      <c r="F118" s="9" t="n"/>
      <c r="G118" s="8" t="n"/>
      <c r="H118" s="8" t="n"/>
      <c r="I118" s="8" t="n"/>
      <c r="J118" s="10" t="n"/>
      <c r="K118" s="8" t="n"/>
      <c r="L118" s="8" t="n"/>
      <c r="M118" s="8" t="n"/>
      <c r="N118" s="8" t="n"/>
      <c r="O118" s="8" t="n"/>
      <c r="P118" s="10" t="n"/>
      <c r="Q118" s="11" t="n"/>
      <c r="R118" s="8" t="n"/>
      <c r="S118" s="8" t="n"/>
      <c r="T118" s="8" t="n"/>
    </row>
    <row r="119" ht="16.5" customHeight="1" s="327">
      <c r="A119" s="8" t="n"/>
      <c r="B119" s="8" t="n"/>
      <c r="C119" s="8" t="n"/>
      <c r="D119" s="8" t="n"/>
      <c r="E119" s="8" t="n"/>
      <c r="F119" s="9" t="n"/>
      <c r="G119" s="8" t="n"/>
      <c r="H119" s="8" t="n"/>
      <c r="I119" s="8" t="n"/>
      <c r="J119" s="10" t="n"/>
      <c r="K119" s="8" t="n"/>
      <c r="L119" s="8" t="n"/>
      <c r="M119" s="8" t="n"/>
      <c r="N119" s="8" t="n"/>
      <c r="O119" s="8" t="n"/>
      <c r="P119" s="10" t="n"/>
      <c r="Q119" s="11" t="n"/>
      <c r="R119" s="8" t="n"/>
      <c r="S119" s="8" t="n"/>
      <c r="T119" s="8" t="n"/>
    </row>
    <row r="120" ht="16.5" customHeight="1" s="327">
      <c r="A120" s="8" t="n"/>
      <c r="B120" s="8" t="n"/>
      <c r="C120" s="8" t="n"/>
      <c r="D120" s="8" t="n"/>
      <c r="E120" s="8" t="n"/>
      <c r="F120" s="9" t="n"/>
      <c r="G120" s="8" t="n"/>
      <c r="H120" s="8" t="n"/>
      <c r="I120" s="8" t="n"/>
      <c r="J120" s="10" t="n"/>
      <c r="K120" s="8" t="n"/>
      <c r="L120" s="8" t="n"/>
      <c r="M120" s="8" t="n"/>
      <c r="N120" s="8" t="n"/>
      <c r="O120" s="8" t="n"/>
      <c r="P120" s="10" t="n"/>
      <c r="Q120" s="11" t="n"/>
      <c r="R120" s="8" t="n"/>
      <c r="S120" s="8" t="n"/>
      <c r="T120" s="8" t="n"/>
    </row>
    <row r="121" ht="16.5" customHeight="1" s="327">
      <c r="A121" s="8" t="n"/>
      <c r="B121" s="8" t="n"/>
      <c r="C121" s="8" t="n"/>
      <c r="D121" s="8" t="n"/>
      <c r="E121" s="8" t="n"/>
      <c r="F121" s="9" t="n"/>
      <c r="G121" s="8" t="n"/>
      <c r="H121" s="8" t="n"/>
      <c r="I121" s="8" t="n"/>
      <c r="J121" s="10" t="n"/>
      <c r="K121" s="8" t="n"/>
      <c r="L121" s="8" t="n"/>
      <c r="M121" s="8" t="n"/>
      <c r="N121" s="8" t="n"/>
      <c r="O121" s="8" t="n"/>
      <c r="P121" s="10" t="n"/>
      <c r="Q121" s="11" t="n"/>
      <c r="R121" s="8" t="n"/>
      <c r="S121" s="8" t="n"/>
      <c r="T121" s="8" t="n"/>
    </row>
    <row r="122" ht="16.5" customHeight="1" s="327">
      <c r="A122" s="8" t="n"/>
      <c r="B122" s="8" t="n"/>
      <c r="C122" s="8" t="n"/>
      <c r="D122" s="8" t="n"/>
      <c r="E122" s="8" t="n"/>
      <c r="F122" s="9" t="n"/>
      <c r="G122" s="8" t="n"/>
      <c r="H122" s="8" t="n"/>
      <c r="I122" s="8" t="n"/>
      <c r="J122" s="10" t="n"/>
      <c r="K122" s="8" t="n"/>
      <c r="L122" s="8" t="n"/>
      <c r="M122" s="8" t="n"/>
      <c r="N122" s="8" t="n"/>
      <c r="O122" s="8" t="n"/>
      <c r="P122" s="10" t="n"/>
      <c r="Q122" s="11" t="n"/>
      <c r="R122" s="8" t="n"/>
      <c r="S122" s="8" t="n"/>
      <c r="T122" s="8" t="n"/>
    </row>
    <row r="123" ht="16.5" customHeight="1" s="327">
      <c r="A123" s="8" t="n"/>
      <c r="B123" s="8" t="n"/>
      <c r="C123" s="8" t="n"/>
      <c r="D123" s="8" t="n"/>
      <c r="E123" s="8" t="n"/>
      <c r="F123" s="9" t="n"/>
      <c r="G123" s="8" t="n"/>
      <c r="H123" s="8" t="n"/>
      <c r="I123" s="8" t="n"/>
      <c r="J123" s="10" t="n"/>
      <c r="K123" s="8" t="n"/>
      <c r="L123" s="8" t="n"/>
      <c r="M123" s="8" t="n"/>
      <c r="N123" s="8" t="n"/>
      <c r="O123" s="8" t="n"/>
      <c r="P123" s="10" t="n"/>
      <c r="Q123" s="11" t="n"/>
      <c r="R123" s="8" t="n"/>
      <c r="S123" s="8" t="n"/>
      <c r="T123" s="8" t="n"/>
    </row>
    <row r="124" ht="16.5" customHeight="1" s="327">
      <c r="A124" s="8" t="n"/>
      <c r="B124" s="8" t="n"/>
      <c r="C124" s="8" t="n"/>
      <c r="D124" s="8" t="n"/>
      <c r="E124" s="8" t="n"/>
      <c r="F124" s="9" t="n"/>
      <c r="G124" s="8" t="n"/>
      <c r="H124" s="8" t="n"/>
      <c r="I124" s="8" t="n"/>
      <c r="J124" s="10" t="n"/>
      <c r="K124" s="8" t="n"/>
      <c r="L124" s="8" t="n"/>
      <c r="M124" s="8" t="n"/>
      <c r="N124" s="8" t="n"/>
      <c r="O124" s="8" t="n"/>
      <c r="P124" s="10" t="n"/>
      <c r="Q124" s="11" t="n"/>
      <c r="R124" s="8" t="n"/>
      <c r="S124" s="8" t="n"/>
      <c r="T124" s="8" t="n"/>
    </row>
    <row r="125" ht="16.5" customHeight="1" s="327">
      <c r="A125" s="8" t="n"/>
      <c r="B125" s="8" t="n"/>
      <c r="C125" s="8" t="n"/>
      <c r="D125" s="8" t="n"/>
      <c r="E125" s="8" t="n"/>
      <c r="F125" s="9" t="n"/>
      <c r="G125" s="8" t="n"/>
      <c r="H125" s="8" t="n"/>
      <c r="I125" s="8" t="n"/>
      <c r="J125" s="10" t="n"/>
      <c r="K125" s="8" t="n"/>
      <c r="L125" s="8" t="n"/>
      <c r="M125" s="8" t="n"/>
      <c r="N125" s="8" t="n"/>
      <c r="O125" s="8" t="n"/>
      <c r="P125" s="10" t="n"/>
      <c r="Q125" s="11" t="n"/>
      <c r="R125" s="8" t="n"/>
      <c r="S125" s="8" t="n"/>
      <c r="T125" s="8" t="n"/>
    </row>
    <row r="126" ht="16.5" customHeight="1" s="327">
      <c r="A126" s="8" t="n"/>
      <c r="B126" s="8" t="n"/>
      <c r="C126" s="8" t="n"/>
      <c r="D126" s="8" t="n"/>
      <c r="E126" s="8" t="n"/>
      <c r="F126" s="9" t="n"/>
      <c r="G126" s="8" t="n"/>
      <c r="H126" s="8" t="n"/>
      <c r="I126" s="8" t="n"/>
      <c r="J126" s="10" t="n"/>
      <c r="K126" s="8" t="n"/>
      <c r="L126" s="8" t="n"/>
      <c r="M126" s="8" t="n"/>
      <c r="N126" s="8" t="n"/>
      <c r="O126" s="8" t="n"/>
      <c r="P126" s="10" t="n"/>
      <c r="Q126" s="11" t="n"/>
      <c r="R126" s="8" t="n"/>
      <c r="S126" s="8" t="n"/>
      <c r="T126" s="8" t="n"/>
    </row>
    <row r="127" ht="16.5" customHeight="1" s="327">
      <c r="A127" s="8" t="n"/>
      <c r="B127" s="8" t="n"/>
      <c r="C127" s="8" t="n"/>
      <c r="D127" s="8" t="n"/>
      <c r="E127" s="8" t="n"/>
      <c r="F127" s="9" t="n"/>
      <c r="G127" s="8" t="n"/>
      <c r="H127" s="8" t="n"/>
      <c r="I127" s="8" t="n"/>
      <c r="J127" s="10" t="n"/>
      <c r="K127" s="8" t="n"/>
      <c r="L127" s="8" t="n"/>
      <c r="M127" s="8" t="n"/>
      <c r="N127" s="8" t="n"/>
      <c r="O127" s="8" t="n"/>
      <c r="P127" s="10" t="n"/>
      <c r="Q127" s="11" t="n"/>
      <c r="R127" s="8" t="n"/>
      <c r="S127" s="8" t="n"/>
      <c r="T127" s="8" t="n"/>
    </row>
    <row r="128" ht="16.5" customHeight="1" s="327">
      <c r="A128" s="8" t="n"/>
      <c r="B128" s="8" t="n"/>
      <c r="C128" s="8" t="n"/>
      <c r="D128" s="8" t="n"/>
      <c r="E128" s="8" t="n"/>
      <c r="F128" s="9" t="n"/>
      <c r="G128" s="8" t="n"/>
      <c r="H128" s="8" t="n"/>
      <c r="I128" s="8" t="n"/>
      <c r="J128" s="10" t="n"/>
      <c r="K128" s="8" t="n"/>
      <c r="L128" s="8" t="n"/>
      <c r="M128" s="8" t="n"/>
      <c r="N128" s="8" t="n"/>
      <c r="O128" s="8" t="n"/>
      <c r="P128" s="10" t="n"/>
      <c r="Q128" s="11" t="n"/>
      <c r="R128" s="8" t="n"/>
      <c r="S128" s="8" t="n"/>
      <c r="T128" s="8" t="n"/>
    </row>
    <row r="129" ht="16.5" customHeight="1" s="327">
      <c r="A129" s="8" t="n"/>
      <c r="B129" s="8" t="n"/>
      <c r="C129" s="8" t="n"/>
      <c r="D129" s="8" t="n"/>
      <c r="E129" s="8" t="n"/>
      <c r="F129" s="9" t="n"/>
      <c r="G129" s="8" t="n"/>
      <c r="H129" s="8" t="n"/>
      <c r="I129" s="8" t="n"/>
      <c r="J129" s="10" t="n"/>
      <c r="K129" s="8" t="n"/>
      <c r="L129" s="8" t="n"/>
      <c r="M129" s="8" t="n"/>
      <c r="N129" s="8" t="n"/>
      <c r="O129" s="8" t="n"/>
      <c r="P129" s="10" t="n"/>
      <c r="Q129" s="11" t="n"/>
      <c r="R129" s="8" t="n"/>
      <c r="S129" s="8" t="n"/>
      <c r="T129" s="8" t="n"/>
    </row>
    <row r="130" ht="16.5" customHeight="1" s="327">
      <c r="A130" s="8" t="n"/>
      <c r="B130" s="8" t="n"/>
      <c r="C130" s="8" t="n"/>
      <c r="D130" s="8" t="n"/>
      <c r="E130" s="8" t="n"/>
      <c r="F130" s="9" t="n"/>
      <c r="G130" s="8" t="n"/>
      <c r="H130" s="8" t="n"/>
      <c r="I130" s="8" t="n"/>
      <c r="J130" s="10" t="n"/>
      <c r="K130" s="8" t="n"/>
      <c r="L130" s="8" t="n"/>
      <c r="M130" s="8" t="n"/>
      <c r="N130" s="8" t="n"/>
      <c r="O130" s="8" t="n"/>
      <c r="P130" s="10" t="n"/>
      <c r="Q130" s="11" t="n"/>
      <c r="R130" s="8" t="n"/>
      <c r="S130" s="8" t="n"/>
      <c r="T130" s="8" t="n"/>
    </row>
    <row r="131" ht="16.5" customHeight="1" s="327">
      <c r="A131" s="8" t="n"/>
      <c r="B131" s="8" t="n"/>
      <c r="C131" s="8" t="n"/>
      <c r="D131" s="8" t="n"/>
      <c r="E131" s="8" t="n"/>
      <c r="F131" s="9" t="n"/>
      <c r="G131" s="8" t="n"/>
      <c r="H131" s="8" t="n"/>
      <c r="I131" s="8" t="n"/>
      <c r="J131" s="10" t="n"/>
      <c r="K131" s="8" t="n"/>
      <c r="L131" s="8" t="n"/>
      <c r="M131" s="8" t="n"/>
      <c r="N131" s="8" t="n"/>
      <c r="O131" s="8" t="n"/>
      <c r="P131" s="10" t="n"/>
      <c r="Q131" s="11" t="n"/>
      <c r="R131" s="8" t="n"/>
      <c r="S131" s="8" t="n"/>
      <c r="T131" s="8" t="n"/>
    </row>
    <row r="132" ht="16.5" customHeight="1" s="327">
      <c r="A132" s="8" t="n"/>
      <c r="B132" s="8" t="n"/>
      <c r="C132" s="8" t="n"/>
      <c r="D132" s="8" t="n"/>
      <c r="E132" s="8" t="n"/>
      <c r="F132" s="9" t="n"/>
      <c r="G132" s="8" t="n"/>
      <c r="H132" s="8" t="n"/>
      <c r="I132" s="8" t="n"/>
      <c r="J132" s="10" t="n"/>
      <c r="K132" s="8" t="n"/>
      <c r="L132" s="8" t="n"/>
      <c r="M132" s="8" t="n"/>
      <c r="N132" s="8" t="n"/>
      <c r="O132" s="8" t="n"/>
      <c r="P132" s="10" t="n"/>
      <c r="Q132" s="11" t="n"/>
      <c r="R132" s="8" t="n"/>
      <c r="S132" s="8" t="n"/>
      <c r="T132" s="8" t="n"/>
    </row>
    <row r="133" ht="16.5" customHeight="1" s="327">
      <c r="A133" s="8" t="n"/>
      <c r="B133" s="8" t="n"/>
      <c r="C133" s="8" t="n"/>
      <c r="D133" s="8" t="n"/>
      <c r="E133" s="8" t="n"/>
      <c r="F133" s="9" t="n"/>
      <c r="G133" s="8" t="n"/>
      <c r="H133" s="8" t="n"/>
      <c r="I133" s="8" t="n"/>
      <c r="J133" s="10" t="n"/>
      <c r="K133" s="8" t="n"/>
      <c r="L133" s="8" t="n"/>
      <c r="M133" s="8" t="n"/>
      <c r="N133" s="8" t="n"/>
      <c r="O133" s="8" t="n"/>
      <c r="P133" s="10" t="n"/>
      <c r="Q133" s="11" t="n"/>
      <c r="R133" s="8" t="n"/>
      <c r="S133" s="8" t="n"/>
      <c r="T133" s="8" t="n"/>
    </row>
    <row r="134" ht="16.5" customHeight="1" s="327">
      <c r="A134" s="8" t="n"/>
      <c r="B134" s="8" t="n"/>
      <c r="C134" s="8" t="n"/>
      <c r="D134" s="8" t="n"/>
      <c r="E134" s="8" t="n"/>
      <c r="F134" s="9" t="n"/>
      <c r="G134" s="8" t="n"/>
      <c r="H134" s="8" t="n"/>
      <c r="I134" s="8" t="n"/>
      <c r="J134" s="10" t="n"/>
      <c r="K134" s="8" t="n"/>
      <c r="L134" s="8" t="n"/>
      <c r="M134" s="8" t="n"/>
      <c r="N134" s="8" t="n"/>
      <c r="O134" s="8" t="n"/>
      <c r="P134" s="10" t="n"/>
      <c r="Q134" s="11" t="n"/>
      <c r="R134" s="8" t="n"/>
      <c r="S134" s="8" t="n"/>
      <c r="T134" s="8" t="n"/>
    </row>
    <row r="135" ht="16.5" customHeight="1" s="327">
      <c r="A135" s="8" t="n"/>
      <c r="B135" s="8" t="n"/>
      <c r="C135" s="8" t="n"/>
      <c r="D135" s="8" t="n"/>
      <c r="E135" s="8" t="n"/>
      <c r="F135" s="9" t="n"/>
      <c r="G135" s="8" t="n"/>
      <c r="H135" s="8" t="n"/>
      <c r="I135" s="8" t="n"/>
      <c r="J135" s="10" t="n"/>
      <c r="K135" s="8" t="n"/>
      <c r="L135" s="8" t="n"/>
      <c r="M135" s="8" t="n"/>
      <c r="N135" s="8" t="n"/>
      <c r="O135" s="8" t="n"/>
      <c r="P135" s="10" t="n"/>
      <c r="Q135" s="11" t="n"/>
      <c r="R135" s="8" t="n"/>
      <c r="S135" s="8" t="n"/>
      <c r="T135" s="8" t="n"/>
    </row>
    <row r="136" ht="16.5" customHeight="1" s="327">
      <c r="A136" s="8" t="n"/>
      <c r="B136" s="8" t="n"/>
      <c r="C136" s="8" t="n"/>
      <c r="D136" s="8" t="n"/>
      <c r="E136" s="8" t="n"/>
      <c r="F136" s="9" t="n"/>
      <c r="G136" s="8" t="n"/>
      <c r="H136" s="8" t="n"/>
      <c r="I136" s="8" t="n"/>
      <c r="J136" s="10" t="n"/>
      <c r="K136" s="8" t="n"/>
      <c r="L136" s="8" t="n"/>
      <c r="M136" s="8" t="n"/>
      <c r="N136" s="8" t="n"/>
      <c r="O136" s="8" t="n"/>
      <c r="P136" s="10" t="n"/>
      <c r="Q136" s="11" t="n"/>
      <c r="R136" s="8" t="n"/>
      <c r="S136" s="8" t="n"/>
      <c r="T136" s="8" t="n"/>
    </row>
    <row r="137" ht="16.5" customHeight="1" s="327">
      <c r="A137" s="8" t="n"/>
      <c r="B137" s="8" t="n"/>
      <c r="C137" s="8" t="n"/>
      <c r="D137" s="8" t="n"/>
      <c r="E137" s="8" t="n"/>
      <c r="F137" s="9" t="n"/>
      <c r="G137" s="8" t="n"/>
      <c r="H137" s="8" t="n"/>
      <c r="I137" s="8" t="n"/>
      <c r="J137" s="10" t="n"/>
      <c r="K137" s="8" t="n"/>
      <c r="L137" s="8" t="n"/>
      <c r="M137" s="8" t="n"/>
      <c r="N137" s="8" t="n"/>
      <c r="O137" s="8" t="n"/>
      <c r="P137" s="10" t="n"/>
      <c r="Q137" s="11" t="n"/>
      <c r="R137" s="8" t="n"/>
      <c r="S137" s="8" t="n"/>
      <c r="T137" s="8" t="n"/>
    </row>
    <row r="138" ht="16.5" customHeight="1" s="327">
      <c r="A138" s="8" t="n"/>
      <c r="B138" s="8" t="n"/>
      <c r="C138" s="8" t="n"/>
      <c r="D138" s="8" t="n"/>
      <c r="E138" s="8" t="n"/>
      <c r="F138" s="9" t="n"/>
      <c r="G138" s="8" t="n"/>
      <c r="H138" s="8" t="n"/>
      <c r="I138" s="8" t="n"/>
      <c r="J138" s="10" t="n"/>
      <c r="K138" s="8" t="n"/>
      <c r="L138" s="8" t="n"/>
      <c r="M138" s="8" t="n"/>
      <c r="N138" s="8" t="n"/>
      <c r="O138" s="8" t="n"/>
      <c r="P138" s="10" t="n"/>
      <c r="Q138" s="11" t="n"/>
      <c r="R138" s="8" t="n"/>
      <c r="S138" s="8" t="n"/>
      <c r="T138" s="8" t="n"/>
    </row>
    <row r="139" ht="16.5" customHeight="1" s="327">
      <c r="A139" s="8" t="n"/>
      <c r="B139" s="8" t="n"/>
      <c r="C139" s="8" t="n"/>
      <c r="D139" s="8" t="n"/>
      <c r="E139" s="8" t="n"/>
      <c r="F139" s="9" t="n"/>
      <c r="G139" s="8" t="n"/>
      <c r="H139" s="8" t="n"/>
      <c r="I139" s="8" t="n"/>
      <c r="J139" s="10" t="n"/>
      <c r="K139" s="8" t="n"/>
      <c r="L139" s="8" t="n"/>
      <c r="M139" s="8" t="n"/>
      <c r="N139" s="8" t="n"/>
      <c r="O139" s="8" t="n"/>
      <c r="P139" s="10" t="n"/>
      <c r="Q139" s="11" t="n"/>
      <c r="R139" s="8" t="n"/>
      <c r="S139" s="8" t="n"/>
      <c r="T139" s="8" t="n"/>
    </row>
    <row r="140" ht="16.5" customHeight="1" s="327">
      <c r="A140" s="8" t="n"/>
      <c r="B140" s="8" t="n"/>
      <c r="C140" s="8" t="n"/>
      <c r="D140" s="8" t="n"/>
      <c r="E140" s="8" t="n"/>
      <c r="F140" s="9" t="n"/>
      <c r="G140" s="8" t="n"/>
      <c r="H140" s="8" t="n"/>
      <c r="I140" s="8" t="n"/>
      <c r="J140" s="10" t="n"/>
      <c r="K140" s="8" t="n"/>
      <c r="L140" s="8" t="n"/>
      <c r="M140" s="8" t="n"/>
      <c r="N140" s="8" t="n"/>
      <c r="O140" s="8" t="n"/>
      <c r="P140" s="10" t="n"/>
      <c r="Q140" s="11" t="n"/>
      <c r="R140" s="8" t="n"/>
      <c r="S140" s="8" t="n"/>
      <c r="T140" s="8" t="n"/>
    </row>
    <row r="141" ht="16.5" customHeight="1" s="327">
      <c r="A141" s="8" t="n"/>
      <c r="B141" s="8" t="n"/>
      <c r="C141" s="8" t="n"/>
      <c r="D141" s="8" t="n"/>
      <c r="E141" s="8" t="n"/>
      <c r="F141" s="9" t="n"/>
      <c r="G141" s="8" t="n"/>
      <c r="H141" s="8" t="n"/>
      <c r="I141" s="8" t="n"/>
      <c r="J141" s="10" t="n"/>
      <c r="K141" s="8" t="n"/>
      <c r="L141" s="8" t="n"/>
      <c r="M141" s="8" t="n"/>
      <c r="N141" s="8" t="n"/>
      <c r="O141" s="8" t="n"/>
      <c r="P141" s="10" t="n"/>
      <c r="Q141" s="11" t="n"/>
      <c r="R141" s="8" t="n"/>
      <c r="S141" s="8" t="n"/>
      <c r="T141" s="8" t="n"/>
    </row>
    <row r="142" ht="16.5" customHeight="1" s="327">
      <c r="A142" s="8" t="n"/>
      <c r="B142" s="8" t="n"/>
      <c r="C142" s="8" t="n"/>
      <c r="D142" s="8" t="n"/>
      <c r="E142" s="8" t="n"/>
      <c r="F142" s="9" t="n"/>
      <c r="G142" s="8" t="n"/>
      <c r="H142" s="8" t="n"/>
      <c r="I142" s="8" t="n"/>
      <c r="J142" s="10" t="n"/>
      <c r="K142" s="8" t="n"/>
      <c r="L142" s="8" t="n"/>
      <c r="M142" s="8" t="n"/>
      <c r="N142" s="8" t="n"/>
      <c r="O142" s="8" t="n"/>
      <c r="P142" s="10" t="n"/>
      <c r="Q142" s="11" t="n"/>
      <c r="R142" s="8" t="n"/>
      <c r="S142" s="8" t="n"/>
      <c r="T142" s="8" t="n"/>
    </row>
    <row r="143" ht="16.5" customHeight="1" s="327">
      <c r="A143" s="8" t="n"/>
      <c r="B143" s="8" t="n"/>
      <c r="C143" s="8" t="n"/>
      <c r="D143" s="8" t="n"/>
      <c r="E143" s="8" t="n"/>
      <c r="F143" s="9" t="n"/>
      <c r="G143" s="8" t="n"/>
      <c r="H143" s="8" t="n"/>
      <c r="I143" s="8" t="n"/>
      <c r="J143" s="10" t="n"/>
      <c r="K143" s="8" t="n"/>
      <c r="L143" s="8" t="n"/>
      <c r="M143" s="8" t="n"/>
      <c r="N143" s="8" t="n"/>
      <c r="O143" s="8" t="n"/>
      <c r="P143" s="10" t="n"/>
      <c r="Q143" s="11" t="n"/>
      <c r="R143" s="8" t="n"/>
      <c r="S143" s="8" t="n"/>
      <c r="T143" s="8" t="n"/>
    </row>
    <row r="144" ht="16.5" customHeight="1" s="327">
      <c r="A144" s="8" t="n"/>
      <c r="B144" s="8" t="n"/>
      <c r="C144" s="8" t="n"/>
      <c r="D144" s="8" t="n"/>
      <c r="E144" s="8" t="n"/>
      <c r="F144" s="9" t="n"/>
      <c r="G144" s="8" t="n"/>
      <c r="H144" s="8" t="n"/>
      <c r="I144" s="8" t="n"/>
      <c r="J144" s="10" t="n"/>
      <c r="K144" s="8" t="n"/>
      <c r="L144" s="8" t="n"/>
      <c r="M144" s="8" t="n"/>
      <c r="N144" s="8" t="n"/>
      <c r="O144" s="8" t="n"/>
      <c r="P144" s="10" t="n"/>
      <c r="Q144" s="11" t="n"/>
      <c r="R144" s="8" t="n"/>
      <c r="S144" s="8" t="n"/>
      <c r="T144" s="8" t="n"/>
    </row>
    <row r="145" ht="16.5" customHeight="1" s="327">
      <c r="A145" s="8" t="n"/>
      <c r="B145" s="8" t="n"/>
      <c r="C145" s="8" t="n"/>
      <c r="D145" s="8" t="n"/>
      <c r="E145" s="8" t="n"/>
      <c r="F145" s="9" t="n"/>
      <c r="G145" s="8" t="n"/>
      <c r="H145" s="8" t="n"/>
      <c r="I145" s="8" t="n"/>
      <c r="J145" s="10" t="n"/>
      <c r="K145" s="8" t="n"/>
      <c r="L145" s="8" t="n"/>
      <c r="M145" s="8" t="n"/>
      <c r="N145" s="8" t="n"/>
      <c r="O145" s="8" t="n"/>
      <c r="P145" s="10" t="n"/>
      <c r="Q145" s="11" t="n"/>
      <c r="R145" s="8" t="n"/>
      <c r="S145" s="8" t="n"/>
      <c r="T145" s="8" t="n"/>
    </row>
    <row r="146" ht="16.5" customHeight="1" s="327">
      <c r="A146" s="8" t="n"/>
      <c r="B146" s="8" t="n"/>
      <c r="C146" s="8" t="n"/>
      <c r="D146" s="8" t="n"/>
      <c r="E146" s="8" t="n"/>
      <c r="F146" s="9" t="n"/>
      <c r="G146" s="8" t="n"/>
      <c r="H146" s="8" t="n"/>
      <c r="I146" s="8" t="n"/>
      <c r="J146" s="10" t="n"/>
      <c r="K146" s="8" t="n"/>
      <c r="L146" s="8" t="n"/>
      <c r="M146" s="8" t="n"/>
      <c r="N146" s="8" t="n"/>
      <c r="O146" s="8" t="n"/>
      <c r="P146" s="10" t="n"/>
      <c r="Q146" s="11" t="n"/>
      <c r="R146" s="8" t="n"/>
      <c r="S146" s="8" t="n"/>
      <c r="T146" s="8" t="n"/>
    </row>
    <row r="147" ht="16.5" customHeight="1" s="327">
      <c r="A147" s="8" t="n"/>
      <c r="B147" s="8" t="n"/>
      <c r="C147" s="8" t="n"/>
      <c r="D147" s="8" t="n"/>
      <c r="E147" s="8" t="n"/>
      <c r="F147" s="9" t="n"/>
      <c r="G147" s="8" t="n"/>
      <c r="H147" s="8" t="n"/>
      <c r="I147" s="8" t="n"/>
      <c r="J147" s="10" t="n"/>
      <c r="K147" s="8" t="n"/>
      <c r="L147" s="8" t="n"/>
      <c r="M147" s="8" t="n"/>
      <c r="N147" s="8" t="n"/>
      <c r="O147" s="8" t="n"/>
      <c r="P147" s="10" t="n"/>
      <c r="Q147" s="11" t="n"/>
      <c r="R147" s="8" t="n"/>
      <c r="S147" s="8" t="n"/>
      <c r="T147" s="8" t="n"/>
    </row>
    <row r="148" ht="16.5" customHeight="1" s="327">
      <c r="A148" s="8" t="n"/>
      <c r="B148" s="8" t="n"/>
      <c r="C148" s="8" t="n"/>
      <c r="D148" s="8" t="n"/>
      <c r="E148" s="8" t="n"/>
      <c r="F148" s="9" t="n"/>
      <c r="G148" s="8" t="n"/>
      <c r="H148" s="8" t="n"/>
      <c r="I148" s="8" t="n"/>
      <c r="J148" s="10" t="n"/>
      <c r="K148" s="8" t="n"/>
      <c r="L148" s="8" t="n"/>
      <c r="M148" s="8" t="n"/>
      <c r="N148" s="8" t="n"/>
      <c r="O148" s="8" t="n"/>
      <c r="P148" s="10" t="n"/>
      <c r="Q148" s="11" t="n"/>
      <c r="R148" s="8" t="n"/>
      <c r="S148" s="8" t="n"/>
      <c r="T148" s="8" t="n"/>
    </row>
    <row r="149" ht="16.5" customHeight="1" s="327">
      <c r="A149" s="8" t="n"/>
      <c r="B149" s="8" t="n"/>
      <c r="C149" s="8" t="n"/>
      <c r="D149" s="8" t="n"/>
      <c r="E149" s="8" t="n"/>
      <c r="F149" s="9" t="n"/>
      <c r="G149" s="8" t="n"/>
      <c r="H149" s="8" t="n"/>
      <c r="I149" s="8" t="n"/>
      <c r="J149" s="10" t="n"/>
      <c r="K149" s="8" t="n"/>
      <c r="L149" s="8" t="n"/>
      <c r="M149" s="8" t="n"/>
      <c r="N149" s="8" t="n"/>
      <c r="O149" s="8" t="n"/>
      <c r="P149" s="10" t="n"/>
      <c r="Q149" s="11" t="n"/>
      <c r="R149" s="8" t="n"/>
      <c r="S149" s="8" t="n"/>
      <c r="T149" s="8" t="n"/>
    </row>
    <row r="150" ht="16.5" customHeight="1" s="327">
      <c r="A150" s="8" t="n"/>
      <c r="B150" s="8" t="n"/>
      <c r="C150" s="8" t="n"/>
      <c r="D150" s="8" t="n"/>
      <c r="E150" s="8" t="n"/>
      <c r="F150" s="9" t="n"/>
      <c r="G150" s="8" t="n"/>
      <c r="H150" s="8" t="n"/>
      <c r="I150" s="8" t="n"/>
      <c r="J150" s="10" t="n"/>
      <c r="K150" s="8" t="n"/>
      <c r="L150" s="8" t="n"/>
      <c r="M150" s="8" t="n"/>
      <c r="N150" s="8" t="n"/>
      <c r="O150" s="8" t="n"/>
      <c r="P150" s="10" t="n"/>
      <c r="Q150" s="11" t="n"/>
      <c r="R150" s="8" t="n"/>
      <c r="S150" s="8" t="n"/>
      <c r="T150" s="8" t="n"/>
    </row>
    <row r="151" ht="16.5" customHeight="1" s="327">
      <c r="A151" s="8" t="n"/>
      <c r="B151" s="8" t="n"/>
      <c r="C151" s="8" t="n"/>
      <c r="D151" s="8" t="n"/>
      <c r="E151" s="8" t="n"/>
      <c r="F151" s="9" t="n"/>
      <c r="G151" s="8" t="n"/>
      <c r="H151" s="8" t="n"/>
      <c r="I151" s="8" t="n"/>
      <c r="J151" s="10" t="n"/>
      <c r="K151" s="8" t="n"/>
      <c r="L151" s="8" t="n"/>
      <c r="M151" s="8" t="n"/>
      <c r="N151" s="8" t="n"/>
      <c r="O151" s="8" t="n"/>
      <c r="P151" s="10" t="n"/>
      <c r="Q151" s="11" t="n"/>
      <c r="R151" s="8" t="n"/>
      <c r="S151" s="8" t="n"/>
      <c r="T151" s="8" t="n"/>
    </row>
    <row r="152" ht="16.5" customHeight="1" s="327">
      <c r="A152" s="8" t="n"/>
      <c r="B152" s="8" t="n"/>
      <c r="C152" s="8" t="n"/>
      <c r="D152" s="8" t="n"/>
      <c r="E152" s="8" t="n"/>
      <c r="F152" s="9" t="n"/>
      <c r="G152" s="8" t="n"/>
      <c r="H152" s="8" t="n"/>
      <c r="I152" s="8" t="n"/>
      <c r="J152" s="10" t="n"/>
      <c r="K152" s="8" t="n"/>
      <c r="L152" s="8" t="n"/>
      <c r="M152" s="8" t="n"/>
      <c r="N152" s="8" t="n"/>
      <c r="O152" s="8" t="n"/>
      <c r="P152" s="10" t="n"/>
      <c r="Q152" s="11" t="n"/>
      <c r="R152" s="8" t="n"/>
      <c r="S152" s="8" t="n"/>
      <c r="T152" s="8" t="n"/>
    </row>
    <row r="153" ht="16.5" customHeight="1" s="327">
      <c r="A153" s="8" t="n"/>
      <c r="B153" s="8" t="n"/>
      <c r="C153" s="8" t="n"/>
      <c r="D153" s="8" t="n"/>
      <c r="E153" s="8" t="n"/>
      <c r="F153" s="9" t="n"/>
      <c r="G153" s="8" t="n"/>
      <c r="H153" s="8" t="n"/>
      <c r="I153" s="8" t="n"/>
      <c r="J153" s="10" t="n"/>
      <c r="K153" s="8" t="n"/>
      <c r="L153" s="8" t="n"/>
      <c r="M153" s="8" t="n"/>
      <c r="N153" s="8" t="n"/>
      <c r="O153" s="8" t="n"/>
      <c r="P153" s="10" t="n"/>
      <c r="Q153" s="11" t="n"/>
      <c r="R153" s="8" t="n"/>
      <c r="S153" s="8" t="n"/>
      <c r="T153" s="8" t="n"/>
    </row>
    <row r="154" ht="16.5" customHeight="1" s="327">
      <c r="A154" s="8" t="n"/>
      <c r="B154" s="8" t="n"/>
      <c r="C154" s="8" t="n"/>
      <c r="D154" s="8" t="n"/>
      <c r="E154" s="8" t="n"/>
      <c r="F154" s="9" t="n"/>
      <c r="G154" s="8" t="n"/>
      <c r="H154" s="8" t="n"/>
      <c r="I154" s="8" t="n"/>
      <c r="J154" s="10" t="n"/>
      <c r="K154" s="8" t="n"/>
      <c r="L154" s="8" t="n"/>
      <c r="M154" s="8" t="n"/>
      <c r="N154" s="8" t="n"/>
      <c r="O154" s="8" t="n"/>
      <c r="P154" s="10" t="n"/>
      <c r="Q154" s="11" t="n"/>
      <c r="R154" s="8" t="n"/>
      <c r="S154" s="8" t="n"/>
      <c r="T154" s="8" t="n"/>
    </row>
    <row r="155" ht="16.5" customHeight="1" s="327">
      <c r="A155" s="8" t="n"/>
      <c r="B155" s="8" t="n"/>
      <c r="C155" s="8" t="n"/>
      <c r="D155" s="8" t="n"/>
      <c r="E155" s="8" t="n"/>
      <c r="F155" s="9" t="n"/>
      <c r="G155" s="8" t="n"/>
      <c r="H155" s="8" t="n"/>
      <c r="I155" s="8" t="n"/>
      <c r="J155" s="10" t="n"/>
      <c r="K155" s="8" t="n"/>
      <c r="L155" s="8" t="n"/>
      <c r="M155" s="8" t="n"/>
      <c r="N155" s="8" t="n"/>
      <c r="O155" s="8" t="n"/>
      <c r="P155" s="10" t="n"/>
      <c r="Q155" s="11" t="n"/>
      <c r="R155" s="8" t="n"/>
      <c r="S155" s="8" t="n"/>
      <c r="T155" s="8" t="n"/>
    </row>
    <row r="156" ht="16.5" customHeight="1" s="327">
      <c r="A156" s="8" t="n"/>
      <c r="B156" s="8" t="n"/>
      <c r="C156" s="8" t="n"/>
      <c r="D156" s="8" t="n"/>
      <c r="E156" s="8" t="n"/>
      <c r="F156" s="9" t="n"/>
      <c r="G156" s="8" t="n"/>
      <c r="H156" s="8" t="n"/>
      <c r="I156" s="8" t="n"/>
      <c r="J156" s="10" t="n"/>
      <c r="K156" s="8" t="n"/>
      <c r="L156" s="8" t="n"/>
      <c r="M156" s="8" t="n"/>
      <c r="N156" s="8" t="n"/>
      <c r="O156" s="8" t="n"/>
      <c r="P156" s="10" t="n"/>
      <c r="Q156" s="11" t="n"/>
      <c r="R156" s="8" t="n"/>
      <c r="S156" s="8" t="n"/>
      <c r="T156" s="8" t="n"/>
    </row>
    <row r="157" ht="16.5" customHeight="1" s="327">
      <c r="A157" s="8" t="n"/>
      <c r="B157" s="8" t="n"/>
      <c r="C157" s="8" t="n"/>
      <c r="D157" s="8" t="n"/>
      <c r="E157" s="8" t="n"/>
      <c r="F157" s="9" t="n"/>
      <c r="G157" s="8" t="n"/>
      <c r="H157" s="8" t="n"/>
      <c r="I157" s="8" t="n"/>
      <c r="J157" s="10" t="n"/>
      <c r="K157" s="8" t="n"/>
      <c r="L157" s="8" t="n"/>
      <c r="M157" s="8" t="n"/>
      <c r="N157" s="8" t="n"/>
      <c r="O157" s="8" t="n"/>
      <c r="P157" s="10" t="n"/>
      <c r="Q157" s="11" t="n"/>
      <c r="R157" s="8" t="n"/>
      <c r="S157" s="8" t="n"/>
      <c r="T157" s="8" t="n"/>
    </row>
    <row r="158" ht="16.5" customHeight="1" s="327">
      <c r="A158" s="8" t="n"/>
      <c r="B158" s="8" t="n"/>
      <c r="C158" s="8" t="n"/>
      <c r="D158" s="8" t="n"/>
      <c r="E158" s="8" t="n"/>
      <c r="F158" s="9" t="n"/>
      <c r="G158" s="8" t="n"/>
      <c r="H158" s="8" t="n"/>
      <c r="I158" s="8" t="n"/>
      <c r="J158" s="10" t="n"/>
      <c r="K158" s="8" t="n"/>
      <c r="L158" s="8" t="n"/>
      <c r="M158" s="8" t="n"/>
      <c r="N158" s="8" t="n"/>
      <c r="O158" s="8" t="n"/>
      <c r="P158" s="10" t="n"/>
      <c r="Q158" s="11" t="n"/>
      <c r="R158" s="8" t="n"/>
      <c r="S158" s="8" t="n"/>
      <c r="T158" s="8" t="n"/>
    </row>
    <row r="159" ht="16.5" customHeight="1" s="327">
      <c r="A159" s="8" t="n"/>
      <c r="B159" s="8" t="n"/>
      <c r="C159" s="8" t="n"/>
      <c r="D159" s="8" t="n"/>
      <c r="E159" s="8" t="n"/>
      <c r="F159" s="9" t="n"/>
      <c r="G159" s="8" t="n"/>
      <c r="H159" s="8" t="n"/>
      <c r="I159" s="8" t="n"/>
      <c r="J159" s="10" t="n"/>
      <c r="K159" s="8" t="n"/>
      <c r="L159" s="8" t="n"/>
      <c r="M159" s="8" t="n"/>
      <c r="N159" s="8" t="n"/>
      <c r="O159" s="8" t="n"/>
      <c r="P159" s="10" t="n"/>
      <c r="Q159" s="11" t="n"/>
      <c r="R159" s="8" t="n"/>
      <c r="S159" s="8" t="n"/>
      <c r="T159" s="8" t="n"/>
    </row>
    <row r="160" ht="16.5" customHeight="1" s="327">
      <c r="A160" s="8" t="n"/>
      <c r="B160" s="8" t="n"/>
      <c r="C160" s="8" t="n"/>
      <c r="D160" s="8" t="n"/>
      <c r="E160" s="8" t="n"/>
      <c r="F160" s="9" t="n"/>
      <c r="G160" s="8" t="n"/>
      <c r="H160" s="8" t="n"/>
      <c r="I160" s="8" t="n"/>
      <c r="J160" s="10" t="n"/>
      <c r="K160" s="8" t="n"/>
      <c r="L160" s="8" t="n"/>
      <c r="M160" s="8" t="n"/>
      <c r="N160" s="8" t="n"/>
      <c r="O160" s="8" t="n"/>
      <c r="P160" s="10" t="n"/>
      <c r="Q160" s="11" t="n"/>
      <c r="R160" s="8" t="n"/>
      <c r="S160" s="8" t="n"/>
      <c r="T160" s="8" t="n"/>
    </row>
    <row r="161" ht="16.5" customHeight="1" s="327">
      <c r="A161" s="8" t="n"/>
      <c r="B161" s="8" t="n"/>
      <c r="C161" s="8" t="n"/>
      <c r="D161" s="8" t="n"/>
      <c r="E161" s="8" t="n"/>
      <c r="F161" s="9" t="n"/>
      <c r="G161" s="8" t="n"/>
      <c r="H161" s="8" t="n"/>
      <c r="I161" s="8" t="n"/>
      <c r="J161" s="10" t="n"/>
      <c r="K161" s="8" t="n"/>
      <c r="L161" s="8" t="n"/>
      <c r="M161" s="8" t="n"/>
      <c r="N161" s="8" t="n"/>
      <c r="O161" s="8" t="n"/>
      <c r="P161" s="10" t="n"/>
      <c r="Q161" s="11" t="n"/>
      <c r="R161" s="8" t="n"/>
      <c r="S161" s="8" t="n"/>
      <c r="T161" s="8" t="n"/>
    </row>
    <row r="162" ht="16.5" customHeight="1" s="327">
      <c r="A162" s="8" t="n"/>
      <c r="B162" s="8" t="n"/>
      <c r="C162" s="8" t="n"/>
      <c r="D162" s="8" t="n"/>
      <c r="E162" s="8" t="n"/>
      <c r="F162" s="9" t="n"/>
      <c r="G162" s="8" t="n"/>
      <c r="H162" s="8" t="n"/>
      <c r="I162" s="8" t="n"/>
      <c r="J162" s="10" t="n"/>
      <c r="K162" s="8" t="n"/>
      <c r="L162" s="8" t="n"/>
      <c r="M162" s="8" t="n"/>
      <c r="N162" s="8" t="n"/>
      <c r="O162" s="8" t="n"/>
      <c r="P162" s="10" t="n"/>
      <c r="Q162" s="11" t="n"/>
      <c r="R162" s="8" t="n"/>
      <c r="S162" s="8" t="n"/>
      <c r="T162" s="8" t="n"/>
    </row>
    <row r="163" ht="16.5" customHeight="1" s="327">
      <c r="A163" s="8" t="n"/>
      <c r="B163" s="8" t="n"/>
      <c r="C163" s="8" t="n"/>
      <c r="D163" s="8" t="n"/>
      <c r="E163" s="8" t="n"/>
      <c r="F163" s="9" t="n"/>
      <c r="G163" s="8" t="n"/>
      <c r="H163" s="8" t="n"/>
      <c r="I163" s="8" t="n"/>
      <c r="J163" s="10" t="n"/>
      <c r="K163" s="8" t="n"/>
      <c r="L163" s="8" t="n"/>
      <c r="M163" s="8" t="n"/>
      <c r="N163" s="8" t="n"/>
      <c r="O163" s="8" t="n"/>
      <c r="P163" s="10" t="n"/>
      <c r="Q163" s="11" t="n"/>
      <c r="R163" s="8" t="n"/>
      <c r="S163" s="8" t="n"/>
      <c r="T163" s="8" t="n"/>
    </row>
    <row r="164" ht="16.5" customHeight="1" s="327">
      <c r="A164" s="8" t="n"/>
      <c r="B164" s="8" t="n"/>
      <c r="C164" s="8" t="n"/>
      <c r="D164" s="8" t="n"/>
      <c r="E164" s="8" t="n"/>
      <c r="F164" s="9" t="n"/>
      <c r="G164" s="8" t="n"/>
      <c r="H164" s="8" t="n"/>
      <c r="I164" s="8" t="n"/>
      <c r="J164" s="10" t="n"/>
      <c r="K164" s="8" t="n"/>
      <c r="L164" s="8" t="n"/>
      <c r="M164" s="8" t="n"/>
      <c r="N164" s="8" t="n"/>
      <c r="O164" s="8" t="n"/>
      <c r="P164" s="10" t="n"/>
      <c r="Q164" s="11" t="n"/>
      <c r="R164" s="8" t="n"/>
      <c r="S164" s="8" t="n"/>
      <c r="T164" s="8" t="n"/>
    </row>
    <row r="165" ht="16.5" customHeight="1" s="327">
      <c r="A165" s="8" t="n"/>
      <c r="B165" s="8" t="n"/>
      <c r="C165" s="8" t="n"/>
      <c r="D165" s="8" t="n"/>
      <c r="E165" s="8" t="n"/>
      <c r="F165" s="9" t="n"/>
      <c r="G165" s="8" t="n"/>
      <c r="H165" s="8" t="n"/>
      <c r="I165" s="8" t="n"/>
      <c r="J165" s="10" t="n"/>
      <c r="K165" s="8" t="n"/>
      <c r="L165" s="8" t="n"/>
      <c r="M165" s="8" t="n"/>
      <c r="N165" s="8" t="n"/>
      <c r="O165" s="8" t="n"/>
      <c r="P165" s="10" t="n"/>
      <c r="Q165" s="11" t="n"/>
      <c r="R165" s="8" t="n"/>
      <c r="S165" s="8" t="n"/>
      <c r="T165" s="8" t="n"/>
    </row>
    <row r="166" ht="16.5" customHeight="1" s="327">
      <c r="A166" s="8" t="n"/>
      <c r="B166" s="8" t="n"/>
      <c r="C166" s="8" t="n"/>
      <c r="D166" s="8" t="n"/>
      <c r="E166" s="8" t="n"/>
      <c r="F166" s="9" t="n"/>
      <c r="G166" s="8" t="n"/>
      <c r="H166" s="8" t="n"/>
      <c r="I166" s="8" t="n"/>
      <c r="J166" s="10" t="n"/>
      <c r="K166" s="8" t="n"/>
      <c r="L166" s="8" t="n"/>
      <c r="M166" s="8" t="n"/>
      <c r="N166" s="8" t="n"/>
      <c r="O166" s="8" t="n"/>
      <c r="P166" s="10" t="n"/>
      <c r="Q166" s="11" t="n"/>
      <c r="R166" s="8" t="n"/>
      <c r="S166" s="8" t="n"/>
      <c r="T166" s="8" t="n"/>
    </row>
    <row r="167" ht="16.5" customHeight="1" s="327">
      <c r="A167" s="8" t="n"/>
      <c r="B167" s="8" t="n"/>
      <c r="C167" s="8" t="n"/>
      <c r="D167" s="8" t="n"/>
      <c r="E167" s="8" t="n"/>
      <c r="F167" s="9" t="n"/>
      <c r="G167" s="8" t="n"/>
      <c r="H167" s="8" t="n"/>
      <c r="I167" s="8" t="n"/>
      <c r="J167" s="10" t="n"/>
      <c r="K167" s="8" t="n"/>
      <c r="L167" s="8" t="n"/>
      <c r="M167" s="8" t="n"/>
      <c r="N167" s="8" t="n"/>
      <c r="O167" s="8" t="n"/>
      <c r="P167" s="10" t="n"/>
      <c r="Q167" s="11" t="n"/>
      <c r="R167" s="8" t="n"/>
      <c r="S167" s="8" t="n"/>
      <c r="T167" s="8" t="n"/>
    </row>
    <row r="168" ht="16.5" customHeight="1" s="327">
      <c r="A168" s="8" t="n"/>
      <c r="B168" s="8" t="n"/>
      <c r="C168" s="8" t="n"/>
      <c r="D168" s="8" t="n"/>
      <c r="E168" s="8" t="n"/>
      <c r="F168" s="9" t="n"/>
      <c r="G168" s="8" t="n"/>
      <c r="H168" s="8" t="n"/>
      <c r="I168" s="8" t="n"/>
      <c r="J168" s="10" t="n"/>
      <c r="K168" s="8" t="n"/>
      <c r="L168" s="8" t="n"/>
      <c r="M168" s="8" t="n"/>
      <c r="N168" s="8" t="n"/>
      <c r="O168" s="8" t="n"/>
      <c r="P168" s="10" t="n"/>
      <c r="Q168" s="11" t="n"/>
      <c r="R168" s="8" t="n"/>
      <c r="S168" s="8" t="n"/>
      <c r="T168" s="8" t="n"/>
    </row>
    <row r="169" ht="16.5" customHeight="1" s="327">
      <c r="A169" s="8" t="n"/>
      <c r="B169" s="8" t="n"/>
      <c r="C169" s="8" t="n"/>
      <c r="D169" s="8" t="n"/>
      <c r="E169" s="8" t="n"/>
      <c r="F169" s="9" t="n"/>
      <c r="G169" s="8" t="n"/>
      <c r="H169" s="8" t="n"/>
      <c r="I169" s="8" t="n"/>
      <c r="J169" s="10" t="n"/>
      <c r="K169" s="8" t="n"/>
      <c r="L169" s="8" t="n"/>
      <c r="M169" s="8" t="n"/>
      <c r="N169" s="8" t="n"/>
      <c r="O169" s="8" t="n"/>
      <c r="P169" s="10" t="n"/>
      <c r="Q169" s="11" t="n"/>
      <c r="R169" s="8" t="n"/>
      <c r="S169" s="8" t="n"/>
      <c r="T169" s="8" t="n"/>
    </row>
    <row r="170" ht="16.5" customHeight="1" s="327">
      <c r="A170" s="8" t="n"/>
      <c r="B170" s="8" t="n"/>
      <c r="C170" s="8" t="n"/>
      <c r="D170" s="8" t="n"/>
      <c r="E170" s="8" t="n"/>
      <c r="F170" s="9" t="n"/>
      <c r="G170" s="8" t="n"/>
      <c r="H170" s="8" t="n"/>
      <c r="I170" s="8" t="n"/>
      <c r="J170" s="10" t="n"/>
      <c r="K170" s="8" t="n"/>
      <c r="L170" s="8" t="n"/>
      <c r="M170" s="8" t="n"/>
      <c r="N170" s="8" t="n"/>
      <c r="O170" s="8" t="n"/>
      <c r="P170" s="10" t="n"/>
      <c r="Q170" s="11" t="n"/>
      <c r="R170" s="8" t="n"/>
      <c r="S170" s="8" t="n"/>
      <c r="T170" s="8" t="n"/>
    </row>
    <row r="171" ht="16.5" customHeight="1" s="327">
      <c r="A171" s="8" t="n"/>
      <c r="B171" s="8" t="n"/>
      <c r="C171" s="8" t="n"/>
      <c r="D171" s="8" t="n"/>
      <c r="E171" s="8" t="n"/>
      <c r="F171" s="9" t="n"/>
      <c r="G171" s="8" t="n"/>
      <c r="H171" s="8" t="n"/>
      <c r="I171" s="8" t="n"/>
      <c r="J171" s="10" t="n"/>
      <c r="K171" s="8" t="n"/>
      <c r="L171" s="8" t="n"/>
      <c r="M171" s="8" t="n"/>
      <c r="N171" s="8" t="n"/>
      <c r="O171" s="8" t="n"/>
      <c r="P171" s="10" t="n"/>
      <c r="Q171" s="11" t="n"/>
      <c r="R171" s="8" t="n"/>
      <c r="S171" s="8" t="n"/>
      <c r="T171" s="8" t="n"/>
    </row>
    <row r="172" ht="16.5" customHeight="1" s="327">
      <c r="A172" s="8" t="n"/>
      <c r="B172" s="8" t="n"/>
      <c r="C172" s="8" t="n"/>
      <c r="D172" s="8" t="n"/>
      <c r="E172" s="8" t="n"/>
      <c r="F172" s="9" t="n"/>
      <c r="G172" s="8" t="n"/>
      <c r="H172" s="8" t="n"/>
      <c r="I172" s="8" t="n"/>
      <c r="J172" s="10" t="n"/>
      <c r="K172" s="8" t="n"/>
      <c r="L172" s="8" t="n"/>
      <c r="M172" s="8" t="n"/>
      <c r="N172" s="8" t="n"/>
      <c r="O172" s="8" t="n"/>
      <c r="P172" s="10" t="n"/>
      <c r="Q172" s="11" t="n"/>
      <c r="R172" s="8" t="n"/>
      <c r="S172" s="8" t="n"/>
      <c r="T172" s="8" t="n"/>
    </row>
    <row r="173" ht="16.5" customHeight="1" s="327">
      <c r="A173" s="8" t="n"/>
      <c r="B173" s="8" t="n"/>
      <c r="C173" s="8" t="n"/>
      <c r="D173" s="8" t="n"/>
      <c r="E173" s="8" t="n"/>
      <c r="F173" s="9" t="n"/>
      <c r="G173" s="8" t="n"/>
      <c r="H173" s="8" t="n"/>
      <c r="I173" s="8" t="n"/>
      <c r="J173" s="10" t="n"/>
      <c r="K173" s="8" t="n"/>
      <c r="L173" s="8" t="n"/>
      <c r="M173" s="8" t="n"/>
      <c r="N173" s="8" t="n"/>
      <c r="O173" s="8" t="n"/>
      <c r="P173" s="10" t="n"/>
      <c r="Q173" s="11" t="n"/>
      <c r="R173" s="8" t="n"/>
      <c r="S173" s="8" t="n"/>
      <c r="T173" s="8" t="n"/>
    </row>
    <row r="174" ht="16.5" customHeight="1" s="327">
      <c r="A174" s="8" t="n"/>
      <c r="B174" s="8" t="n"/>
      <c r="C174" s="8" t="n"/>
      <c r="D174" s="8" t="n"/>
      <c r="E174" s="8" t="n"/>
      <c r="F174" s="9" t="n"/>
      <c r="G174" s="8" t="n"/>
      <c r="H174" s="8" t="n"/>
      <c r="I174" s="8" t="n"/>
      <c r="J174" s="10" t="n"/>
      <c r="K174" s="8" t="n"/>
      <c r="L174" s="8" t="n"/>
      <c r="M174" s="8" t="n"/>
      <c r="N174" s="8" t="n"/>
      <c r="O174" s="8" t="n"/>
      <c r="P174" s="10" t="n"/>
      <c r="Q174" s="11" t="n"/>
      <c r="R174" s="8" t="n"/>
      <c r="S174" s="8" t="n"/>
      <c r="T174" s="8" t="n"/>
    </row>
    <row r="175" ht="16.5" customHeight="1" s="327">
      <c r="A175" s="8" t="n"/>
      <c r="B175" s="8" t="n"/>
      <c r="C175" s="8" t="n"/>
      <c r="D175" s="8" t="n"/>
      <c r="E175" s="8" t="n"/>
      <c r="F175" s="9" t="n"/>
      <c r="G175" s="8" t="n"/>
      <c r="H175" s="8" t="n"/>
      <c r="I175" s="8" t="n"/>
      <c r="J175" s="10" t="n"/>
      <c r="K175" s="8" t="n"/>
      <c r="L175" s="8" t="n"/>
      <c r="M175" s="8" t="n"/>
      <c r="N175" s="8" t="n"/>
      <c r="O175" s="8" t="n"/>
      <c r="P175" s="10" t="n"/>
      <c r="Q175" s="11" t="n"/>
      <c r="R175" s="8" t="n"/>
      <c r="S175" s="8" t="n"/>
      <c r="T175" s="8" t="n"/>
    </row>
    <row r="176" ht="16.5" customHeight="1" s="327">
      <c r="A176" s="8" t="n"/>
      <c r="B176" s="8" t="n"/>
      <c r="C176" s="8" t="n"/>
      <c r="D176" s="8" t="n"/>
      <c r="E176" s="8" t="n"/>
      <c r="F176" s="9" t="n"/>
      <c r="G176" s="8" t="n"/>
      <c r="H176" s="8" t="n"/>
      <c r="I176" s="8" t="n"/>
      <c r="J176" s="10" t="n"/>
      <c r="K176" s="8" t="n"/>
      <c r="L176" s="8" t="n"/>
      <c r="M176" s="8" t="n"/>
      <c r="N176" s="8" t="n"/>
      <c r="O176" s="8" t="n"/>
      <c r="P176" s="10" t="n"/>
      <c r="Q176" s="11" t="n"/>
      <c r="R176" s="8" t="n"/>
      <c r="S176" s="8" t="n"/>
      <c r="T176" s="8" t="n"/>
    </row>
    <row r="177" ht="16.5" customHeight="1" s="327">
      <c r="A177" s="8" t="n"/>
      <c r="B177" s="8" t="n"/>
      <c r="C177" s="8" t="n"/>
      <c r="D177" s="8" t="n"/>
      <c r="E177" s="8" t="n"/>
      <c r="F177" s="9" t="n"/>
      <c r="G177" s="8" t="n"/>
      <c r="H177" s="8" t="n"/>
      <c r="I177" s="8" t="n"/>
      <c r="J177" s="10" t="n"/>
      <c r="K177" s="8" t="n"/>
      <c r="L177" s="8" t="n"/>
      <c r="M177" s="8" t="n"/>
      <c r="N177" s="8" t="n"/>
      <c r="O177" s="8" t="n"/>
      <c r="P177" s="10" t="n"/>
      <c r="Q177" s="11" t="n"/>
      <c r="R177" s="8" t="n"/>
      <c r="S177" s="8" t="n"/>
      <c r="T177" s="8" t="n"/>
    </row>
    <row r="178" ht="16.5" customHeight="1" s="327">
      <c r="A178" s="8" t="n"/>
      <c r="B178" s="8" t="n"/>
      <c r="C178" s="8" t="n"/>
      <c r="D178" s="8" t="n"/>
      <c r="E178" s="8" t="n"/>
      <c r="F178" s="9" t="n"/>
      <c r="G178" s="8" t="n"/>
      <c r="H178" s="8" t="n"/>
      <c r="I178" s="8" t="n"/>
      <c r="J178" s="10" t="n"/>
      <c r="K178" s="8" t="n"/>
      <c r="L178" s="8" t="n"/>
      <c r="M178" s="8" t="n"/>
      <c r="N178" s="8" t="n"/>
      <c r="O178" s="8" t="n"/>
      <c r="P178" s="10" t="n"/>
      <c r="Q178" s="11" t="n"/>
      <c r="R178" s="8" t="n"/>
      <c r="S178" s="8" t="n"/>
      <c r="T178" s="8" t="n"/>
    </row>
    <row r="179" ht="16.5" customHeight="1" s="327">
      <c r="A179" s="8" t="n"/>
      <c r="B179" s="8" t="n"/>
      <c r="C179" s="8" t="n"/>
      <c r="D179" s="8" t="n"/>
      <c r="E179" s="8" t="n"/>
      <c r="F179" s="9" t="n"/>
      <c r="G179" s="8" t="n"/>
      <c r="H179" s="8" t="n"/>
      <c r="I179" s="8" t="n"/>
      <c r="J179" s="10" t="n"/>
      <c r="K179" s="8" t="n"/>
      <c r="L179" s="8" t="n"/>
      <c r="M179" s="8" t="n"/>
      <c r="N179" s="8" t="n"/>
      <c r="O179" s="8" t="n"/>
      <c r="P179" s="10" t="n"/>
      <c r="Q179" s="11" t="n"/>
      <c r="R179" s="8" t="n"/>
      <c r="S179" s="8" t="n"/>
      <c r="T179" s="8" t="n"/>
    </row>
    <row r="180" ht="16.5" customHeight="1" s="327">
      <c r="A180" s="8" t="n"/>
      <c r="B180" s="8" t="n"/>
      <c r="C180" s="8" t="n"/>
      <c r="D180" s="8" t="n"/>
      <c r="E180" s="8" t="n"/>
      <c r="F180" s="9" t="n"/>
      <c r="G180" s="8" t="n"/>
      <c r="H180" s="8" t="n"/>
      <c r="I180" s="8" t="n"/>
      <c r="J180" s="10" t="n"/>
      <c r="K180" s="8" t="n"/>
      <c r="L180" s="8" t="n"/>
      <c r="M180" s="8" t="n"/>
      <c r="N180" s="8" t="n"/>
      <c r="O180" s="8" t="n"/>
      <c r="P180" s="10" t="n"/>
      <c r="Q180" s="11" t="n"/>
      <c r="R180" s="8" t="n"/>
      <c r="S180" s="8" t="n"/>
      <c r="T180" s="8" t="n"/>
    </row>
    <row r="181" ht="16.5" customHeight="1" s="327">
      <c r="A181" s="8" t="n"/>
      <c r="B181" s="8" t="n"/>
      <c r="C181" s="8" t="n"/>
      <c r="D181" s="8" t="n"/>
      <c r="E181" s="8" t="n"/>
      <c r="F181" s="9" t="n"/>
      <c r="G181" s="8" t="n"/>
      <c r="H181" s="8" t="n"/>
      <c r="I181" s="8" t="n"/>
      <c r="J181" s="10" t="n"/>
      <c r="K181" s="8" t="n"/>
      <c r="L181" s="8" t="n"/>
      <c r="M181" s="8" t="n"/>
      <c r="N181" s="8" t="n"/>
      <c r="O181" s="8" t="n"/>
      <c r="P181" s="10" t="n"/>
      <c r="Q181" s="11" t="n"/>
      <c r="R181" s="8" t="n"/>
      <c r="S181" s="8" t="n"/>
      <c r="T181" s="8" t="n"/>
    </row>
    <row r="182" ht="16.5" customHeight="1" s="327">
      <c r="A182" s="8" t="n"/>
      <c r="B182" s="8" t="n"/>
      <c r="C182" s="8" t="n"/>
      <c r="D182" s="8" t="n"/>
      <c r="E182" s="8" t="n"/>
      <c r="F182" s="9" t="n"/>
      <c r="G182" s="8" t="n"/>
      <c r="H182" s="8" t="n"/>
      <c r="I182" s="8" t="n"/>
      <c r="J182" s="10" t="n"/>
      <c r="K182" s="8" t="n"/>
      <c r="L182" s="8" t="n"/>
      <c r="M182" s="8" t="n"/>
      <c r="N182" s="8" t="n"/>
      <c r="O182" s="8" t="n"/>
      <c r="P182" s="10" t="n"/>
      <c r="Q182" s="11" t="n"/>
      <c r="R182" s="8" t="n"/>
      <c r="S182" s="8" t="n"/>
      <c r="T182" s="8" t="n"/>
    </row>
    <row r="183" ht="16.5" customHeight="1" s="327">
      <c r="A183" s="8" t="n"/>
      <c r="B183" s="8" t="n"/>
      <c r="C183" s="8" t="n"/>
      <c r="D183" s="8" t="n"/>
      <c r="E183" s="8" t="n"/>
      <c r="F183" s="9" t="n"/>
      <c r="G183" s="8" t="n"/>
      <c r="H183" s="8" t="n"/>
      <c r="I183" s="8" t="n"/>
      <c r="J183" s="10" t="n"/>
      <c r="K183" s="8" t="n"/>
      <c r="L183" s="8" t="n"/>
      <c r="M183" s="8" t="n"/>
      <c r="N183" s="8" t="n"/>
      <c r="O183" s="8" t="n"/>
      <c r="P183" s="10" t="n"/>
      <c r="Q183" s="11" t="n"/>
      <c r="R183" s="8" t="n"/>
      <c r="S183" s="8" t="n"/>
      <c r="T183" s="8" t="n"/>
    </row>
    <row r="184" ht="16.5" customHeight="1" s="327">
      <c r="A184" s="8" t="n"/>
      <c r="B184" s="8" t="n"/>
      <c r="C184" s="8" t="n"/>
      <c r="D184" s="8" t="n"/>
      <c r="E184" s="8" t="n"/>
      <c r="F184" s="9" t="n"/>
      <c r="G184" s="8" t="n"/>
      <c r="H184" s="8" t="n"/>
      <c r="I184" s="8" t="n"/>
      <c r="J184" s="10" t="n"/>
      <c r="K184" s="8" t="n"/>
      <c r="L184" s="8" t="n"/>
      <c r="M184" s="8" t="n"/>
      <c r="N184" s="8" t="n"/>
      <c r="O184" s="8" t="n"/>
      <c r="P184" s="10" t="n"/>
      <c r="Q184" s="11" t="n"/>
      <c r="R184" s="8" t="n"/>
      <c r="S184" s="8" t="n"/>
      <c r="T184" s="8" t="n"/>
    </row>
    <row r="185" ht="16.5" customHeight="1" s="327">
      <c r="A185" s="8" t="n"/>
      <c r="B185" s="8" t="n"/>
      <c r="C185" s="8" t="n"/>
      <c r="D185" s="8" t="n"/>
      <c r="E185" s="8" t="n"/>
      <c r="F185" s="9" t="n"/>
      <c r="G185" s="8" t="n"/>
      <c r="H185" s="8" t="n"/>
      <c r="I185" s="8" t="n"/>
      <c r="J185" s="10" t="n"/>
      <c r="K185" s="8" t="n"/>
      <c r="L185" s="8" t="n"/>
      <c r="M185" s="8" t="n"/>
      <c r="N185" s="8" t="n"/>
      <c r="O185" s="8" t="n"/>
      <c r="P185" s="10" t="n"/>
      <c r="Q185" s="11" t="n"/>
      <c r="R185" s="8" t="n"/>
      <c r="S185" s="8" t="n"/>
      <c r="T185" s="8" t="n"/>
    </row>
    <row r="186" ht="16.5" customHeight="1" s="327">
      <c r="A186" s="8" t="n"/>
      <c r="B186" s="8" t="n"/>
      <c r="C186" s="8" t="n"/>
      <c r="D186" s="8" t="n"/>
      <c r="E186" s="8" t="n"/>
      <c r="F186" s="9" t="n"/>
      <c r="G186" s="8" t="n"/>
      <c r="H186" s="8" t="n"/>
      <c r="I186" s="8" t="n"/>
      <c r="J186" s="10" t="n"/>
      <c r="K186" s="8" t="n"/>
      <c r="L186" s="8" t="n"/>
      <c r="M186" s="8" t="n"/>
      <c r="N186" s="8" t="n"/>
      <c r="O186" s="8" t="n"/>
      <c r="P186" s="10" t="n"/>
      <c r="Q186" s="11" t="n"/>
      <c r="R186" s="8" t="n"/>
      <c r="S186" s="8" t="n"/>
      <c r="T186" s="8" t="n"/>
    </row>
    <row r="187" ht="16.5" customHeight="1" s="327">
      <c r="A187" s="8" t="n"/>
      <c r="B187" s="8" t="n"/>
      <c r="C187" s="8" t="n"/>
      <c r="D187" s="8" t="n"/>
      <c r="E187" s="8" t="n"/>
      <c r="F187" s="9" t="n"/>
      <c r="G187" s="8" t="n"/>
      <c r="H187" s="8" t="n"/>
      <c r="I187" s="8" t="n"/>
      <c r="J187" s="10" t="n"/>
      <c r="K187" s="8" t="n"/>
      <c r="L187" s="8" t="n"/>
      <c r="M187" s="8" t="n"/>
      <c r="N187" s="8" t="n"/>
      <c r="O187" s="8" t="n"/>
      <c r="P187" s="10" t="n"/>
      <c r="Q187" s="11" t="n"/>
      <c r="R187" s="8" t="n"/>
      <c r="S187" s="8" t="n"/>
      <c r="T187" s="8" t="n"/>
    </row>
    <row r="188" ht="16.5" customHeight="1" s="327">
      <c r="A188" s="8" t="n"/>
      <c r="B188" s="8" t="n"/>
      <c r="C188" s="8" t="n"/>
      <c r="D188" s="8" t="n"/>
      <c r="E188" s="8" t="n"/>
      <c r="F188" s="9" t="n"/>
      <c r="G188" s="8" t="n"/>
      <c r="H188" s="8" t="n"/>
      <c r="I188" s="8" t="n"/>
      <c r="J188" s="10" t="n"/>
      <c r="K188" s="8" t="n"/>
      <c r="L188" s="8" t="n"/>
      <c r="M188" s="8" t="n"/>
      <c r="N188" s="8" t="n"/>
      <c r="O188" s="8" t="n"/>
      <c r="P188" s="10" t="n"/>
      <c r="Q188" s="11" t="n"/>
      <c r="R188" s="8" t="n"/>
      <c r="S188" s="8" t="n"/>
      <c r="T188" s="8" t="n"/>
    </row>
    <row r="189" ht="16.5" customHeight="1" s="327">
      <c r="A189" s="8" t="n"/>
      <c r="B189" s="8" t="n"/>
      <c r="C189" s="8" t="n"/>
      <c r="D189" s="8" t="n"/>
      <c r="E189" s="8" t="n"/>
      <c r="F189" s="9" t="n"/>
      <c r="G189" s="8" t="n"/>
      <c r="H189" s="8" t="n"/>
      <c r="I189" s="8" t="n"/>
      <c r="J189" s="10" t="n"/>
      <c r="K189" s="8" t="n"/>
      <c r="L189" s="8" t="n"/>
      <c r="M189" s="8" t="n"/>
      <c r="N189" s="8" t="n"/>
      <c r="O189" s="8" t="n"/>
      <c r="P189" s="10" t="n"/>
      <c r="Q189" s="11" t="n"/>
      <c r="R189" s="8" t="n"/>
      <c r="S189" s="8" t="n"/>
      <c r="T189" s="8" t="n"/>
    </row>
    <row r="190" ht="16.5" customHeight="1" s="327">
      <c r="A190" s="8" t="n"/>
      <c r="B190" s="8" t="n"/>
      <c r="C190" s="8" t="n"/>
      <c r="D190" s="8" t="n"/>
      <c r="E190" s="8" t="n"/>
      <c r="F190" s="9" t="n"/>
      <c r="G190" s="8" t="n"/>
      <c r="H190" s="8" t="n"/>
      <c r="I190" s="8" t="n"/>
      <c r="J190" s="10" t="n"/>
      <c r="K190" s="8" t="n"/>
      <c r="L190" s="8" t="n"/>
      <c r="M190" s="8" t="n"/>
      <c r="N190" s="8" t="n"/>
      <c r="O190" s="8" t="n"/>
      <c r="P190" s="10" t="n"/>
      <c r="Q190" s="11" t="n"/>
      <c r="R190" s="8" t="n"/>
      <c r="S190" s="8" t="n"/>
      <c r="T190" s="8" t="n"/>
    </row>
    <row r="191" ht="16.5" customHeight="1" s="327">
      <c r="A191" s="8" t="n"/>
      <c r="B191" s="8" t="n"/>
      <c r="C191" s="8" t="n"/>
      <c r="D191" s="8" t="n"/>
      <c r="E191" s="8" t="n"/>
      <c r="F191" s="9" t="n"/>
      <c r="G191" s="8" t="n"/>
      <c r="H191" s="8" t="n"/>
      <c r="I191" s="8" t="n"/>
      <c r="J191" s="10" t="n"/>
      <c r="K191" s="8" t="n"/>
      <c r="L191" s="8" t="n"/>
      <c r="M191" s="8" t="n"/>
      <c r="N191" s="8" t="n"/>
      <c r="O191" s="8" t="n"/>
      <c r="P191" s="10" t="n"/>
      <c r="Q191" s="11" t="n"/>
      <c r="R191" s="8" t="n"/>
      <c r="S191" s="8" t="n"/>
      <c r="T191" s="8" t="n"/>
    </row>
    <row r="192" ht="16.5" customHeight="1" s="327">
      <c r="A192" s="8" t="n"/>
      <c r="B192" s="8" t="n"/>
      <c r="C192" s="8" t="n"/>
      <c r="D192" s="8" t="n"/>
      <c r="E192" s="8" t="n"/>
      <c r="F192" s="9" t="n"/>
      <c r="G192" s="8" t="n"/>
      <c r="H192" s="8" t="n"/>
      <c r="I192" s="8" t="n"/>
      <c r="J192" s="10" t="n"/>
      <c r="K192" s="8" t="n"/>
      <c r="L192" s="8" t="n"/>
      <c r="M192" s="8" t="n"/>
      <c r="N192" s="8" t="n"/>
      <c r="O192" s="8" t="n"/>
      <c r="P192" s="10" t="n"/>
      <c r="Q192" s="11" t="n"/>
      <c r="R192" s="8" t="n"/>
      <c r="S192" s="8" t="n"/>
      <c r="T192" s="8" t="n"/>
    </row>
    <row r="193" ht="16.5" customHeight="1" s="327">
      <c r="A193" s="8" t="n"/>
      <c r="B193" s="8" t="n"/>
      <c r="C193" s="8" t="n"/>
      <c r="D193" s="8" t="n"/>
      <c r="E193" s="8" t="n"/>
      <c r="F193" s="9" t="n"/>
      <c r="G193" s="8" t="n"/>
      <c r="H193" s="8" t="n"/>
      <c r="I193" s="8" t="n"/>
      <c r="J193" s="10" t="n"/>
      <c r="K193" s="8" t="n"/>
      <c r="L193" s="8" t="n"/>
      <c r="M193" s="8" t="n"/>
      <c r="N193" s="8" t="n"/>
      <c r="O193" s="8" t="n"/>
      <c r="P193" s="10" t="n"/>
      <c r="Q193" s="11" t="n"/>
      <c r="R193" s="8" t="n"/>
      <c r="S193" s="8" t="n"/>
      <c r="T193" s="8" t="n"/>
    </row>
    <row r="194" ht="16.5" customHeight="1" s="327">
      <c r="A194" s="8" t="n"/>
      <c r="B194" s="8" t="n"/>
      <c r="C194" s="8" t="n"/>
      <c r="D194" s="8" t="n"/>
      <c r="E194" s="8" t="n"/>
      <c r="F194" s="9" t="n"/>
      <c r="G194" s="8" t="n"/>
      <c r="H194" s="8" t="n"/>
      <c r="I194" s="8" t="n"/>
      <c r="J194" s="10" t="n"/>
      <c r="K194" s="8" t="n"/>
      <c r="L194" s="8" t="n"/>
      <c r="M194" s="8" t="n"/>
      <c r="N194" s="8" t="n"/>
      <c r="O194" s="8" t="n"/>
      <c r="P194" s="10" t="n"/>
      <c r="Q194" s="11" t="n"/>
      <c r="R194" s="8" t="n"/>
      <c r="S194" s="8" t="n"/>
      <c r="T194" s="8" t="n"/>
    </row>
    <row r="195" ht="16.5" customHeight="1" s="327">
      <c r="A195" s="8" t="n"/>
      <c r="B195" s="8" t="n"/>
      <c r="C195" s="8" t="n"/>
      <c r="D195" s="8" t="n"/>
      <c r="E195" s="8" t="n"/>
      <c r="F195" s="9" t="n"/>
      <c r="G195" s="8" t="n"/>
      <c r="H195" s="8" t="n"/>
      <c r="I195" s="8" t="n"/>
      <c r="J195" s="10" t="n"/>
      <c r="K195" s="8" t="n"/>
      <c r="L195" s="8" t="n"/>
      <c r="M195" s="8" t="n"/>
      <c r="N195" s="8" t="n"/>
      <c r="O195" s="8" t="n"/>
      <c r="P195" s="10" t="n"/>
      <c r="Q195" s="11" t="n"/>
      <c r="R195" s="8" t="n"/>
      <c r="S195" s="8" t="n"/>
      <c r="T195" s="8" t="n"/>
    </row>
    <row r="196" ht="16.5" customHeight="1" s="327">
      <c r="A196" s="8" t="n"/>
      <c r="B196" s="8" t="n"/>
      <c r="C196" s="8" t="n"/>
      <c r="D196" s="8" t="n"/>
      <c r="E196" s="8" t="n"/>
      <c r="F196" s="9" t="n"/>
      <c r="G196" s="8" t="n"/>
      <c r="H196" s="8" t="n"/>
      <c r="I196" s="8" t="n"/>
      <c r="J196" s="10" t="n"/>
      <c r="K196" s="8" t="n"/>
      <c r="L196" s="8" t="n"/>
      <c r="M196" s="8" t="n"/>
      <c r="N196" s="8" t="n"/>
      <c r="O196" s="8" t="n"/>
      <c r="P196" s="10" t="n"/>
      <c r="Q196" s="11" t="n"/>
      <c r="R196" s="8" t="n"/>
      <c r="S196" s="8" t="n"/>
      <c r="T196" s="8" t="n"/>
    </row>
    <row r="197" ht="16.5" customHeight="1" s="327">
      <c r="A197" s="8" t="n"/>
      <c r="B197" s="8" t="n"/>
      <c r="C197" s="8" t="n"/>
      <c r="D197" s="8" t="n"/>
      <c r="E197" s="8" t="n"/>
      <c r="F197" s="9" t="n"/>
      <c r="G197" s="8" t="n"/>
      <c r="H197" s="8" t="n"/>
      <c r="I197" s="8" t="n"/>
      <c r="J197" s="10" t="n"/>
      <c r="K197" s="8" t="n"/>
      <c r="L197" s="8" t="n"/>
      <c r="M197" s="8" t="n"/>
      <c r="N197" s="8" t="n"/>
      <c r="O197" s="8" t="n"/>
      <c r="P197" s="10" t="n"/>
      <c r="Q197" s="11" t="n"/>
      <c r="R197" s="8" t="n"/>
      <c r="S197" s="8" t="n"/>
      <c r="T197" s="8" t="n"/>
    </row>
    <row r="198" ht="16.5" customHeight="1" s="327">
      <c r="A198" s="8" t="n"/>
      <c r="B198" s="8" t="n"/>
      <c r="C198" s="8" t="n"/>
      <c r="D198" s="8" t="n"/>
      <c r="E198" s="8" t="n"/>
      <c r="F198" s="9" t="n"/>
      <c r="G198" s="8" t="n"/>
      <c r="H198" s="8" t="n"/>
      <c r="I198" s="8" t="n"/>
      <c r="J198" s="10" t="n"/>
      <c r="K198" s="8" t="n"/>
      <c r="L198" s="8" t="n"/>
      <c r="M198" s="8" t="n"/>
      <c r="N198" s="8" t="n"/>
      <c r="O198" s="8" t="n"/>
      <c r="P198" s="10" t="n"/>
      <c r="Q198" s="11" t="n"/>
      <c r="R198" s="8" t="n"/>
      <c r="S198" s="8" t="n"/>
      <c r="T198" s="8" t="n"/>
    </row>
    <row r="199" ht="16.5" customHeight="1" s="327">
      <c r="A199" s="8" t="n"/>
      <c r="B199" s="8" t="n"/>
      <c r="C199" s="8" t="n"/>
      <c r="D199" s="8" t="n"/>
      <c r="E199" s="8" t="n"/>
      <c r="F199" s="9" t="n"/>
      <c r="G199" s="8" t="n"/>
      <c r="H199" s="8" t="n"/>
      <c r="I199" s="8" t="n"/>
      <c r="J199" s="10" t="n"/>
      <c r="K199" s="8" t="n"/>
      <c r="L199" s="8" t="n"/>
      <c r="M199" s="8" t="n"/>
      <c r="N199" s="8" t="n"/>
      <c r="O199" s="8" t="n"/>
      <c r="P199" s="10" t="n"/>
      <c r="Q199" s="11" t="n"/>
      <c r="R199" s="8" t="n"/>
      <c r="S199" s="8" t="n"/>
      <c r="T199" s="8" t="n"/>
    </row>
    <row r="200" ht="16.5" customHeight="1" s="327">
      <c r="A200" s="8" t="n"/>
      <c r="B200" s="8" t="n"/>
      <c r="C200" s="8" t="n"/>
      <c r="D200" s="8" t="n"/>
      <c r="E200" s="8" t="n"/>
      <c r="F200" s="9" t="n"/>
      <c r="G200" s="8" t="n"/>
      <c r="H200" s="8" t="n"/>
      <c r="I200" s="8" t="n"/>
      <c r="J200" s="10" t="n"/>
      <c r="K200" s="8" t="n"/>
      <c r="L200" s="8" t="n"/>
      <c r="M200" s="8" t="n"/>
      <c r="N200" s="8" t="n"/>
      <c r="O200" s="8" t="n"/>
      <c r="P200" s="10" t="n"/>
      <c r="Q200" s="11" t="n"/>
      <c r="R200" s="8" t="n"/>
      <c r="S200" s="8" t="n"/>
      <c r="T200" s="8" t="n"/>
    </row>
    <row r="201" ht="16.5" customHeight="1" s="327">
      <c r="A201" s="8" t="n"/>
      <c r="B201" s="8" t="n"/>
      <c r="C201" s="8" t="n"/>
      <c r="D201" s="8" t="n"/>
      <c r="E201" s="8" t="n"/>
      <c r="F201" s="9" t="n"/>
      <c r="G201" s="8" t="n"/>
      <c r="H201" s="8" t="n"/>
      <c r="I201" s="8" t="n"/>
      <c r="J201" s="10" t="n"/>
      <c r="K201" s="8" t="n"/>
      <c r="L201" s="8" t="n"/>
      <c r="M201" s="8" t="n"/>
      <c r="N201" s="8" t="n"/>
      <c r="O201" s="8" t="n"/>
      <c r="P201" s="10" t="n"/>
      <c r="Q201" s="11" t="n"/>
      <c r="R201" s="8" t="n"/>
      <c r="S201" s="8" t="n"/>
      <c r="T201" s="8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N79"/>
  <sheetViews>
    <sheetView topLeftCell="N4" workbookViewId="0">
      <selection activeCell="W19" sqref="W19"/>
    </sheetView>
  </sheetViews>
  <sheetFormatPr baseColWidth="8" defaultColWidth="9" defaultRowHeight="15.75"/>
  <sheetData>
    <row r="1">
      <c r="A1" s="1" t="n"/>
      <c r="B1" s="1" t="n"/>
      <c r="C1" s="1" t="n"/>
      <c r="D1" s="1" t="n"/>
      <c r="E1" s="1" t="n">
        <v>10</v>
      </c>
      <c r="F1" s="1" t="n">
        <v>50</v>
      </c>
      <c r="G1" s="1" t="n">
        <v>50</v>
      </c>
      <c r="H1" s="1" t="n"/>
      <c r="I1" s="1" t="n"/>
      <c r="J1" s="1" t="n"/>
      <c r="K1" s="1" t="n"/>
      <c r="L1" s="1" t="n">
        <v>20</v>
      </c>
      <c r="M1" s="1" t="n">
        <v>40</v>
      </c>
      <c r="N1" s="1" t="n">
        <v>40</v>
      </c>
      <c r="O1" s="1" t="n">
        <v>20</v>
      </c>
      <c r="P1" s="1" t="n"/>
      <c r="Q1" s="1" t="n"/>
      <c r="R1" s="1" t="n">
        <v>20</v>
      </c>
      <c r="S1" s="1" t="n">
        <v>40</v>
      </c>
      <c r="T1" s="1" t="n">
        <v>40</v>
      </c>
      <c r="U1" s="1" t="n">
        <v>20</v>
      </c>
      <c r="V1" s="1" t="n">
        <v>20</v>
      </c>
      <c r="W1" s="1" t="n"/>
      <c r="X1" s="1" t="n"/>
      <c r="Y1" s="1" t="n">
        <v>20</v>
      </c>
      <c r="Z1" s="1" t="n">
        <v>20</v>
      </c>
      <c r="AA1" s="1" t="n">
        <v>40</v>
      </c>
      <c r="AB1" s="1" t="n">
        <v>20</v>
      </c>
      <c r="AC1" s="1" t="n"/>
      <c r="AD1" s="1" t="n"/>
      <c r="AE1" s="1" t="n">
        <v>230</v>
      </c>
      <c r="AF1" s="5" t="n">
        <v>230</v>
      </c>
      <c r="AG1" s="5" t="n">
        <v>0</v>
      </c>
      <c r="AH1" s="5" t="n">
        <v>179.4</v>
      </c>
      <c r="AI1" s="5" t="n">
        <v>164</v>
      </c>
      <c r="AJ1" s="5" t="n">
        <v>-15.4</v>
      </c>
    </row>
    <row r="2">
      <c r="L2" s="5" t="n">
        <v>20</v>
      </c>
      <c r="M2" s="5" t="n">
        <v>40</v>
      </c>
      <c r="N2" s="5" t="n">
        <v>40</v>
      </c>
    </row>
    <row r="3">
      <c r="A3" s="2" t="n">
        <v>20</v>
      </c>
      <c r="B3" s="3" t="n">
        <v>20</v>
      </c>
      <c r="C3" s="182" t="n">
        <v>20</v>
      </c>
      <c r="D3" s="182" t="n"/>
      <c r="E3" s="3" t="n"/>
      <c r="F3" s="182" t="n"/>
      <c r="G3" s="182" t="n"/>
      <c r="H3" s="182" t="n">
        <v>40</v>
      </c>
      <c r="I3" s="3" t="n">
        <v>40</v>
      </c>
      <c r="J3" s="182" t="n">
        <v>40</v>
      </c>
      <c r="K3" s="182" t="n"/>
      <c r="L3" s="3" t="n"/>
      <c r="M3" s="182" t="n"/>
      <c r="N3" s="182" t="n"/>
      <c r="O3" s="182" t="n">
        <v>40</v>
      </c>
      <c r="P3" s="3" t="n">
        <v>40</v>
      </c>
      <c r="Q3" s="182" t="n">
        <v>40</v>
      </c>
      <c r="R3" s="182" t="n"/>
      <c r="S3" s="3" t="n"/>
      <c r="T3" s="182" t="n"/>
      <c r="U3" s="182" t="n"/>
      <c r="V3" s="182" t="n">
        <v>20</v>
      </c>
      <c r="W3" s="3" t="n">
        <v>20</v>
      </c>
      <c r="X3" s="182" t="n">
        <v>20</v>
      </c>
      <c r="Y3" s="182" t="n"/>
      <c r="Z3" s="3" t="n"/>
      <c r="AA3" s="182" t="n"/>
      <c r="AB3" s="182" t="n"/>
      <c r="AC3" s="182" t="n">
        <v>20</v>
      </c>
      <c r="AD3" s="182" t="n">
        <v>20</v>
      </c>
      <c r="AE3" s="182" t="n">
        <v>20</v>
      </c>
    </row>
    <row r="4">
      <c r="A4" s="2" t="n"/>
      <c r="B4" s="3" t="n"/>
      <c r="C4" s="182" t="n"/>
      <c r="D4" s="182" t="n"/>
      <c r="E4" s="3" t="n"/>
      <c r="F4" s="182" t="n"/>
      <c r="G4" s="182" t="n"/>
      <c r="H4" s="182" t="n"/>
      <c r="I4" s="3" t="n"/>
      <c r="J4" s="182" t="n"/>
      <c r="K4" s="182" t="n"/>
      <c r="L4" s="3" t="n"/>
      <c r="M4" s="182" t="n"/>
      <c r="N4" s="182" t="n"/>
      <c r="O4" s="182" t="n"/>
      <c r="P4" s="3" t="n">
        <v>100</v>
      </c>
      <c r="Q4" s="182" t="n">
        <v>160</v>
      </c>
      <c r="R4" s="182" t="n"/>
      <c r="S4" s="3" t="n"/>
      <c r="T4" s="182" t="n"/>
      <c r="U4" s="182" t="n"/>
      <c r="V4" s="182" t="n">
        <v>100</v>
      </c>
      <c r="W4" s="3" t="n">
        <v>130</v>
      </c>
      <c r="X4" s="182" t="n">
        <v>120</v>
      </c>
      <c r="Y4" s="182" t="n"/>
      <c r="Z4" s="3" t="n"/>
      <c r="AA4" s="182" t="n"/>
      <c r="AB4" s="182" t="n"/>
      <c r="AC4" s="182" t="n"/>
      <c r="AD4" s="182" t="n"/>
      <c r="AE4" s="182" t="n"/>
    </row>
    <row r="5">
      <c r="A5" s="5">
        <f>A3+A4</f>
        <v/>
      </c>
      <c r="B5" s="5">
        <f>B3+B4</f>
        <v/>
      </c>
      <c r="C5" s="5">
        <f>C3+C4</f>
        <v/>
      </c>
      <c r="D5" s="5">
        <f>D3+D4</f>
        <v/>
      </c>
      <c r="E5" s="5">
        <f>E3+E4</f>
        <v/>
      </c>
      <c r="F5" s="5">
        <f>F3+F4</f>
        <v/>
      </c>
      <c r="G5" s="5">
        <f>G3+G4</f>
        <v/>
      </c>
      <c r="H5" s="5">
        <f>H3+H4</f>
        <v/>
      </c>
      <c r="I5" s="5">
        <f>I3+I4</f>
        <v/>
      </c>
      <c r="J5" s="5">
        <f>J3+J4</f>
        <v/>
      </c>
      <c r="K5" s="5">
        <f>K3+K4</f>
        <v/>
      </c>
      <c r="L5" s="5">
        <f>L3+L4</f>
        <v/>
      </c>
      <c r="M5" s="5">
        <f>M3+M4</f>
        <v/>
      </c>
      <c r="N5" s="5">
        <f>N3+N4</f>
        <v/>
      </c>
      <c r="O5" s="5">
        <f>O3+O4</f>
        <v/>
      </c>
      <c r="P5" s="5">
        <f>P3+P4</f>
        <v/>
      </c>
      <c r="Q5" s="5">
        <f>Q3+Q4</f>
        <v/>
      </c>
      <c r="R5" s="5">
        <f>R3+R4</f>
        <v/>
      </c>
      <c r="S5" s="5">
        <f>S3+S4</f>
        <v/>
      </c>
      <c r="T5" s="5">
        <f>T3+T4</f>
        <v/>
      </c>
      <c r="U5" s="5">
        <f>U3+U4</f>
        <v/>
      </c>
      <c r="V5" s="5">
        <f>V3+V4</f>
        <v/>
      </c>
      <c r="W5" s="5">
        <f>W3+W4</f>
        <v/>
      </c>
      <c r="X5" s="5">
        <f>X3+X4</f>
        <v/>
      </c>
      <c r="Y5" s="5">
        <f>Y3+Y4</f>
        <v/>
      </c>
      <c r="Z5" s="5">
        <f>Z3+Z4</f>
        <v/>
      </c>
      <c r="AA5" s="5">
        <f>AA3+AA4</f>
        <v/>
      </c>
      <c r="AB5" s="5">
        <f>AB3+AB4</f>
        <v/>
      </c>
      <c r="AC5" s="5">
        <f>AC3+AC4</f>
        <v/>
      </c>
      <c r="AD5" s="5">
        <f>AD3+AD4</f>
        <v/>
      </c>
      <c r="AE5" s="5">
        <f>AE3+AE4</f>
        <v/>
      </c>
    </row>
    <row r="6">
      <c r="J6" s="1" t="n">
        <v>15</v>
      </c>
      <c r="K6" s="5" t="n">
        <v>20</v>
      </c>
      <c r="L6" s="5" t="n">
        <v>20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40</v>
      </c>
      <c r="R6" s="5" t="n">
        <v>40</v>
      </c>
      <c r="S6" s="5" t="n">
        <v>40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40</v>
      </c>
      <c r="Y6" s="5" t="n">
        <v>140</v>
      </c>
      <c r="Z6" s="5" t="n">
        <v>200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120</v>
      </c>
      <c r="AF6" s="5" t="n">
        <v>150</v>
      </c>
      <c r="AG6" s="5" t="n">
        <v>140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20</v>
      </c>
      <c r="AM6" s="5" t="n">
        <v>20</v>
      </c>
      <c r="AN6" s="5" t="n">
        <v>20</v>
      </c>
    </row>
    <row r="7">
      <c r="A7" s="1" t="n">
        <v>26</v>
      </c>
      <c r="D7" s="2" t="n"/>
      <c r="J7" s="1" t="n">
        <v>16</v>
      </c>
      <c r="K7" s="5" t="n">
        <v>1</v>
      </c>
      <c r="N7" s="5" t="n">
        <v>20</v>
      </c>
      <c r="Q7" s="5" t="n">
        <v>40</v>
      </c>
      <c r="T7" s="3" t="n"/>
      <c r="U7" s="2" t="n"/>
      <c r="V7" s="5">
        <f>T7+U7</f>
        <v/>
      </c>
      <c r="X7" s="1" t="n">
        <v>18</v>
      </c>
      <c r="Z7" s="1" t="n"/>
      <c r="AB7" s="5">
        <f>Z7+AA7</f>
        <v/>
      </c>
    </row>
    <row r="8">
      <c r="A8" s="1" t="n">
        <v>20</v>
      </c>
      <c r="D8" s="3" t="n"/>
      <c r="J8" s="1" t="n">
        <v>16</v>
      </c>
      <c r="K8" s="5" t="n">
        <v>1</v>
      </c>
      <c r="N8" s="5" t="n">
        <v>20</v>
      </c>
      <c r="Q8" s="5" t="n">
        <v>20</v>
      </c>
      <c r="T8" s="3" t="n"/>
      <c r="U8" s="3" t="n"/>
      <c r="V8" s="5">
        <f>T8+U8</f>
        <v/>
      </c>
      <c r="X8" s="1" t="n">
        <v>19</v>
      </c>
      <c r="Z8" s="1" t="n"/>
      <c r="AB8" s="5">
        <f>Z8+AA8</f>
        <v/>
      </c>
    </row>
    <row r="9">
      <c r="A9" s="1" t="n">
        <v>20</v>
      </c>
      <c r="D9" s="182" t="n"/>
      <c r="J9" s="1" t="n">
        <v>16</v>
      </c>
      <c r="K9" s="5" t="n">
        <v>1</v>
      </c>
      <c r="N9" s="5" t="n">
        <v>20</v>
      </c>
      <c r="Q9" s="5" t="n">
        <v>20</v>
      </c>
      <c r="T9" s="3" t="n"/>
      <c r="U9" s="182" t="n"/>
      <c r="V9" s="5">
        <f>T9+U9</f>
        <v/>
      </c>
      <c r="X9" s="1" t="n">
        <v>20</v>
      </c>
      <c r="Z9" s="1" t="n"/>
      <c r="AB9" s="5">
        <f>Z9+AA9</f>
        <v/>
      </c>
    </row>
    <row r="10">
      <c r="A10" s="1" t="n">
        <v>21</v>
      </c>
      <c r="D10" s="182" t="n"/>
      <c r="J10" s="1" t="n">
        <v>15</v>
      </c>
      <c r="K10" s="5" t="n">
        <v>1</v>
      </c>
      <c r="N10" s="5" t="n">
        <v>0</v>
      </c>
      <c r="Q10" s="5" t="n">
        <v>0</v>
      </c>
      <c r="T10" s="3" t="n"/>
      <c r="U10" s="182" t="n"/>
      <c r="V10" s="5">
        <f>T10+U10</f>
        <v/>
      </c>
      <c r="X10" s="1" t="n">
        <v>20</v>
      </c>
      <c r="Z10" s="1" t="n"/>
      <c r="AB10" s="5">
        <f>Z10+AA10</f>
        <v/>
      </c>
    </row>
    <row r="11">
      <c r="A11" s="1" t="n">
        <v>21</v>
      </c>
      <c r="D11" s="3" t="n"/>
      <c r="J11" s="1" t="n">
        <v>20</v>
      </c>
      <c r="K11" s="5" t="n">
        <v>1</v>
      </c>
      <c r="N11" s="5" t="n">
        <v>0</v>
      </c>
      <c r="Q11" s="5" t="n">
        <v>0</v>
      </c>
      <c r="T11" s="3" t="n"/>
      <c r="U11" s="3" t="n"/>
      <c r="V11" s="5">
        <f>T11+U11</f>
        <v/>
      </c>
      <c r="X11" s="1" t="n">
        <v>20</v>
      </c>
      <c r="Z11" s="1" t="n">
        <v>10</v>
      </c>
      <c r="AB11" s="5">
        <f>Z11+AA11</f>
        <v/>
      </c>
    </row>
    <row r="12">
      <c r="A12" s="1" t="n">
        <v>21</v>
      </c>
      <c r="D12" s="182" t="n"/>
      <c r="J12" s="1" t="n">
        <v>21</v>
      </c>
      <c r="K12" s="5" t="n">
        <v>1</v>
      </c>
      <c r="N12" s="5" t="n">
        <v>0</v>
      </c>
      <c r="Q12" s="5" t="n">
        <v>20</v>
      </c>
      <c r="T12" s="3" t="n"/>
      <c r="U12" s="182" t="n"/>
      <c r="V12" s="5">
        <f>T12+U12</f>
        <v/>
      </c>
      <c r="X12" s="1" t="n">
        <v>21</v>
      </c>
      <c r="Z12" s="1" t="n">
        <v>50</v>
      </c>
      <c r="AB12" s="5">
        <f>Z12+AA12</f>
        <v/>
      </c>
    </row>
    <row r="13">
      <c r="A13" s="1" t="n">
        <v>26</v>
      </c>
      <c r="D13" s="182" t="n"/>
      <c r="J13" s="1" t="n">
        <v>20</v>
      </c>
      <c r="K13" s="5" t="n">
        <v>1</v>
      </c>
      <c r="N13" s="5" t="n">
        <v>0</v>
      </c>
      <c r="Q13" s="5" t="n">
        <v>40</v>
      </c>
      <c r="T13" s="3" t="n">
        <v>1</v>
      </c>
      <c r="U13" s="182" t="n"/>
      <c r="V13" s="5">
        <f>T13+U13</f>
        <v/>
      </c>
      <c r="X13" s="1" t="n">
        <v>21</v>
      </c>
      <c r="Z13" s="1" t="n">
        <v>50</v>
      </c>
      <c r="AB13" s="5">
        <f>Z13+AA13</f>
        <v/>
      </c>
    </row>
    <row r="14">
      <c r="A14" s="1" t="n">
        <v>26</v>
      </c>
      <c r="D14" s="182" t="n"/>
      <c r="J14" s="1" t="n">
        <v>21</v>
      </c>
      <c r="K14" s="5" t="n">
        <v>1</v>
      </c>
      <c r="N14" s="5" t="n">
        <v>40</v>
      </c>
      <c r="Q14" s="5" t="n">
        <v>40</v>
      </c>
      <c r="T14" s="3" t="n">
        <v>1</v>
      </c>
      <c r="U14" s="182" t="n"/>
      <c r="V14" s="5">
        <f>T14+U14</f>
        <v/>
      </c>
      <c r="X14" s="1" t="n">
        <v>18</v>
      </c>
      <c r="Z14" s="1" t="n"/>
      <c r="AB14" s="5">
        <f>Z14+AA14</f>
        <v/>
      </c>
    </row>
    <row r="15">
      <c r="A15" s="1" t="n">
        <v>27</v>
      </c>
      <c r="D15" s="3" t="n">
        <v>40</v>
      </c>
      <c r="J15" s="1" t="n">
        <v>21</v>
      </c>
      <c r="K15" s="5" t="n">
        <v>1</v>
      </c>
      <c r="N15" s="5" t="n">
        <v>40</v>
      </c>
      <c r="Q15" s="5" t="n">
        <v>0</v>
      </c>
      <c r="T15" s="3" t="n">
        <v>1</v>
      </c>
      <c r="U15" s="3" t="n"/>
      <c r="V15" s="5">
        <f>T15+U15</f>
        <v/>
      </c>
      <c r="X15" s="1" t="n">
        <v>19</v>
      </c>
      <c r="Z15" s="1" t="n"/>
      <c r="AB15" s="5">
        <f>Z15+AA15</f>
        <v/>
      </c>
    </row>
    <row r="16">
      <c r="A16" s="1" t="n">
        <v>26</v>
      </c>
      <c r="D16" s="182" t="n">
        <v>50</v>
      </c>
      <c r="J16" s="1" t="n">
        <v>21</v>
      </c>
      <c r="K16" s="5" t="n">
        <v>1</v>
      </c>
      <c r="N16" s="5" t="n">
        <v>40</v>
      </c>
      <c r="Q16" s="5" t="n">
        <v>0</v>
      </c>
      <c r="T16" s="3" t="n">
        <v>1</v>
      </c>
      <c r="U16" s="182" t="n"/>
      <c r="V16" s="5">
        <f>T16+U16</f>
        <v/>
      </c>
      <c r="X16" s="1" t="n">
        <v>20</v>
      </c>
      <c r="Z16" s="1" t="n"/>
      <c r="AB16" s="5">
        <f>Z16+AA16</f>
        <v/>
      </c>
    </row>
    <row r="17">
      <c r="A17" s="1" t="n">
        <v>26</v>
      </c>
      <c r="D17" s="182" t="n">
        <v>40</v>
      </c>
      <c r="J17" s="1" t="n">
        <v>20</v>
      </c>
      <c r="K17" s="5" t="n">
        <v>1</v>
      </c>
      <c r="N17" s="5" t="n">
        <v>0</v>
      </c>
      <c r="Q17" s="5" t="n">
        <v>0</v>
      </c>
      <c r="T17" s="3" t="n">
        <v>2</v>
      </c>
      <c r="U17" s="182" t="n"/>
      <c r="V17" s="5">
        <f>T17+U17</f>
        <v/>
      </c>
      <c r="X17" s="1" t="n">
        <v>20</v>
      </c>
      <c r="Z17" s="1" t="n"/>
      <c r="AB17" s="5">
        <f>Z17+AA17</f>
        <v/>
      </c>
    </row>
    <row r="18">
      <c r="A18" s="1" t="n">
        <v>26</v>
      </c>
      <c r="D18" s="3" t="n"/>
      <c r="J18" s="1" t="n">
        <v>20</v>
      </c>
      <c r="K18" s="5" t="n">
        <v>1</v>
      </c>
      <c r="N18" s="5" t="n">
        <v>0</v>
      </c>
      <c r="Q18" s="5" t="n">
        <v>0</v>
      </c>
      <c r="T18" s="3" t="n">
        <v>2</v>
      </c>
      <c r="U18" s="3" t="n"/>
      <c r="V18" s="5">
        <f>T18+U18</f>
        <v/>
      </c>
      <c r="X18" s="1" t="n">
        <v>20</v>
      </c>
      <c r="Z18" s="1" t="n">
        <v>20</v>
      </c>
      <c r="AA18" s="5" t="n">
        <v>20</v>
      </c>
      <c r="AB18" s="5">
        <f>Z18+AA18</f>
        <v/>
      </c>
    </row>
    <row r="19">
      <c r="A19" s="1" t="n">
        <v>26</v>
      </c>
      <c r="D19" s="182" t="n"/>
      <c r="J19" s="1" t="n">
        <v>21</v>
      </c>
      <c r="K19" s="5" t="n">
        <v>1</v>
      </c>
      <c r="N19" s="5" t="n">
        <v>0</v>
      </c>
      <c r="Q19" s="5" t="n">
        <v>40</v>
      </c>
      <c r="T19" s="3" t="n">
        <v>1</v>
      </c>
      <c r="U19" s="182" t="n"/>
      <c r="V19" s="5">
        <f>T19+U19</f>
        <v/>
      </c>
      <c r="X19" s="1" t="n">
        <v>21</v>
      </c>
      <c r="Z19" s="1" t="n">
        <v>40</v>
      </c>
      <c r="AA19" s="5" t="n">
        <v>40</v>
      </c>
      <c r="AB19" s="5">
        <f>Z19+AA19</f>
        <v/>
      </c>
    </row>
    <row r="20">
      <c r="A20" s="1" t="n">
        <v>26</v>
      </c>
      <c r="D20" s="182" t="n"/>
      <c r="J20" s="1" t="n">
        <v>22</v>
      </c>
      <c r="K20" s="5" t="n">
        <v>1</v>
      </c>
      <c r="N20" s="5" t="n">
        <v>0</v>
      </c>
      <c r="Q20" s="5" t="n">
        <v>60</v>
      </c>
      <c r="T20" s="3" t="n">
        <v>1</v>
      </c>
      <c r="U20" s="182" t="n"/>
      <c r="V20" s="5">
        <f>T20+U20</f>
        <v/>
      </c>
      <c r="X20" s="1" t="n">
        <v>21</v>
      </c>
      <c r="Z20" s="1" t="n">
        <v>40</v>
      </c>
      <c r="AA20" s="5" t="n">
        <v>40</v>
      </c>
      <c r="AB20" s="5">
        <f>Z20+AA20</f>
        <v/>
      </c>
    </row>
    <row r="21">
      <c r="A21" s="1" t="n">
        <v>26</v>
      </c>
      <c r="D21" s="182" t="n"/>
      <c r="J21" s="1" t="n">
        <v>23</v>
      </c>
      <c r="K21" s="5" t="n">
        <v>1</v>
      </c>
      <c r="N21" s="5" t="n">
        <v>40</v>
      </c>
      <c r="Q21" s="5" t="n">
        <v>60</v>
      </c>
      <c r="T21" s="3" t="n">
        <v>1</v>
      </c>
      <c r="U21" s="182" t="n"/>
      <c r="V21" s="5">
        <f>T21+U21</f>
        <v/>
      </c>
      <c r="X21" s="1" t="n">
        <v>18</v>
      </c>
      <c r="Z21" s="1" t="n">
        <v>20</v>
      </c>
      <c r="AB21" s="5">
        <f>Z21+AA21</f>
        <v/>
      </c>
    </row>
    <row r="22">
      <c r="A22" s="1" t="n">
        <v>26</v>
      </c>
      <c r="D22" s="3" t="n">
        <v>60</v>
      </c>
      <c r="J22" s="1" t="n">
        <v>23</v>
      </c>
      <c r="K22" s="5" t="n">
        <v>1</v>
      </c>
      <c r="N22" s="5" t="n">
        <v>140</v>
      </c>
      <c r="Q22" s="5" t="n">
        <v>0</v>
      </c>
      <c r="T22" s="3" t="n">
        <v>1</v>
      </c>
      <c r="U22" s="3" t="n"/>
      <c r="V22" s="5">
        <f>T22+U22</f>
        <v/>
      </c>
      <c r="X22" s="1" t="n">
        <v>19</v>
      </c>
      <c r="Z22" s="1" t="n"/>
      <c r="AB22" s="5">
        <f>Z22+AA22</f>
        <v/>
      </c>
    </row>
    <row r="23">
      <c r="A23" s="1" t="n">
        <v>26</v>
      </c>
      <c r="D23" s="182" t="n">
        <v>80</v>
      </c>
      <c r="J23" s="1" t="n">
        <v>23</v>
      </c>
      <c r="K23" s="5" t="n">
        <v>1</v>
      </c>
      <c r="N23" s="5" t="n">
        <v>200</v>
      </c>
      <c r="Q23" s="5" t="n">
        <v>0</v>
      </c>
      <c r="T23" s="3" t="n">
        <v>1</v>
      </c>
      <c r="U23" s="182" t="n"/>
      <c r="V23" s="5">
        <f>T23+U23</f>
        <v/>
      </c>
      <c r="X23" s="1" t="n">
        <v>20</v>
      </c>
      <c r="Z23" s="1" t="n"/>
      <c r="AB23" s="5">
        <f>Z23+AA23</f>
        <v/>
      </c>
    </row>
    <row r="24">
      <c r="A24" s="1" t="n">
        <v>26</v>
      </c>
      <c r="D24" s="182" t="n">
        <v>70</v>
      </c>
      <c r="J24" s="1" t="n">
        <v>22</v>
      </c>
      <c r="K24" s="5" t="n">
        <v>1</v>
      </c>
      <c r="N24" s="5" t="n">
        <v>0</v>
      </c>
      <c r="Q24" s="5" t="n">
        <v>0</v>
      </c>
      <c r="T24" s="3" t="n">
        <v>2</v>
      </c>
      <c r="U24" s="182" t="n"/>
      <c r="V24" s="5">
        <f>T24+U24</f>
        <v/>
      </c>
      <c r="X24" s="1" t="n">
        <v>20</v>
      </c>
      <c r="Z24" s="1" t="n">
        <v>20</v>
      </c>
      <c r="AB24" s="5">
        <f>Z24+AA24</f>
        <v/>
      </c>
    </row>
    <row r="25">
      <c r="A25" s="1" t="n">
        <v>26</v>
      </c>
      <c r="D25" s="3" t="n"/>
      <c r="J25" s="1" t="n">
        <v>22</v>
      </c>
      <c r="K25" s="5" t="n">
        <v>1</v>
      </c>
      <c r="N25" s="5" t="n">
        <v>0</v>
      </c>
      <c r="Q25" s="5" t="n">
        <v>0</v>
      </c>
      <c r="T25" s="3" t="n">
        <v>2</v>
      </c>
      <c r="U25" s="3" t="n"/>
      <c r="V25" s="5">
        <f>T25+U25</f>
        <v/>
      </c>
      <c r="X25" s="1" t="n">
        <v>20</v>
      </c>
      <c r="Z25" s="1" t="n">
        <v>40</v>
      </c>
      <c r="AB25" s="5">
        <f>Z25+AA25</f>
        <v/>
      </c>
    </row>
    <row r="26">
      <c r="A26" s="1" t="n">
        <v>26</v>
      </c>
      <c r="D26" s="182" t="n"/>
      <c r="J26" s="1" t="n">
        <v>23</v>
      </c>
      <c r="K26" s="5" t="n">
        <v>1</v>
      </c>
      <c r="N26" s="5" t="n">
        <v>0</v>
      </c>
      <c r="Q26" s="5" t="n">
        <v>40</v>
      </c>
      <c r="T26" s="3" t="n">
        <v>1</v>
      </c>
      <c r="U26" s="182" t="n"/>
      <c r="V26" s="5">
        <f>T26+U26</f>
        <v/>
      </c>
      <c r="X26" s="1" t="n">
        <v>21</v>
      </c>
      <c r="Z26" s="1" t="n">
        <v>40</v>
      </c>
      <c r="AB26" s="5">
        <f>Z26+AA26</f>
        <v/>
      </c>
    </row>
    <row r="27">
      <c r="A27" s="1" t="n">
        <v>26</v>
      </c>
      <c r="D27" s="182" t="n"/>
      <c r="J27" s="1" t="n">
        <v>22</v>
      </c>
      <c r="K27" s="5" t="n">
        <v>1</v>
      </c>
      <c r="N27" s="5" t="n">
        <v>0</v>
      </c>
      <c r="Q27" s="5" t="n">
        <v>40</v>
      </c>
      <c r="T27" s="3" t="n">
        <v>1</v>
      </c>
      <c r="U27" s="182" t="n">
        <v>1</v>
      </c>
      <c r="V27" s="5">
        <f>T27+U27</f>
        <v/>
      </c>
      <c r="X27" s="1" t="n">
        <v>21</v>
      </c>
      <c r="Z27" s="1" t="n">
        <v>20</v>
      </c>
      <c r="AB27" s="5">
        <f>Z27+AA27</f>
        <v/>
      </c>
    </row>
    <row r="28">
      <c r="A28" s="1" t="n">
        <v>26</v>
      </c>
      <c r="D28" s="182" t="n"/>
      <c r="J28" s="1" t="n">
        <v>23</v>
      </c>
      <c r="K28" s="5" t="n">
        <v>1</v>
      </c>
      <c r="N28" s="5" t="n">
        <v>120</v>
      </c>
      <c r="Q28" s="5" t="n">
        <v>40</v>
      </c>
      <c r="T28" s="3" t="n">
        <v>1</v>
      </c>
      <c r="U28" s="182" t="n">
        <v>1</v>
      </c>
      <c r="V28" s="5">
        <f>T28+U28</f>
        <v/>
      </c>
      <c r="X28" s="1" t="n">
        <v>18</v>
      </c>
      <c r="Z28" s="1" t="n">
        <v>20</v>
      </c>
      <c r="AB28" s="5">
        <f>Z28+AA28</f>
        <v/>
      </c>
    </row>
    <row r="29">
      <c r="A29" s="1" t="n">
        <v>26</v>
      </c>
      <c r="D29" s="3" t="n">
        <v>50</v>
      </c>
      <c r="J29" s="1" t="n">
        <v>23</v>
      </c>
      <c r="K29" s="5" t="n">
        <v>1</v>
      </c>
      <c r="N29" s="5" t="n">
        <v>150</v>
      </c>
      <c r="Q29" s="5" t="n">
        <v>0</v>
      </c>
      <c r="T29" s="3" t="n">
        <v>1</v>
      </c>
      <c r="U29" s="3" t="n">
        <v>1</v>
      </c>
      <c r="V29" s="5">
        <f>T29+U29</f>
        <v/>
      </c>
      <c r="X29" s="1" t="n">
        <v>19</v>
      </c>
      <c r="Z29" s="1" t="n"/>
      <c r="AB29" s="5">
        <f>Z29+AA29</f>
        <v/>
      </c>
    </row>
    <row r="30">
      <c r="A30" s="1" t="n">
        <v>26</v>
      </c>
      <c r="D30" s="182" t="n">
        <v>50</v>
      </c>
      <c r="J30" s="1" t="n">
        <v>19</v>
      </c>
      <c r="K30" s="5" t="n">
        <v>1</v>
      </c>
      <c r="N30" s="5" t="n">
        <v>140</v>
      </c>
      <c r="Q30" s="5" t="n">
        <v>0</v>
      </c>
      <c r="T30" s="3" t="n">
        <v>1</v>
      </c>
      <c r="U30" s="182" t="n">
        <v>1</v>
      </c>
      <c r="V30" s="5">
        <f>T30+U30</f>
        <v/>
      </c>
      <c r="X30" s="1" t="n">
        <v>20</v>
      </c>
      <c r="Z30" s="1" t="n"/>
      <c r="AB30" s="5">
        <f>Z30+AA30</f>
        <v/>
      </c>
    </row>
    <row r="31">
      <c r="A31" s="1" t="n">
        <v>26</v>
      </c>
      <c r="D31" s="182" t="n">
        <v>40</v>
      </c>
      <c r="J31" s="1" t="n">
        <v>18</v>
      </c>
      <c r="K31" s="5" t="n">
        <v>1</v>
      </c>
      <c r="N31" s="5" t="n">
        <v>0</v>
      </c>
      <c r="Q31" s="5" t="n">
        <v>0</v>
      </c>
      <c r="T31" s="3" t="n">
        <v>2</v>
      </c>
      <c r="U31" s="182" t="n">
        <v>1</v>
      </c>
      <c r="V31" s="5">
        <f>T31+U31</f>
        <v/>
      </c>
      <c r="X31" s="1" t="n">
        <v>20</v>
      </c>
      <c r="Z31" s="1" t="n">
        <v>20</v>
      </c>
      <c r="AB31" s="5">
        <f>Z31+AA31</f>
        <v/>
      </c>
    </row>
    <row r="32">
      <c r="A32" s="1" t="n">
        <v>24</v>
      </c>
      <c r="D32" s="3" t="n"/>
      <c r="J32" s="1" t="n">
        <v>18</v>
      </c>
      <c r="K32" s="5" t="n">
        <v>1</v>
      </c>
      <c r="N32" s="5" t="n">
        <v>0</v>
      </c>
      <c r="Q32" s="5" t="n">
        <v>0</v>
      </c>
      <c r="T32" s="3" t="n">
        <v>2</v>
      </c>
      <c r="U32" s="3" t="n">
        <v>1</v>
      </c>
      <c r="V32" s="5">
        <f>T32+U32</f>
        <v/>
      </c>
      <c r="X32" s="1" t="n">
        <v>20</v>
      </c>
      <c r="Z32" s="1" t="n">
        <v>20</v>
      </c>
      <c r="AB32" s="5">
        <f>Z32+AA32</f>
        <v/>
      </c>
    </row>
    <row r="33">
      <c r="A33" s="1" t="n">
        <v>24</v>
      </c>
      <c r="D33" s="182" t="n"/>
      <c r="J33" s="1" t="n">
        <v>18</v>
      </c>
      <c r="K33" s="5" t="n">
        <v>1</v>
      </c>
      <c r="N33" s="5" t="n">
        <v>0</v>
      </c>
      <c r="Q33" s="5" t="n">
        <v>130</v>
      </c>
      <c r="T33" s="3" t="n">
        <v>1</v>
      </c>
      <c r="U33" s="182" t="n">
        <v>1</v>
      </c>
      <c r="V33" s="5">
        <f>T33+U33</f>
        <v/>
      </c>
      <c r="X33" s="1" t="n">
        <v>21</v>
      </c>
      <c r="Z33" s="1" t="n">
        <v>40</v>
      </c>
      <c r="AB33" s="5">
        <f>Z33+AA33</f>
        <v/>
      </c>
    </row>
    <row r="34">
      <c r="A34" s="1" t="n">
        <v>24</v>
      </c>
      <c r="D34" s="182" t="n"/>
      <c r="J34" s="1" t="n">
        <v>17</v>
      </c>
      <c r="K34" s="5" t="n">
        <v>1</v>
      </c>
      <c r="N34" s="5" t="n">
        <v>0</v>
      </c>
      <c r="Q34" s="5" t="n">
        <v>190</v>
      </c>
      <c r="T34" s="3" t="n">
        <v>1</v>
      </c>
      <c r="U34" s="182" t="n">
        <v>1</v>
      </c>
      <c r="V34" s="5">
        <f>T34+U34</f>
        <v/>
      </c>
      <c r="X34" s="1" t="n">
        <v>21</v>
      </c>
      <c r="Z34" s="1" t="n">
        <v>20</v>
      </c>
      <c r="AB34" s="5">
        <f>Z34+AA34</f>
        <v/>
      </c>
    </row>
    <row r="35">
      <c r="A35" s="1" t="n">
        <v>24</v>
      </c>
      <c r="D35" s="182" t="n"/>
      <c r="J35" s="1" t="n">
        <v>18</v>
      </c>
      <c r="K35" s="5" t="n">
        <v>1</v>
      </c>
      <c r="N35" s="5" t="n">
        <v>20</v>
      </c>
      <c r="Q35" s="5" t="n">
        <v>190</v>
      </c>
      <c r="T35" s="3" t="n">
        <v>1</v>
      </c>
      <c r="U35" s="182" t="n">
        <v>1</v>
      </c>
      <c r="V35" s="5">
        <f>T35+U35</f>
        <v/>
      </c>
      <c r="X35" s="1" t="n">
        <v>19</v>
      </c>
      <c r="Z35" s="1" t="n"/>
      <c r="AB35" s="5">
        <f>Z35+AA35</f>
        <v/>
      </c>
    </row>
    <row r="36">
      <c r="A36" s="1" t="n">
        <v>25</v>
      </c>
      <c r="D36" s="182" t="n">
        <v>20</v>
      </c>
      <c r="J36" s="1" t="n">
        <v>18</v>
      </c>
      <c r="K36" s="5" t="n">
        <v>1</v>
      </c>
      <c r="N36" s="5" t="n">
        <v>20</v>
      </c>
      <c r="Q36" s="5" t="n">
        <v>0</v>
      </c>
      <c r="T36" s="3" t="n">
        <v>1</v>
      </c>
      <c r="U36" s="182" t="n">
        <v>1</v>
      </c>
      <c r="V36" s="5">
        <f>T36+U36</f>
        <v/>
      </c>
      <c r="X36" s="1" t="n">
        <v>20</v>
      </c>
      <c r="Z36" s="1" t="n"/>
      <c r="AB36" s="5">
        <f>Z36+AA36</f>
        <v/>
      </c>
    </row>
    <row r="37">
      <c r="A37" s="1" t="n">
        <v>24</v>
      </c>
      <c r="D37" s="182" t="n">
        <v>20</v>
      </c>
      <c r="N37" s="5" t="n">
        <v>20</v>
      </c>
      <c r="Q37" s="5" t="n">
        <v>0</v>
      </c>
      <c r="Z37" s="1" t="n"/>
    </row>
    <row r="42">
      <c r="A42" s="5" t="n">
        <v>26</v>
      </c>
      <c r="B42" s="5" t="n">
        <v>20</v>
      </c>
      <c r="C42" s="5" t="n">
        <v>20</v>
      </c>
      <c r="D42" s="5" t="n">
        <v>21</v>
      </c>
      <c r="E42" s="5" t="n">
        <v>21</v>
      </c>
      <c r="F42" s="5" t="n">
        <v>21</v>
      </c>
      <c r="G42" s="5" t="n">
        <v>26</v>
      </c>
      <c r="H42" s="5" t="n">
        <v>26</v>
      </c>
      <c r="I42" s="5" t="n">
        <v>27</v>
      </c>
      <c r="J42" s="5" t="n">
        <v>26</v>
      </c>
      <c r="K42" s="5" t="n">
        <v>26</v>
      </c>
      <c r="L42" s="5" t="n">
        <v>26</v>
      </c>
      <c r="M42" s="5" t="n">
        <v>26</v>
      </c>
      <c r="N42" s="5" t="n">
        <v>26</v>
      </c>
      <c r="O42" s="5" t="n">
        <v>26</v>
      </c>
      <c r="P42" s="5" t="n">
        <v>26</v>
      </c>
      <c r="Q42" s="5" t="n">
        <v>26</v>
      </c>
      <c r="R42" s="5" t="n">
        <v>26</v>
      </c>
      <c r="S42" s="5" t="n">
        <v>26</v>
      </c>
      <c r="T42" s="5" t="n">
        <v>26</v>
      </c>
      <c r="U42" s="5" t="n">
        <v>26</v>
      </c>
      <c r="V42" s="5" t="n">
        <v>26</v>
      </c>
      <c r="W42" s="5" t="n">
        <v>26</v>
      </c>
      <c r="X42" s="5" t="n">
        <v>26</v>
      </c>
      <c r="Y42" s="5" t="n">
        <v>26</v>
      </c>
      <c r="AB42" s="5" t="n">
        <v>24</v>
      </c>
      <c r="AC42" s="5" t="n">
        <v>24</v>
      </c>
      <c r="AD42" s="5" t="n">
        <v>25</v>
      </c>
    </row>
    <row r="44">
      <c r="A44" s="5" t="n">
        <v>26</v>
      </c>
      <c r="C44" s="2" t="n">
        <v>1</v>
      </c>
    </row>
    <row r="45">
      <c r="A45" s="5" t="n">
        <v>20</v>
      </c>
      <c r="C45" s="2" t="inlineStr">
        <is>
          <t xml:space="preserve"> </t>
        </is>
      </c>
      <c r="E45" s="2" t="n"/>
      <c r="F45" s="3" t="n"/>
      <c r="G45" s="182" t="n">
        <v>40</v>
      </c>
      <c r="H45" s="182" t="n">
        <v>60</v>
      </c>
      <c r="I45" s="3" t="n">
        <v>60</v>
      </c>
      <c r="J45" s="182" t="n"/>
      <c r="K45" s="182" t="n"/>
      <c r="L45" s="182" t="n"/>
      <c r="M45" s="3" t="n"/>
      <c r="N45" s="182" t="n">
        <v>20</v>
      </c>
      <c r="O45" s="182" t="n">
        <v>40</v>
      </c>
      <c r="P45" s="3" t="n">
        <v>20</v>
      </c>
      <c r="Q45" s="182" t="n"/>
      <c r="R45" s="182" t="n"/>
      <c r="S45" s="182" t="n"/>
      <c r="T45" s="3" t="n"/>
      <c r="U45" s="182" t="n">
        <v>40</v>
      </c>
      <c r="V45" s="182" t="n">
        <v>40</v>
      </c>
      <c r="W45" s="3" t="n">
        <v>40</v>
      </c>
      <c r="X45" s="182" t="n"/>
      <c r="Y45" s="182" t="n"/>
      <c r="Z45" s="182" t="n"/>
      <c r="AA45" s="3" t="n"/>
      <c r="AB45" s="182" t="n">
        <v>40</v>
      </c>
      <c r="AC45" s="182" t="n">
        <v>40</v>
      </c>
      <c r="AD45" s="3" t="n">
        <v>40</v>
      </c>
      <c r="AE45" s="182" t="n"/>
      <c r="AF45" s="182" t="n"/>
      <c r="AG45" s="182" t="n"/>
      <c r="AH45" s="182" t="n"/>
    </row>
    <row r="46">
      <c r="A46" s="5" t="n">
        <v>20</v>
      </c>
      <c r="C46" s="2" t="n">
        <v>1</v>
      </c>
      <c r="E46" s="2" t="n"/>
      <c r="F46" s="3" t="n"/>
      <c r="G46" s="182" t="n"/>
      <c r="H46" s="182" t="n"/>
      <c r="I46" s="3" t="n"/>
      <c r="J46" s="182" t="n"/>
      <c r="K46" s="182" t="n"/>
      <c r="L46" s="182" t="n"/>
      <c r="M46" s="3" t="n"/>
      <c r="N46" s="182" t="n">
        <v>30</v>
      </c>
      <c r="O46" s="182" t="n">
        <v>40</v>
      </c>
      <c r="P46" s="3" t="n">
        <v>40</v>
      </c>
      <c r="Q46" s="182" t="n"/>
      <c r="R46" s="182" t="n"/>
      <c r="S46" s="182" t="n"/>
      <c r="T46" s="3" t="n"/>
      <c r="U46" s="182" t="n"/>
      <c r="V46" s="182" t="n"/>
      <c r="W46" s="3" t="n"/>
      <c r="X46" s="182" t="n"/>
      <c r="Y46" s="182" t="n"/>
      <c r="Z46" s="182" t="n"/>
      <c r="AA46" s="3" t="n"/>
      <c r="AB46" s="182" t="n"/>
      <c r="AC46" s="182" t="n"/>
      <c r="AD46" s="3" t="n"/>
      <c r="AE46" s="182" t="n"/>
      <c r="AF46" s="182" t="n"/>
      <c r="AG46" s="182" t="n"/>
      <c r="AH46" s="182" t="n"/>
    </row>
    <row r="47">
      <c r="A47" s="5" t="n">
        <v>21</v>
      </c>
      <c r="C47" s="2" t="inlineStr">
        <is>
          <t xml:space="preserve"> </t>
        </is>
      </c>
      <c r="E47" s="5" t="n">
        <v>0</v>
      </c>
      <c r="F47" s="5" t="n">
        <v>0</v>
      </c>
      <c r="G47" s="5" t="n">
        <v>40</v>
      </c>
      <c r="H47" s="5" t="n">
        <v>60</v>
      </c>
      <c r="I47" s="5" t="n">
        <v>60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50</v>
      </c>
      <c r="O47" s="5" t="n">
        <v>80</v>
      </c>
      <c r="P47" s="5" t="n">
        <v>60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40</v>
      </c>
      <c r="V47" s="5" t="n">
        <v>40</v>
      </c>
      <c r="W47" s="5" t="n">
        <v>40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40</v>
      </c>
      <c r="AC47" s="5" t="n">
        <v>40</v>
      </c>
      <c r="AD47" s="5" t="n">
        <v>40</v>
      </c>
      <c r="AE47" s="5" t="n">
        <v>0</v>
      </c>
      <c r="AF47" s="5" t="n">
        <v>0</v>
      </c>
      <c r="AG47" s="5" t="n">
        <v>0</v>
      </c>
      <c r="AH47" s="5" t="n">
        <v>0</v>
      </c>
    </row>
    <row r="48">
      <c r="A48" s="5" t="n">
        <v>21</v>
      </c>
      <c r="C48" s="2" t="n">
        <v>1</v>
      </c>
    </row>
    <row r="49">
      <c r="A49" s="5" t="n">
        <v>21</v>
      </c>
      <c r="C49" s="2" t="inlineStr">
        <is>
          <t xml:space="preserve"> </t>
        </is>
      </c>
    </row>
    <row r="50">
      <c r="A50" s="5" t="n">
        <v>26</v>
      </c>
      <c r="C50" s="2" t="n">
        <v>1</v>
      </c>
      <c r="H50" s="5" t="n">
        <v>0</v>
      </c>
    </row>
    <row r="51">
      <c r="A51" s="5" t="n">
        <v>26</v>
      </c>
      <c r="C51" s="2" t="inlineStr">
        <is>
          <t xml:space="preserve"> </t>
        </is>
      </c>
      <c r="H51" s="5" t="n">
        <v>0</v>
      </c>
    </row>
    <row r="52">
      <c r="A52" s="5" t="n">
        <v>27</v>
      </c>
      <c r="C52" s="2" t="n">
        <v>1</v>
      </c>
      <c r="H52" s="5" t="n">
        <v>40</v>
      </c>
    </row>
    <row r="53">
      <c r="A53" s="5" t="n">
        <v>26</v>
      </c>
      <c r="C53" s="2" t="n">
        <v>1</v>
      </c>
      <c r="H53" s="5" t="n">
        <v>60</v>
      </c>
    </row>
    <row r="54">
      <c r="A54" s="5" t="n">
        <v>26</v>
      </c>
      <c r="C54" s="2" t="inlineStr">
        <is>
          <t xml:space="preserve"> </t>
        </is>
      </c>
      <c r="H54" s="5" t="n">
        <v>60</v>
      </c>
    </row>
    <row r="55">
      <c r="A55" s="5" t="n">
        <v>26</v>
      </c>
      <c r="C55" s="2" t="n">
        <v>1</v>
      </c>
      <c r="H55" s="5" t="n">
        <v>0</v>
      </c>
    </row>
    <row r="56">
      <c r="A56" s="5" t="n">
        <v>26</v>
      </c>
      <c r="C56" s="2" t="inlineStr">
        <is>
          <t xml:space="preserve"> </t>
        </is>
      </c>
      <c r="H56" s="5" t="n">
        <v>0</v>
      </c>
    </row>
    <row r="57">
      <c r="A57" s="5" t="n">
        <v>26</v>
      </c>
      <c r="C57" s="2" t="n">
        <v>1</v>
      </c>
      <c r="H57" s="5" t="n">
        <v>0</v>
      </c>
    </row>
    <row r="58">
      <c r="A58" s="5" t="n">
        <v>26</v>
      </c>
      <c r="C58" s="2" t="n">
        <v>1</v>
      </c>
      <c r="H58" s="5" t="n">
        <v>0</v>
      </c>
    </row>
    <row r="59">
      <c r="A59" s="5" t="n">
        <v>26</v>
      </c>
      <c r="C59" s="2" t="inlineStr">
        <is>
          <t xml:space="preserve"> </t>
        </is>
      </c>
      <c r="H59" s="5" t="n">
        <v>50</v>
      </c>
    </row>
    <row r="60">
      <c r="A60" s="5" t="n">
        <v>26</v>
      </c>
      <c r="C60" s="2" t="n">
        <v>1</v>
      </c>
      <c r="H60" s="5" t="n">
        <v>80</v>
      </c>
    </row>
    <row r="61">
      <c r="A61" s="5" t="n">
        <v>26</v>
      </c>
      <c r="C61" s="2" t="inlineStr">
        <is>
          <t xml:space="preserve"> </t>
        </is>
      </c>
      <c r="H61" s="5" t="n">
        <v>60</v>
      </c>
    </row>
    <row r="62">
      <c r="A62" s="5" t="n">
        <v>26</v>
      </c>
      <c r="C62" s="2" t="n">
        <v>1</v>
      </c>
      <c r="H62" s="5" t="n">
        <v>0</v>
      </c>
    </row>
    <row r="63">
      <c r="A63" s="5" t="n">
        <v>26</v>
      </c>
      <c r="C63" s="2" t="inlineStr">
        <is>
          <t xml:space="preserve"> </t>
        </is>
      </c>
      <c r="H63" s="5" t="n">
        <v>0</v>
      </c>
    </row>
    <row r="64">
      <c r="A64" s="5" t="n">
        <v>26</v>
      </c>
      <c r="C64" s="2" t="n">
        <v>1</v>
      </c>
      <c r="H64" s="5" t="n">
        <v>0</v>
      </c>
    </row>
    <row r="65">
      <c r="A65" s="5" t="n">
        <v>26</v>
      </c>
      <c r="C65" s="2" t="inlineStr">
        <is>
          <t xml:space="preserve"> </t>
        </is>
      </c>
      <c r="H65" s="5" t="n">
        <v>0</v>
      </c>
    </row>
    <row r="66">
      <c r="A66" s="5" t="n">
        <v>26</v>
      </c>
      <c r="C66" s="2" t="n">
        <v>1</v>
      </c>
      <c r="H66" s="5" t="n">
        <v>40</v>
      </c>
    </row>
    <row r="67">
      <c r="A67" s="5" t="n">
        <v>26</v>
      </c>
      <c r="C67" s="2" t="n">
        <v>1</v>
      </c>
      <c r="H67" s="5" t="n">
        <v>40</v>
      </c>
    </row>
    <row r="68">
      <c r="A68" s="5" t="n">
        <v>26</v>
      </c>
      <c r="C68" s="2" t="n">
        <v>1</v>
      </c>
      <c r="H68" s="5" t="n">
        <v>40</v>
      </c>
    </row>
    <row r="69">
      <c r="A69" s="5" t="n">
        <v>24</v>
      </c>
      <c r="C69" s="2" t="n">
        <v>1</v>
      </c>
      <c r="H69" s="5" t="n">
        <v>0</v>
      </c>
    </row>
    <row r="70">
      <c r="A70" s="5" t="n">
        <v>24</v>
      </c>
      <c r="C70" s="2" t="n">
        <v>1</v>
      </c>
      <c r="H70" s="5" t="n">
        <v>0</v>
      </c>
    </row>
    <row r="71">
      <c r="A71" s="5" t="n">
        <v>24</v>
      </c>
      <c r="C71" s="2" t="n">
        <v>1</v>
      </c>
      <c r="H71" s="5" t="n">
        <v>0</v>
      </c>
    </row>
    <row r="72">
      <c r="A72" s="5" t="n">
        <v>24</v>
      </c>
      <c r="C72" s="3" t="n">
        <v>1</v>
      </c>
      <c r="H72" s="5" t="n">
        <v>0</v>
      </c>
    </row>
    <row r="73">
      <c r="A73" s="5" t="n">
        <v>25</v>
      </c>
      <c r="C73" s="3" t="n">
        <v>1</v>
      </c>
      <c r="H73" s="5" t="n">
        <v>40</v>
      </c>
    </row>
    <row r="74">
      <c r="H74" s="5" t="n">
        <v>40</v>
      </c>
    </row>
    <row r="75">
      <c r="H75" s="5" t="n">
        <v>40</v>
      </c>
    </row>
    <row r="76">
      <c r="H76" s="5" t="n">
        <v>0</v>
      </c>
    </row>
    <row r="77">
      <c r="H77" s="5" t="n">
        <v>0</v>
      </c>
    </row>
    <row r="78">
      <c r="H78" s="5" t="n">
        <v>0</v>
      </c>
    </row>
    <row r="79">
      <c r="H7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2026-06-10T09:22:07Z</dcterms:modified>
  <cp:lastModifiedBy>陈梓烁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8C94F973AD0A4BD7B4A0F7B7DFA836EC_12</vt:lpwstr>
  </property>
  <property name="CalculationRule" fmtid="{D5CDD505-2E9C-101B-9397-08002B2CF9AE}" pid="4">
    <vt:i4 xmlns:vt="http://schemas.openxmlformats.org/officeDocument/2006/docPropsVTypes">0</vt:i4>
  </property>
</Properties>
</file>