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uxiufang\Documents\SmartbiSpreadSheetReport\"/>
    </mc:Choice>
  </mc:AlternateContent>
  <bookViews>
    <workbookView xWindow="-120" yWindow="-120" windowWidth="29040" windowHeight="15840" activeTab="0"/>
  </bookViews>
  <sheets>
    <sheet name="Sheet1" sheetId="1" r:id="rId2"/>
  </sheets>
  <externalReferences>
    <externalReference r:id="rId5"/>
  </externalReferences>
  <definedNames>
    <definedName name="_03f0a3a0357844598bd1db0aead62ca2" hidden="1" comment="SSRRANGE">Sheet1!$AN$25</definedName>
    <definedName name="_09420cea11b84432960065b6193ea97e" hidden="1" comment="SSRRANGE">Sheet1!$AX$25</definedName>
    <definedName name="_1605b24b78834f07850b332b5749ac61" hidden="1" comment="SSRRANGE">Sheet1!$B$25</definedName>
    <definedName name="_1f3d81906f35443b90b5487894e29703" hidden="1" comment="SSRRANGE">Sheet1!$BH$25</definedName>
    <definedName name="_270b6367911948c4a6837a9370dea0ce" hidden="1" comment="SSRRANGE">Sheet1!$AA$25</definedName>
    <definedName name="_32743411fb344ce8a0a256fa5d56e811" hidden="1" comment="SSRRANGE">Sheet1!$BE$25</definedName>
    <definedName name="_3290620f023141c0bcccf0d4615c4edf" hidden="1" comment="SSRRANGE">Sheet1!$AU$25</definedName>
    <definedName name="_4892f2605a954a0185631ed9d7c49038" hidden="1" comment="SSRRANGE">Sheet1!$AE$9</definedName>
    <definedName name="_542fd51acf514d57a610073c1bc976cb" hidden="1" comment="SSRRANGE">Sheet1!$BG$25</definedName>
    <definedName name="_7469b386066947f19392ba12a3043522" hidden="1" comment="SSRRANGE">[1]Sheet1!$AD$10</definedName>
    <definedName name="_74d97e1f632842a7987347dc5d817288" hidden="1" comment="SSRRANGE">Sheet1!$BC$25</definedName>
    <definedName name="_757608fe61e64ee0b790bddd997c33bd" hidden="1" comment="SSRRANGE">Sheet1!$AL$25</definedName>
    <definedName name="_7652fef5a86046f9b1970a95f8d2f1b6" hidden="1" comment="SSRRANGE">Sheet1!$AF$9</definedName>
    <definedName name="_77b978c69e524e2fb474e00c87323e12" hidden="1" comment="SSRRANGE">Sheet1!$AK$25</definedName>
    <definedName name="_7e0bebb9b43c4d14bb04ce7407d7fecf" hidden="1" comment="SSRRANGE">Sheet1!$AY$25</definedName>
    <definedName name="_7e48b6030ec546d4a149a1bb1e6fed71" hidden="1" comment="SSRRANGE">Sheet1!$AT$25</definedName>
    <definedName name="_7ee0def8ddc04c659503dd8f0fabc2a3" hidden="1" comment="SSRRANGE">Sheet1!$AJ$25</definedName>
    <definedName name="_88d5a3de7a864da3ac69768a957d21b4" hidden="1" comment="SSRRANGE">Sheet1!$X$25</definedName>
    <definedName name="_8eb913b26d39424cb4f7530cfaf917b1" hidden="1" comment="SSRRANGE">Sheet1!$AR$25</definedName>
    <definedName name="_8f8d79ea547c487bbf60837fd5537243" hidden="1" comment="SSRRANGE">Sheet1!$BA$25</definedName>
    <definedName name="_92066e286b7841c1a4376da0e4749f3f" hidden="1" comment="SSRRANGE">Sheet1!$AG$9</definedName>
    <definedName name="_9582b0ede375499d870db785adfc6584" hidden="1" comment="SSRRANGE">Sheet1!$AW$25</definedName>
    <definedName name="_97f1740d587e4eaeb443698c16383de6" hidden="1" comment="SSRRANGE">Sheet1!$BI$25</definedName>
    <definedName name="_a2af8f18112645f4ab9cc659a0a0848a" hidden="1" comment="SSRRANGE">Sheet1!$AO$25</definedName>
    <definedName name="_a2eff8e3e854449cbdad6b3d6301e7ac" hidden="1" comment="SSRRANGE">Sheet1!$AS$25</definedName>
    <definedName name="_ac51cac3aedb40f5a1d037eea9f2ed91" hidden="1" comment="SSRRANGE">Sheet1!$BB$25</definedName>
    <definedName name="_b2cb3c095faa42b6803648a907d66739" hidden="1" comment="SSRRANGE">Sheet1!$BJ$25</definedName>
    <definedName name="_b4dcc51828bf4979961c3bc314ded2c6" hidden="1" comment="SSRRANGE">Sheet1!$AZ$25</definedName>
    <definedName name="_b5ffabb3acda4f42899f84aa24f3d0fa" hidden="1" comment="SSRRANGE">Sheet1!$BF$25</definedName>
    <definedName name="_b8a7310dd13149239e03af22fd82a0fe" hidden="1" comment="SSRRANGE">Sheet1!$AQ$25</definedName>
    <definedName name="_bfdd83443ff542719b10605d6ae89fb0" hidden="1" comment="SSRRANGE">Sheet1!$AP$25</definedName>
    <definedName name="_c5dcf930c8d6462cb6b26f56ab5648a1" hidden="1" comment="SSRRANGE">Sheet1!$Z$25</definedName>
    <definedName name="_ccbefc94ec8f4ffd87317170b1543cbc" hidden="1" comment="SSRRANGE">Sheet1!$AH$9</definedName>
    <definedName name="_d07aa6aec30b4b53bfc2163b9c56cbc0" hidden="1" comment="SSRRANGE">Sheet1!$P$25</definedName>
    <definedName name="_d98a89ed5af84052b949603894bfb779" hidden="1" comment="SSRRANGE">Sheet1!$W$25</definedName>
    <definedName name="_de66e44e9d2d42629589cd95524a50a7" hidden="1" comment="SSRRANGE">Sheet1!$AM$25</definedName>
    <definedName name="_df10689815944096b3202a84ef0c8e6d" hidden="1" comment="SSRRANGE">[1]Sheet1!$AC$10</definedName>
    <definedName name="_e1344a4b50f34604a4cb6a113c9f07bf" hidden="1" comment="SSRRANGE">Sheet1!$AV$25</definedName>
    <definedName name="_e35a34db0b4d4544a06d66b271c5ed7f" hidden="1" comment="SSRRANGE">Sheet1!$BD$25</definedName>
    <definedName name="_eee500a6d5a04f819fbad7b614692f2a" hidden="1" comment="SSRRANGE">Sheet1!$A$25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O32" i="1" l="1"/>
</calcChain>
</file>

<file path=xl/sharedStrings.xml><?xml version="1.0" encoding="utf-8"?>
<sst xmlns="http://schemas.openxmlformats.org/spreadsheetml/2006/main" count="203" uniqueCount="115">
  <si>
    <t>开始日期</t>
  </si>
  <si>
    <t>一级渠道</t>
  </si>
  <si>
    <t>主投</t>
  </si>
  <si>
    <t>结束日期</t>
  </si>
  <si>
    <t>辅投</t>
  </si>
  <si>
    <t>TMK</t>
  </si>
  <si>
    <t>TMK个人做工</t>
  </si>
  <si>
    <t>跟进时效</t>
  </si>
  <si>
    <t>新生+老生跟进</t>
  </si>
  <si>
    <t>新生跟进</t>
  </si>
  <si>
    <t>老生跟进</t>
  </si>
  <si>
    <t>结果指标</t>
  </si>
  <si>
    <t>日均通次</t>
  </si>
  <si>
    <t>日均通次达成率</t>
  </si>
  <si>
    <t>日均通时（分）</t>
  </si>
  <si>
    <t>日均通时达成率</t>
  </si>
  <si>
    <t>生均跟进时效（分）</t>
  </si>
  <si>
    <t>生均通次</t>
  </si>
  <si>
    <t>生均通次达成率</t>
  </si>
  <si>
    <t>生均通时（分）</t>
  </si>
  <si>
    <t>生均通时（分）</t>
  </si>
  <si>
    <t>拨打学员数</t>
  </si>
  <si>
    <t>同期拨打环比</t>
  </si>
  <si>
    <t>思维约课数</t>
  </si>
  <si>
    <t>美术约课数</t>
  </si>
  <si>
    <t>通次</t>
  </si>
  <si>
    <t>通时</t>
  </si>
  <si>
    <t>拨打人数</t>
  </si>
  <si>
    <t>接通人数</t>
  </si>
  <si>
    <t>工作天数</t>
  </si>
  <si>
    <t>新例子通次</t>
  </si>
  <si>
    <t>新例子通时</t>
  </si>
  <si>
    <t>新例子拨打人数</t>
  </si>
  <si>
    <t>新例子接通人数</t>
  </si>
  <si>
    <t>老例子通次</t>
  </si>
  <si>
    <t>老例子通时</t>
  </si>
  <si>
    <t>老例子拨打人数</t>
  </si>
  <si>
    <t>老例子接通人数</t>
  </si>
  <si>
    <t>上月老例子拨打人数</t>
  </si>
  <si>
    <t>首拨间隔</t>
  </si>
  <si>
    <t>跟进人数</t>
  </si>
  <si>
    <t>口径说明</t>
  </si>
  <si>
    <t>1）通次：拨打电话的次数</t>
  </si>
  <si>
    <t>2）通时：接通时长</t>
  </si>
  <si>
    <t>4）日均通时 = 通时 / 工作天数</t>
  </si>
  <si>
    <t>5）日均通次 = 通次 / 工作天数</t>
  </si>
  <si>
    <t>6）生均通次 = 通次/ 拨打学员数</t>
  </si>
  <si>
    <t>7）生均通时 = 通时 / 接通学员数</t>
  </si>
  <si>
    <t>8）总计的生均通时、通次是从团队维度，根据user_id去重统计的，主要用来判断资源是否跟透</t>
  </si>
  <si>
    <t>正常未邀约</t>
  </si>
  <si>
    <t xml:space="preserve"> </t>
  </si>
  <si>
    <t>9）正常未邀约：TMK末次跟进结果为未邀约，且TMK末次跟进原因 为再联系或空值；异常未邀约：TMK末次跟进结果为未邀约，且TMK末次跟进原因 不为再联系或空值</t>
  </si>
  <si>
    <t>正常未邀约例子占比</t>
  </si>
  <si>
    <t>本月未邀约拨打人数</t>
  </si>
  <si>
    <t>通次目标</t>
  </si>
  <si>
    <t>通时目标</t>
  </si>
  <si>
    <t>目标：200</t>
  </si>
  <si>
    <t>目标：25</t>
  </si>
  <si>
    <t>新生生均通次</t>
  </si>
  <si>
    <t>老生生均通次</t>
  </si>
  <si>
    <t>目标：10</t>
  </si>
  <si>
    <t>目标：1</t>
  </si>
  <si>
    <t>跟进时效目标</t>
  </si>
  <si>
    <t>生均跟进时效（欧洲）</t>
  </si>
  <si>
    <t>生均跟进时效（非欧洲）</t>
  </si>
  <si>
    <t>首拨间隔-欧洲</t>
  </si>
  <si>
    <t>跟进人数-欧洲</t>
  </si>
  <si>
    <t>首拨间隔-非欧洲</t>
  </si>
  <si>
    <t>跟进人数-非欧洲</t>
  </si>
  <si>
    <t>生均跟进时效达成率</t>
  </si>
  <si>
    <t xml:space="preserve"> </t>
  </si>
  <si>
    <t>首拨间隔-北美</t>
  </si>
  <si>
    <t>跟进人数-北美</t>
  </si>
  <si>
    <t>首拨间隔-港澳台</t>
  </si>
  <si>
    <t>跟进人数-港澳台</t>
  </si>
  <si>
    <t>首拨间隔-澳洲</t>
  </si>
  <si>
    <t>跟进人数-澳洲</t>
  </si>
  <si>
    <t>生均跟进时效（澳洲）</t>
  </si>
  <si>
    <t>生均跟进时效（港澳台）</t>
  </si>
  <si>
    <t>生均跟进时效（北美）</t>
  </si>
  <si>
    <t>正常未邀约-昨日</t>
  </si>
  <si>
    <t>2026-06-01</t>
  </si>
  <si>
    <t>2026-06-09</t>
  </si>
  <si>
    <t>海外港澳商务</t>
  </si>
  <si>
    <t>3）工作天数：当日通次大于100，定义为当日上班</t>
  </si>
  <si>
    <t>生均通次达成率</t>
  </si>
  <si>
    <t>目标：30</t>
  </si>
  <si>
    <t>-</t>
  </si>
  <si>
    <t>思维例子数</t>
  </si>
  <si>
    <t>思维例子约课率</t>
  </si>
  <si>
    <t>美术例子数</t>
  </si>
  <si>
    <t>美术例子约课率</t>
  </si>
  <si>
    <t>二级渠道</t>
  </si>
  <si>
    <t>KOLHK-思维主投</t>
  </si>
  <si>
    <t>TMK小组</t>
  </si>
  <si>
    <t>生均通次（进线非勿扰时段的例子）</t>
  </si>
  <si>
    <t>10）生均通次（进线非勿扰时段的例子）：进线非勿扰时段的例子外呼总通次 / 进线非勿扰时段的外呼例子</t>
  </si>
  <si>
    <t>未邀约</t>
  </si>
  <si>
    <t>未接通未邀约学员数</t>
  </si>
  <si>
    <t>接通未邀约学员数</t>
  </si>
  <si>
    <t>接通未邀约微信覆盖率</t>
  </si>
  <si>
    <t>11）未接通未邀约学员数：最近一次外呼未接通的未邀约学员数</t>
  </si>
  <si>
    <t>12）接通未邀约学员数：最近一次外呼接通的未邀约学员数</t>
  </si>
  <si>
    <t>13）接通未邀约微信覆盖率：接通未邀约的学员且TMK跟进微信关键词备注（关键词：微信|vx|VX|Vx|vX|ws|WS|Ws|wS|whatsapp|WhatsApp|whatsApp|Whatsapp）的学员数/接通未邀约的学员数</t>
  </si>
  <si>
    <t>未接通未邀约微信覆盖率</t>
  </si>
  <si>
    <t>14）未接通未邀约微信覆盖率：未接通未邀约的学员且TMK跟进微信关键词备注（关键词：微信|vx|VX|Vx|vX|ws|WS|Ws|wS|whatsapp|WhatsApp|whatsApp|Whatsapp）的学员数/未接通未邀约的学员数</t>
  </si>
  <si>
    <t>海外白班TMK组</t>
  </si>
  <si>
    <t>汤秀芳</t>
  </si>
  <si>
    <t>周依洁</t>
  </si>
  <si>
    <t>李秀芳</t>
  </si>
  <si>
    <t>林俊杰</t>
  </si>
  <si>
    <t>谢小琼</t>
  </si>
  <si>
    <t>李可茵</t>
  </si>
  <si>
    <t>邝诗颖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</si>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</sst>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0.0_ "/>
    <numFmt numFmtId="178" formatCode="0.0%"/>
    <numFmt numFmtId="179" formatCode="#,##0_ "/>
  </numFmts>
  <fonts count="10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11"/>
      <color theme="1"/>
      <name val="微软雅黑"/>
      <family val="2"/>
      <charset val="-122"/>
    </font>
    <font>
      <b/>
      <sz val="11"/>
      <color theme="1"/>
      <name val="微软雅黑"/>
      <family val="2"/>
      <charset val="-122"/>
    </font>
    <font>
      <sz val="9"/>
      <name val="等线"/>
      <family val="3"/>
      <charset val="-122"/>
      <scheme val="minor"/>
    </font>
    <font>
      <b/>
      <sz val="11"/>
      <color rgb="FF000000"/>
      <name val="微软雅黑"/>
      <family val="2"/>
      <charset val="-122"/>
    </font>
    <font>
      <b/>
      <sz val="14"/>
      <color theme="0"/>
      <name val="微软雅黑"/>
      <family val="2"/>
      <charset val="-122"/>
    </font>
    <font>
      <sz val="14"/>
      <color theme="0"/>
      <name val="微软雅黑"/>
      <family val="2"/>
      <charset val="-122"/>
    </font>
    <font>
      <b/>
      <sz val="11"/>
      <color rgb="FFFF0000"/>
      <name val="微软雅黑"/>
      <family val="2"/>
      <charset val="-122"/>
    </font>
    <font>
      <b/>
      <sz val="11"/>
      <color theme="1"/>
      <name val="等线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theme="4" tint="-0.2499600052833557"/>
        <bgColor indexed="64"/>
      </patternFill>
    </fill>
    <fill>
      <patternFill patternType="solid">
        <fgColor theme="7" tint="0.799979984760284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Protection="0">
      <alignment/>
    </xf>
  </cellStyleXfs>
  <cellXfs count="50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6" fillId="7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2" fillId="0" borderId="1" xfId="2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78" fontId="2" fillId="0" borderId="1" xfId="2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百分比" xfId="20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externalLink" Target="externalLinks/externalLink1.xml" /><Relationship Id="rId6" Type="http://schemas.openxmlformats.org/officeDocument/2006/relationships/calcChain" Target="calcChain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Users/linhaitao/Desktop/&#26032;&#24314;%20Microsoft%20Excel%20&#24037;&#20316;&#34920;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49"/>
  <sheetViews>
    <sheetView tabSelected="1" workbookViewId="0" topLeftCell="A1">
      <pane xSplit="2" topLeftCell="C1" activePane="topRight" state="frozen"/>
      <selection pane="topLeft" activeCell="A1" sqref="A1"/>
      <selection pane="topRight" activeCell="I41" sqref="I41"/>
    </sheetView>
  </sheetViews>
  <sheetFormatPr defaultRowHeight="14.25"/>
  <cols>
    <col min="1" max="1" width="16.75" customWidth="1"/>
    <col min="2" max="2" width="10.625" customWidth="1"/>
    <col min="3" max="3" width="11" customWidth="1"/>
    <col min="4" max="4" width="10.625" customWidth="1"/>
    <col min="5" max="5" width="13.125" customWidth="1"/>
    <col min="6" max="6" width="9.375" customWidth="1"/>
    <col min="7" max="7" width="11" customWidth="1"/>
    <col min="8" max="10" width="10.625" customWidth="1"/>
    <col min="11" max="11" width="12.375" customWidth="1"/>
    <col min="12" max="12" width="11.875" customWidth="1"/>
    <col min="13" max="13" width="12.375" customWidth="1"/>
    <col min="14" max="14" width="11.875" customWidth="1"/>
    <col min="15" max="15" width="10.625" customWidth="1"/>
    <col min="16" max="16" width="13.375" customWidth="1"/>
    <col min="17" max="17" width="10.625" customWidth="1"/>
    <col min="18" max="18" width="9.875" customWidth="1"/>
    <col min="19" max="21" width="10.625" customWidth="1"/>
    <col min="22" max="22" width="9.875" customWidth="1"/>
    <col min="23" max="28" width="10.625" hidden="1" customWidth="1"/>
    <col min="29" max="34" width="10.625" customWidth="1"/>
    <col min="35" max="35" width="10.625" hidden="1" customWidth="1"/>
    <col min="36" max="48" width="9" hidden="1" customWidth="1"/>
    <col min="49" max="49" width="11.125" hidden="1" customWidth="1"/>
    <col min="50" max="61" width="9" hidden="1" customWidth="1"/>
    <col min="62" max="62" width="10.5" hidden="1" customWidth="1"/>
    <col min="63" max="67" width="9" hidden="1" customWidth="1"/>
  </cols>
  <sheetData>
    <row r="1" spans="1:62" ht="16.5">
      <c r="A1" s="1"/>
      <c r="B1" s="1" t="s">
        <v>0</v>
      </c>
      <c r="C1" s="1" t="s">
        <v>81</v>
      </c>
      <c r="D1" s="1" t="s">
        <v>1</v>
      </c>
      <c r="E1" s="1" t="s">
        <v>83</v>
      </c>
      <c r="F1" s="1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BJ1" s="1"/>
    </row>
    <row r="2" spans="1:62" ht="16.5">
      <c r="A2" s="1"/>
      <c r="B2" s="1" t="s">
        <v>3</v>
      </c>
      <c r="C2" s="1" t="s">
        <v>82</v>
      </c>
      <c r="D2" s="27" t="s">
        <v>92</v>
      </c>
      <c r="E2" s="1" t="s">
        <v>93</v>
      </c>
      <c r="F2" s="1" t="s">
        <v>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BJ2" s="1"/>
    </row>
    <row r="3" spans="1:62" ht="16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BJ3" s="1"/>
    </row>
    <row r="4" spans="1:62" ht="16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BJ4" s="1"/>
    </row>
    <row r="5" spans="1:62" ht="21">
      <c r="A5" s="39" t="s">
        <v>49</v>
      </c>
      <c r="B5" s="39"/>
      <c r="C5" s="10"/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BJ5" s="1"/>
    </row>
    <row r="6" spans="1:62" ht="16.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BJ6" s="1"/>
    </row>
    <row r="7" spans="1:62" ht="16.5">
      <c r="A7" s="37" t="s">
        <v>94</v>
      </c>
      <c r="B7" s="37" t="s">
        <v>5</v>
      </c>
      <c r="C7" s="45" t="s">
        <v>6</v>
      </c>
      <c r="D7" s="46"/>
      <c r="E7" s="46"/>
      <c r="F7" s="46"/>
      <c r="G7" s="47"/>
      <c r="H7" s="31" t="s">
        <v>7</v>
      </c>
      <c r="I7" s="32"/>
      <c r="J7" s="32"/>
      <c r="K7" s="32"/>
      <c r="L7" s="32"/>
      <c r="M7" s="32"/>
      <c r="N7" s="33"/>
      <c r="O7" s="34" t="s">
        <v>9</v>
      </c>
      <c r="P7" s="35"/>
      <c r="Q7" s="35"/>
      <c r="R7" s="36"/>
      <c r="S7" s="48" t="s">
        <v>10</v>
      </c>
      <c r="T7" s="48"/>
      <c r="U7" s="48"/>
      <c r="V7" s="48"/>
      <c r="W7" s="45" t="s">
        <v>11</v>
      </c>
      <c r="X7" s="46"/>
      <c r="Y7" s="46"/>
      <c r="Z7" s="46"/>
      <c r="AA7" s="46"/>
      <c r="AB7" s="47"/>
      <c r="AC7" s="43" t="s">
        <v>8</v>
      </c>
      <c r="AD7" s="44"/>
      <c r="AE7" s="40" t="s">
        <v>97</v>
      </c>
      <c r="AF7" s="41"/>
      <c r="AG7" s="41"/>
      <c r="AH7" s="42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BJ7" s="1"/>
    </row>
    <row r="8" spans="1:68" s="14" customFormat="1" ht="45">
      <c r="A8" s="38"/>
      <c r="B8" s="38"/>
      <c r="C8" s="2" t="s">
        <v>52</v>
      </c>
      <c r="D8" s="2" t="s">
        <v>12</v>
      </c>
      <c r="E8" s="2" t="s">
        <v>13</v>
      </c>
      <c r="F8" s="2" t="s">
        <v>14</v>
      </c>
      <c r="G8" s="2" t="s">
        <v>15</v>
      </c>
      <c r="H8" s="3" t="s">
        <v>16</v>
      </c>
      <c r="I8" s="4" t="s">
        <v>69</v>
      </c>
      <c r="J8" s="3" t="s">
        <v>63</v>
      </c>
      <c r="K8" s="3" t="s">
        <v>64</v>
      </c>
      <c r="L8" s="3" t="s">
        <v>79</v>
      </c>
      <c r="M8" s="3" t="s">
        <v>78</v>
      </c>
      <c r="N8" s="3" t="s">
        <v>77</v>
      </c>
      <c r="O8" s="6" t="s">
        <v>17</v>
      </c>
      <c r="P8" s="6" t="s">
        <v>95</v>
      </c>
      <c r="Q8" s="6" t="s">
        <v>18</v>
      </c>
      <c r="R8" s="6" t="s">
        <v>20</v>
      </c>
      <c r="S8" s="7" t="s">
        <v>21</v>
      </c>
      <c r="T8" s="7" t="s">
        <v>22</v>
      </c>
      <c r="U8" s="7" t="s">
        <v>17</v>
      </c>
      <c r="V8" s="7" t="s">
        <v>20</v>
      </c>
      <c r="W8" s="2" t="s">
        <v>88</v>
      </c>
      <c r="X8" s="2" t="s">
        <v>23</v>
      </c>
      <c r="Y8" s="2" t="s">
        <v>89</v>
      </c>
      <c r="Z8" s="2" t="s">
        <v>90</v>
      </c>
      <c r="AA8" s="2" t="s">
        <v>24</v>
      </c>
      <c r="AB8" s="2" t="s">
        <v>91</v>
      </c>
      <c r="AC8" s="5" t="s">
        <v>17</v>
      </c>
      <c r="AD8" s="5" t="s">
        <v>19</v>
      </c>
      <c r="AE8" s="28" t="s">
        <v>98</v>
      </c>
      <c r="AF8" s="28" t="s">
        <v>104</v>
      </c>
      <c r="AG8" s="28" t="s">
        <v>99</v>
      </c>
      <c r="AH8" s="28" t="s">
        <v>100</v>
      </c>
      <c r="AI8" s="12" t="s">
        <v>85</v>
      </c>
      <c r="AJ8" s="12" t="s">
        <v>25</v>
      </c>
      <c r="AK8" s="13" t="s">
        <v>26</v>
      </c>
      <c r="AL8" s="13" t="s">
        <v>27</v>
      </c>
      <c r="AM8" s="13" t="s">
        <v>28</v>
      </c>
      <c r="AN8" s="13" t="s">
        <v>29</v>
      </c>
      <c r="AO8" s="13" t="s">
        <v>30</v>
      </c>
      <c r="AP8" s="13" t="s">
        <v>31</v>
      </c>
      <c r="AQ8" s="13" t="s">
        <v>32</v>
      </c>
      <c r="AR8" s="13" t="s">
        <v>33</v>
      </c>
      <c r="AS8" s="13" t="s">
        <v>34</v>
      </c>
      <c r="AT8" s="13" t="s">
        <v>35</v>
      </c>
      <c r="AU8" s="13" t="s">
        <v>36</v>
      </c>
      <c r="AV8" s="13" t="s">
        <v>37</v>
      </c>
      <c r="AW8" s="13" t="s">
        <v>38</v>
      </c>
      <c r="AX8" s="13" t="s">
        <v>39</v>
      </c>
      <c r="AY8" s="13" t="s">
        <v>40</v>
      </c>
      <c r="AZ8" s="13" t="s">
        <v>65</v>
      </c>
      <c r="BA8" s="13" t="s">
        <v>66</v>
      </c>
      <c r="BB8" s="13" t="s">
        <v>67</v>
      </c>
      <c r="BC8" s="13" t="s">
        <v>68</v>
      </c>
      <c r="BD8" s="24" t="s">
        <v>71</v>
      </c>
      <c r="BE8" s="24" t="s">
        <v>72</v>
      </c>
      <c r="BF8" s="24" t="s">
        <v>73</v>
      </c>
      <c r="BG8" s="24" t="s">
        <v>74</v>
      </c>
      <c r="BH8" s="24" t="s">
        <v>75</v>
      </c>
      <c r="BI8" s="24" t="s">
        <v>76</v>
      </c>
      <c r="BJ8" s="13" t="s">
        <v>53</v>
      </c>
      <c r="BK8" s="13" t="s">
        <v>54</v>
      </c>
      <c r="BL8" s="13" t="s">
        <v>55</v>
      </c>
      <c r="BM8" s="13" t="s">
        <v>62</v>
      </c>
      <c r="BN8" s="13" t="s">
        <v>58</v>
      </c>
      <c r="BO8" s="13" t="s">
        <v>59</v>
      </c>
      <c r="BP8" s="23" t="s">
        <v>70</v>
      </c>
    </row>
    <row r="9" spans="1:67" s="15" customFormat="1" ht="16.5">
      <c r="A9" s="16" t="s">
        <v>106</v>
      </c>
      <c r="B9" s="16" t="s">
        <v>107</v>
      </c>
      <c r="C9" s="17">
        <f>IFERROR(AL9/BJ9,"")</f>
        <v>0.9772727272727273</v>
      </c>
      <c r="D9" s="18">
        <f>IFERROR(AJ9/AN9,"")</f>
        <v>17.571428571428573</v>
      </c>
      <c r="E9" s="17">
        <f>IFERROR(D9/BK9,"")</f>
        <v>0.08785714285714287</v>
      </c>
      <c r="F9" s="18">
        <f>IFERROR(AK9/AN9,"")</f>
        <v>2.9976190476190476</v>
      </c>
      <c r="G9" s="17">
        <f>IFERROR(F9/BL9,"")</f>
        <v>0.1199047619047619</v>
      </c>
      <c r="H9" s="18">
        <f>IFERROR(AX9/AY9,"")</f>
        <v>6.774358974358975</v>
      </c>
      <c r="I9" s="17" t="str">
        <f>IFERROR(H9/BM9,"-")</f>
        <v>-</v>
      </c>
      <c r="J9" s="18" t="str">
        <f>IFERROR(AZ9/BA9,"")</f>
        <v/>
      </c>
      <c r="K9" s="18">
        <f>IFERROR(BB9/BC9,"")</f>
        <v>6.774358974358975</v>
      </c>
      <c r="L9" s="18" t="str">
        <f>IFERROR(BD9/BE9,"")</f>
        <v/>
      </c>
      <c r="M9" s="18">
        <f>IFERROR(BF9/BG9,"")</f>
        <v>6.774358974358975</v>
      </c>
      <c r="N9" s="18" t="str">
        <f>IFERROR(BH9/BI9,"")</f>
        <v/>
      </c>
      <c r="O9" s="19">
        <f>IFERROR(AO9/AQ9,"")</f>
        <v>3.3529411764705883</v>
      </c>
      <c r="P9" s="19">
        <v>3.2857142857142856</v>
      </c>
      <c r="Q9" s="17" t="str">
        <f>IFERROR(O9/BN9,"-")</f>
        <v>-</v>
      </c>
      <c r="R9" s="19">
        <f>IFERROR(AP9/AR9,"")</f>
        <v>0.9388888888888889</v>
      </c>
      <c r="S9" s="30">
        <f>IFERROR(AU9,"")</f>
        <v>26.0</v>
      </c>
      <c r="T9" s="17">
        <f>IFERROR(AU9/AW9-1,"")</f>
        <v>0.30000000000000004</v>
      </c>
      <c r="U9" s="19">
        <f>IFERROR(AS9/AU9,"")</f>
        <v>2.5384615384615383</v>
      </c>
      <c r="V9" s="19">
        <f>IFERROR(AT9/AV9,"")</f>
        <v>0.40588235294117647</v>
      </c>
      <c r="W9" s="16">
        <v>34.0</v>
      </c>
      <c r="X9" s="16">
        <v>15.0</v>
      </c>
      <c r="Y9" s="17">
        <f>IFERROR(X9/W9,"")</f>
        <v>0.4411764705882353</v>
      </c>
      <c r="Z9" s="16">
        <v>0.0</v>
      </c>
      <c r="AA9" s="16">
        <v>0.0</v>
      </c>
      <c r="AB9" s="17" t="str">
        <f>IFERROR(AA9/Z9,"")</f>
        <v/>
      </c>
      <c r="AC9" s="19">
        <f>IFERROR(AJ9/AL9,"")</f>
        <v>2.86046511627907</v>
      </c>
      <c r="AD9" s="19">
        <f>IFERROR(AK9/AM9,"")</f>
        <v>0.6557291666666667</v>
      </c>
      <c r="AE9" s="30">
        <v>10.0</v>
      </c>
      <c r="AF9" s="49">
        <v>0.6</v>
      </c>
      <c r="AG9" s="30">
        <v>15.0</v>
      </c>
      <c r="AH9" s="29">
        <v>0.3333333333333333</v>
      </c>
      <c r="AI9" s="17" t="str">
        <f>IFERROR(U9/BO9,"-")</f>
        <v>-</v>
      </c>
      <c r="AJ9" s="16">
        <v>123.0</v>
      </c>
      <c r="AK9" s="18">
        <v>20.983333333333334</v>
      </c>
      <c r="AL9" s="16">
        <v>43.0</v>
      </c>
      <c r="AM9" s="16">
        <v>32.0</v>
      </c>
      <c r="AN9" s="16">
        <v>7.0</v>
      </c>
      <c r="AO9" s="16">
        <v>57.0</v>
      </c>
      <c r="AP9" s="18">
        <v>14.083333333333334</v>
      </c>
      <c r="AQ9" s="16">
        <v>17.0</v>
      </c>
      <c r="AR9" s="16">
        <v>15.0</v>
      </c>
      <c r="AS9" s="16">
        <v>66.0</v>
      </c>
      <c r="AT9" s="18">
        <v>6.9</v>
      </c>
      <c r="AU9" s="16">
        <v>26.0</v>
      </c>
      <c r="AV9" s="16">
        <v>17.0</v>
      </c>
      <c r="AW9" s="16">
        <v>20.0</v>
      </c>
      <c r="AX9" s="18">
        <v>88.06666666666668</v>
      </c>
      <c r="AY9" s="16">
        <v>13.0</v>
      </c>
      <c r="AZ9" s="18">
        <v>0.0</v>
      </c>
      <c r="BA9" s="16">
        <v>0.0</v>
      </c>
      <c r="BB9" s="18">
        <v>88.06666666666668</v>
      </c>
      <c r="BC9" s="16">
        <v>13.0</v>
      </c>
      <c r="BD9" s="18">
        <v>0.0</v>
      </c>
      <c r="BE9" s="16">
        <v>0.0</v>
      </c>
      <c r="BF9" s="18">
        <v>88.06666666666668</v>
      </c>
      <c r="BG9" s="16">
        <v>13.0</v>
      </c>
      <c r="BH9" s="18">
        <v>0.0</v>
      </c>
      <c r="BI9" s="16">
        <v>0.0</v>
      </c>
      <c r="BJ9" s="16">
        <v>44.0</v>
      </c>
      <c r="BK9" s="16">
        <v>200.0</v>
      </c>
      <c r="BL9" s="16">
        <v>25.0</v>
      </c>
      <c r="BM9" s="16" t="str">
        <f>IF(B9="总计",30,"-")</f>
        <v>-</v>
      </c>
      <c r="BN9" s="16" t="str">
        <f>IF(B9="总计",10,"-")</f>
        <v>-</v>
      </c>
      <c r="BO9" s="16" t="str">
        <f>IF(B9="总计",1,"-")</f>
        <v>-</v>
      </c>
    </row>
    <row r="10" spans="1:67" s="15" customFormat="1" ht="16.5">
      <c r="A10" s="16"/>
      <c r="B10" s="16" t="s">
        <v>108</v>
      </c>
      <c r="C10" s="17">
        <f>IFERROR(AL10/BJ10,"")</f>
        <v>0.96</v>
      </c>
      <c r="D10" s="18">
        <f>IFERROR(AJ10/AN10,"")</f>
        <v>8.428571428571429</v>
      </c>
      <c r="E10" s="17">
        <f>IFERROR(D10/BK10,"")</f>
        <v>0.04214285714285714</v>
      </c>
      <c r="F10" s="18">
        <f>IFERROR(AK10/AN10,"")</f>
        <v>0.7333333333333334</v>
      </c>
      <c r="G10" s="17">
        <f>IFERROR(F10/BL10,"")</f>
        <v>0.029333333333333336</v>
      </c>
      <c r="H10" s="18" t="str">
        <f>IFERROR(AX10/AY10,"")</f>
        <v/>
      </c>
      <c r="I10" s="17" t="str">
        <f>IFERROR(H10/BM10,"-")</f>
        <v>-</v>
      </c>
      <c r="J10" s="18" t="str">
        <f>IFERROR(AZ10/BA10,"")</f>
        <v/>
      </c>
      <c r="K10" s="18" t="str">
        <f>IFERROR(BB10/BC10,"")</f>
        <v/>
      </c>
      <c r="L10" s="18" t="str">
        <f>IFERROR(BD10/BE10,"")</f>
        <v/>
      </c>
      <c r="M10" s="18" t="str">
        <f>IFERROR(BF10/BG10,"")</f>
        <v/>
      </c>
      <c r="N10" s="18" t="str">
        <f>IFERROR(BH10/BI10,"")</f>
        <v/>
      </c>
      <c r="O10" s="19">
        <f>IFERROR(AO10/AQ10,"")</f>
        <v>1.6153846153846154</v>
      </c>
      <c r="P10" s="19">
        <v>1.6666666666666667</v>
      </c>
      <c r="Q10" s="17" t="str">
        <f>IFERROR(O10/BN10,"-")</f>
        <v>-</v>
      </c>
      <c r="R10" s="19">
        <f>IFERROR(AP10/AR10,"")</f>
        <v>0.35333333333333333</v>
      </c>
      <c r="S10" s="30">
        <f>IFERROR(AU10,"")</f>
        <v>11.0</v>
      </c>
      <c r="T10" s="17">
        <f>IFERROR(AU10/AW10-1,"")</f>
        <v>-0.2142857142857143</v>
      </c>
      <c r="U10" s="19">
        <f>IFERROR(AS10/AU10,"")</f>
        <v>3.4545454545454546</v>
      </c>
      <c r="V10" s="19">
        <f>IFERROR(AT10/AV10,"")</f>
        <v>0.4</v>
      </c>
      <c r="W10" s="16">
        <v>0.0</v>
      </c>
      <c r="X10" s="16">
        <v>1.0</v>
      </c>
      <c r="Y10" s="17" t="str">
        <f>IFERROR(X10/W10,"")</f>
        <v/>
      </c>
      <c r="Z10" s="16">
        <v>0.0</v>
      </c>
      <c r="AA10" s="16">
        <v>0.0</v>
      </c>
      <c r="AB10" s="17" t="str">
        <f>IFERROR(AA10/Z10,"")</f>
        <v/>
      </c>
      <c r="AC10" s="19">
        <f>IFERROR(AJ10/AL10,"")</f>
        <v>2.4583333333333335</v>
      </c>
      <c r="AD10" s="19">
        <f>IFERROR(AK10/AM10,"")</f>
        <v>0.3666666666666667</v>
      </c>
      <c r="AE10" s="30">
        <v>1.0</v>
      </c>
      <c r="AF10" s="49">
        <v>1.0</v>
      </c>
      <c r="AG10" s="30">
        <v>2.0</v>
      </c>
      <c r="AH10" s="29">
        <v>0.5</v>
      </c>
      <c r="AI10" s="17" t="str">
        <f>IFERROR(U10/BO10,"-")</f>
        <v>-</v>
      </c>
      <c r="AJ10" s="16">
        <v>59.0</v>
      </c>
      <c r="AK10" s="18">
        <v>5.133333333333334</v>
      </c>
      <c r="AL10" s="16">
        <v>24.0</v>
      </c>
      <c r="AM10" s="16">
        <v>14.0</v>
      </c>
      <c r="AN10" s="16">
        <v>7.0</v>
      </c>
      <c r="AO10" s="16">
        <v>21.0</v>
      </c>
      <c r="AP10" s="18">
        <v>3.533333333333333</v>
      </c>
      <c r="AQ10" s="16">
        <v>13.0</v>
      </c>
      <c r="AR10" s="16">
        <v>10.0</v>
      </c>
      <c r="AS10" s="16">
        <v>38.0</v>
      </c>
      <c r="AT10" s="18">
        <v>1.6</v>
      </c>
      <c r="AU10" s="16">
        <v>11.0</v>
      </c>
      <c r="AV10" s="16">
        <v>4.0</v>
      </c>
      <c r="AW10" s="16">
        <v>14.0</v>
      </c>
      <c r="AX10" s="18">
        <v>0.0</v>
      </c>
      <c r="AY10" s="16">
        <v>0.0</v>
      </c>
      <c r="AZ10" s="18">
        <v>0.0</v>
      </c>
      <c r="BA10" s="16">
        <v>0.0</v>
      </c>
      <c r="BB10" s="18">
        <v>0.0</v>
      </c>
      <c r="BC10" s="16">
        <v>0.0</v>
      </c>
      <c r="BD10" s="18">
        <v>0.0</v>
      </c>
      <c r="BE10" s="16">
        <v>0.0</v>
      </c>
      <c r="BF10" s="18">
        <v>0.0</v>
      </c>
      <c r="BG10" s="16">
        <v>0.0</v>
      </c>
      <c r="BH10" s="18">
        <v>0.0</v>
      </c>
      <c r="BI10" s="16">
        <v>0.0</v>
      </c>
      <c r="BJ10" s="16">
        <v>25.0</v>
      </c>
      <c r="BK10" s="16">
        <v>200.0</v>
      </c>
      <c r="BL10" s="16">
        <v>25.0</v>
      </c>
      <c r="BM10" s="16" t="str">
        <f>IF(B10="总计",30,"-")</f>
        <v>-</v>
      </c>
      <c r="BN10" s="16" t="str">
        <f>IF(B10="总计",10,"-")</f>
        <v>-</v>
      </c>
      <c r="BO10" s="16" t="str">
        <f>IF(B10="总计",1,"-")</f>
        <v>-</v>
      </c>
    </row>
    <row r="11" spans="1:67" s="15" customFormat="1" ht="16.5">
      <c r="A11" s="16"/>
      <c r="B11" s="16" t="s">
        <v>109</v>
      </c>
      <c r="C11" s="17">
        <f>IFERROR(AL11/BJ11,"")</f>
        <v>1.0</v>
      </c>
      <c r="D11" s="18">
        <f>IFERROR(AJ11/AN11,"")</f>
        <v>25.428571428571427</v>
      </c>
      <c r="E11" s="17">
        <f>IFERROR(D11/BK11,"")</f>
        <v>0.12714285714285714</v>
      </c>
      <c r="F11" s="18">
        <f>IFERROR(AK11/AN11,"")</f>
        <v>4.928571428571429</v>
      </c>
      <c r="G11" s="17">
        <f>IFERROR(F11/BL11,"")</f>
        <v>0.19714285714285715</v>
      </c>
      <c r="H11" s="18">
        <f>IFERROR(AX11/AY11,"")</f>
        <v>11.468421052631578</v>
      </c>
      <c r="I11" s="17" t="str">
        <f>IFERROR(H11/BM11,"-")</f>
        <v>-</v>
      </c>
      <c r="J11" s="18" t="str">
        <f>IFERROR(AZ11/BA11,"")</f>
        <v/>
      </c>
      <c r="K11" s="18">
        <f>IFERROR(BB11/BC11,"")</f>
        <v>11.468421052631578</v>
      </c>
      <c r="L11" s="18" t="str">
        <f>IFERROR(BD11/BE11,"")</f>
        <v/>
      </c>
      <c r="M11" s="18">
        <f>IFERROR(BF11/BG11,"")</f>
        <v>11.468421052631578</v>
      </c>
      <c r="N11" s="18" t="str">
        <f>IFERROR(BH11/BI11,"")</f>
        <v/>
      </c>
      <c r="O11" s="19">
        <f>IFERROR(AO11/AQ11,"")</f>
        <v>3.1333333333333333</v>
      </c>
      <c r="P11" s="19">
        <v>2.857142857142857</v>
      </c>
      <c r="Q11" s="17" t="str">
        <f>IFERROR(O11/BN11,"-")</f>
        <v>-</v>
      </c>
      <c r="R11" s="19">
        <f>IFERROR(AP11/AR11,"")</f>
        <v>0.9532051282051283</v>
      </c>
      <c r="S11" s="30">
        <f>IFERROR(AU11,"")</f>
        <v>34.0</v>
      </c>
      <c r="T11" s="17">
        <f>IFERROR(AU11/AW11-1,"")</f>
        <v>-0.1707317073170732</v>
      </c>
      <c r="U11" s="19">
        <f>IFERROR(AS11/AU11,"")</f>
        <v>2.4705882352941178</v>
      </c>
      <c r="V11" s="19">
        <f>IFERROR(AT11/AV11,"")</f>
        <v>0.4048611111111111</v>
      </c>
      <c r="W11" s="16">
        <v>45.0</v>
      </c>
      <c r="X11" s="16">
        <v>28.0</v>
      </c>
      <c r="Y11" s="17">
        <f>IFERROR(X11/W11,"")</f>
        <v>0.6222222222222222</v>
      </c>
      <c r="Z11" s="16">
        <v>0.0</v>
      </c>
      <c r="AA11" s="16">
        <v>0.0</v>
      </c>
      <c r="AB11" s="17" t="str">
        <f>IFERROR(AA11/Z11,"")</f>
        <v/>
      </c>
      <c r="AC11" s="19">
        <f>IFERROR(AJ11/AL11,"")</f>
        <v>2.78125</v>
      </c>
      <c r="AD11" s="19">
        <f>IFERROR(AK11/AM11,"")</f>
        <v>0.69</v>
      </c>
      <c r="AE11" s="30">
        <v>8.0</v>
      </c>
      <c r="AF11" s="49">
        <v>0.625</v>
      </c>
      <c r="AG11" s="30">
        <v>29.0</v>
      </c>
      <c r="AH11" s="29">
        <v>0.4482758620689655</v>
      </c>
      <c r="AI11" s="17" t="str">
        <f>IFERROR(U11/BO11,"-")</f>
        <v>-</v>
      </c>
      <c r="AJ11" s="16">
        <v>178.0</v>
      </c>
      <c r="AK11" s="18">
        <v>34.5</v>
      </c>
      <c r="AL11" s="16">
        <v>64.0</v>
      </c>
      <c r="AM11" s="16">
        <v>50.0</v>
      </c>
      <c r="AN11" s="16">
        <v>7.0</v>
      </c>
      <c r="AO11" s="16">
        <v>94.0</v>
      </c>
      <c r="AP11" s="18">
        <v>24.783333333333335</v>
      </c>
      <c r="AQ11" s="16">
        <v>30.0</v>
      </c>
      <c r="AR11" s="16">
        <v>26.0</v>
      </c>
      <c r="AS11" s="16">
        <v>84.0</v>
      </c>
      <c r="AT11" s="18">
        <v>9.716666666666667</v>
      </c>
      <c r="AU11" s="16">
        <v>34.0</v>
      </c>
      <c r="AV11" s="16">
        <v>24.0</v>
      </c>
      <c r="AW11" s="16">
        <v>41.0</v>
      </c>
      <c r="AX11" s="18">
        <v>217.9</v>
      </c>
      <c r="AY11" s="16">
        <v>19.0</v>
      </c>
      <c r="AZ11" s="18">
        <v>0.0</v>
      </c>
      <c r="BA11" s="16">
        <v>0.0</v>
      </c>
      <c r="BB11" s="18">
        <v>217.9</v>
      </c>
      <c r="BC11" s="16">
        <v>19.0</v>
      </c>
      <c r="BD11" s="18">
        <v>0.0</v>
      </c>
      <c r="BE11" s="16">
        <v>0.0</v>
      </c>
      <c r="BF11" s="18">
        <v>217.9</v>
      </c>
      <c r="BG11" s="16">
        <v>19.0</v>
      </c>
      <c r="BH11" s="18">
        <v>0.0</v>
      </c>
      <c r="BI11" s="16">
        <v>0.0</v>
      </c>
      <c r="BJ11" s="16">
        <v>64.0</v>
      </c>
      <c r="BK11" s="16">
        <v>200.0</v>
      </c>
      <c r="BL11" s="16">
        <v>25.0</v>
      </c>
      <c r="BM11" s="16" t="str">
        <f>IF(B11="总计",30,"-")</f>
        <v>-</v>
      </c>
      <c r="BN11" s="16" t="str">
        <f>IF(B11="总计",10,"-")</f>
        <v>-</v>
      </c>
      <c r="BO11" s="16" t="str">
        <f>IF(B11="总计",1,"-")</f>
        <v>-</v>
      </c>
    </row>
    <row r="12" spans="1:67" s="15" customFormat="1" ht="16.5">
      <c r="A12" s="16"/>
      <c r="B12" s="16" t="s">
        <v>110</v>
      </c>
      <c r="C12" s="17">
        <f>IFERROR(AL12/BJ12,"")</f>
        <v>1.0</v>
      </c>
      <c r="D12" s="18">
        <f>IFERROR(AJ12/AN12,"")</f>
        <v>19.0</v>
      </c>
      <c r="E12" s="17">
        <f>IFERROR(D12/BK12,"")</f>
        <v>0.095</v>
      </c>
      <c r="F12" s="18">
        <f>IFERROR(AK12/AN12,"")</f>
        <v>3.3285714285714287</v>
      </c>
      <c r="G12" s="17">
        <f>IFERROR(F12/BL12,"")</f>
        <v>0.13314285714285715</v>
      </c>
      <c r="H12" s="18">
        <f>IFERROR(AX12/AY12,"")</f>
        <v>6.7555555555555555</v>
      </c>
      <c r="I12" s="17" t="str">
        <f>IFERROR(H12/BM12,"-")</f>
        <v>-</v>
      </c>
      <c r="J12" s="18" t="str">
        <f>IFERROR(AZ12/BA12,"")</f>
        <v/>
      </c>
      <c r="K12" s="18">
        <f>IFERROR(BB12/BC12,"")</f>
        <v>6.7555555555555555</v>
      </c>
      <c r="L12" s="18" t="str">
        <f>IFERROR(BD12/BE12,"")</f>
        <v/>
      </c>
      <c r="M12" s="18">
        <f>IFERROR(BF12/BG12,"")</f>
        <v>6.7555555555555555</v>
      </c>
      <c r="N12" s="18" t="str">
        <f>IFERROR(BH12/BI12,"")</f>
        <v/>
      </c>
      <c r="O12" s="19">
        <f>IFERROR(AO12/AQ12,"")</f>
        <v>3.2413793103448274</v>
      </c>
      <c r="P12" s="19">
        <v>3.3</v>
      </c>
      <c r="Q12" s="17" t="str">
        <f>IFERROR(O12/BN12,"-")</f>
        <v>-</v>
      </c>
      <c r="R12" s="19">
        <f>IFERROR(AP12/AR12,"")</f>
        <v>0.7946666666666666</v>
      </c>
      <c r="S12" s="30">
        <f>IFERROR(AU12,"")</f>
        <v>16.0</v>
      </c>
      <c r="T12" s="17">
        <f>IFERROR(AU12/AW12-1,"")</f>
        <v>0.06666666666666665</v>
      </c>
      <c r="U12" s="19">
        <f>IFERROR(AS12/AU12,"")</f>
        <v>2.4375</v>
      </c>
      <c r="V12" s="19">
        <f>IFERROR(AT12/AV12,"")</f>
        <v>0.2861111111111111</v>
      </c>
      <c r="W12" s="16">
        <v>40.0</v>
      </c>
      <c r="X12" s="16">
        <v>22.0</v>
      </c>
      <c r="Y12" s="17">
        <f>IFERROR(X12/W12,"")</f>
        <v>0.55</v>
      </c>
      <c r="Z12" s="16">
        <v>0.0</v>
      </c>
      <c r="AA12" s="16">
        <v>0.0</v>
      </c>
      <c r="AB12" s="17" t="str">
        <f>IFERROR(AA12/Z12,"")</f>
        <v/>
      </c>
      <c r="AC12" s="19">
        <f>IFERROR(AJ12/AL12,"")</f>
        <v>2.9555555555555557</v>
      </c>
      <c r="AD12" s="19">
        <f>IFERROR(AK12/AM12,"")</f>
        <v>0.6297297297297297</v>
      </c>
      <c r="AE12" s="30">
        <v>4.0</v>
      </c>
      <c r="AF12" s="49">
        <v>0.5</v>
      </c>
      <c r="AG12" s="30">
        <v>20.0</v>
      </c>
      <c r="AH12" s="29">
        <v>0.4</v>
      </c>
      <c r="AI12" s="17" t="str">
        <f>IFERROR(U12/BO12,"-")</f>
        <v>-</v>
      </c>
      <c r="AJ12" s="16">
        <v>133.0</v>
      </c>
      <c r="AK12" s="18">
        <v>23.3</v>
      </c>
      <c r="AL12" s="16">
        <v>45.0</v>
      </c>
      <c r="AM12" s="16">
        <v>37.0</v>
      </c>
      <c r="AN12" s="16">
        <v>7.0</v>
      </c>
      <c r="AO12" s="16">
        <v>94.0</v>
      </c>
      <c r="AP12" s="18">
        <v>19.866666666666667</v>
      </c>
      <c r="AQ12" s="16">
        <v>29.0</v>
      </c>
      <c r="AR12" s="16">
        <v>25.0</v>
      </c>
      <c r="AS12" s="16">
        <v>39.0</v>
      </c>
      <c r="AT12" s="18">
        <v>3.433333333333333</v>
      </c>
      <c r="AU12" s="16">
        <v>16.0</v>
      </c>
      <c r="AV12" s="16">
        <v>12.0</v>
      </c>
      <c r="AW12" s="16">
        <v>15.0</v>
      </c>
      <c r="AX12" s="18">
        <v>81.06666666666666</v>
      </c>
      <c r="AY12" s="16">
        <v>12.0</v>
      </c>
      <c r="AZ12" s="18">
        <v>0.0</v>
      </c>
      <c r="BA12" s="16">
        <v>0.0</v>
      </c>
      <c r="BB12" s="18">
        <v>81.06666666666666</v>
      </c>
      <c r="BC12" s="16">
        <v>12.0</v>
      </c>
      <c r="BD12" s="18">
        <v>0.0</v>
      </c>
      <c r="BE12" s="16">
        <v>0.0</v>
      </c>
      <c r="BF12" s="18">
        <v>81.06666666666666</v>
      </c>
      <c r="BG12" s="16">
        <v>12.0</v>
      </c>
      <c r="BH12" s="18">
        <v>0.0</v>
      </c>
      <c r="BI12" s="16">
        <v>0.0</v>
      </c>
      <c r="BJ12" s="16">
        <v>45.0</v>
      </c>
      <c r="BK12" s="16">
        <v>200.0</v>
      </c>
      <c r="BL12" s="16">
        <v>25.0</v>
      </c>
      <c r="BM12" s="16" t="str">
        <f>IF(B12="总计",30,"-")</f>
        <v>-</v>
      </c>
      <c r="BN12" s="16" t="str">
        <f>IF(B12="总计",10,"-")</f>
        <v>-</v>
      </c>
      <c r="BO12" s="16" t="str">
        <f>IF(B12="总计",1,"-")</f>
        <v>-</v>
      </c>
    </row>
    <row r="13" spans="1:67" s="15" customFormat="1" ht="16.5">
      <c r="A13" s="16"/>
      <c r="B13" s="16" t="s">
        <v>111</v>
      </c>
      <c r="C13" s="17">
        <f>IFERROR(AL13/BJ13,"")</f>
        <v>0.9887640449438202</v>
      </c>
      <c r="D13" s="18">
        <f>IFERROR(AJ13/AN13,"")</f>
        <v>20.285714285714285</v>
      </c>
      <c r="E13" s="17">
        <f>IFERROR(D13/BK13,"")</f>
        <v>0.10142857142857142</v>
      </c>
      <c r="F13" s="18">
        <f>IFERROR(AK13/AN13,"")</f>
        <v>3.5690476190476192</v>
      </c>
      <c r="G13" s="17">
        <f>IFERROR(F13/BL13,"")</f>
        <v>0.14276190476190476</v>
      </c>
      <c r="H13" s="18">
        <f>IFERROR(AX13/AY13,"")</f>
        <v>6.689393939393939</v>
      </c>
      <c r="I13" s="17" t="str">
        <f>IFERROR(H13/BM13,"-")</f>
        <v>-</v>
      </c>
      <c r="J13" s="18" t="str">
        <f>IFERROR(AZ13/BA13,"")</f>
        <v/>
      </c>
      <c r="K13" s="18">
        <f>IFERROR(BB13/BC13,"")</f>
        <v>6.689393939393939</v>
      </c>
      <c r="L13" s="18" t="str">
        <f>IFERROR(BD13/BE13,"")</f>
        <v/>
      </c>
      <c r="M13" s="18">
        <f>IFERROR(BF13/BG13,"")</f>
        <v>6.689393939393939</v>
      </c>
      <c r="N13" s="18" t="str">
        <f>IFERROR(BH13/BI13,"")</f>
        <v/>
      </c>
      <c r="O13" s="19">
        <f>IFERROR(AO13/AQ13,"")</f>
        <v>2.65</v>
      </c>
      <c r="P13" s="19">
        <v>2.6666666666666665</v>
      </c>
      <c r="Q13" s="17" t="str">
        <f>IFERROR(O13/BN13,"-")</f>
        <v>-</v>
      </c>
      <c r="R13" s="19">
        <f>IFERROR(AP13/AR13,"")</f>
        <v>1.0970588235294116</v>
      </c>
      <c r="S13" s="30">
        <f>IFERROR(AU13,"")</f>
        <v>68.0</v>
      </c>
      <c r="T13" s="17">
        <f>IFERROR(AU13/AW13-1,"")</f>
        <v>0.2592592592592593</v>
      </c>
      <c r="U13" s="19">
        <f>IFERROR(AS13/AU13,"")</f>
        <v>1.3088235294117647</v>
      </c>
      <c r="V13" s="19">
        <f>IFERROR(AT13/AV13,"")</f>
        <v>0.2043010752688172</v>
      </c>
      <c r="W13" s="16">
        <v>36.0</v>
      </c>
      <c r="X13" s="16">
        <v>18.0</v>
      </c>
      <c r="Y13" s="17">
        <f>IFERROR(X13/W13,"")</f>
        <v>0.5</v>
      </c>
      <c r="Z13" s="16">
        <v>0.0</v>
      </c>
      <c r="AA13" s="16">
        <v>0.0</v>
      </c>
      <c r="AB13" s="17" t="str">
        <f>IFERROR(AA13/Z13,"")</f>
        <v/>
      </c>
      <c r="AC13" s="19">
        <f>IFERROR(AJ13/AL13,"")</f>
        <v>1.6136363636363635</v>
      </c>
      <c r="AD13" s="19">
        <f>IFERROR(AK13/AM13,"")</f>
        <v>0.5204861111111111</v>
      </c>
      <c r="AE13" s="30">
        <v>30.0</v>
      </c>
      <c r="AF13" s="49">
        <v>0.7</v>
      </c>
      <c r="AG13" s="30">
        <v>29.0</v>
      </c>
      <c r="AH13" s="29">
        <v>0.4827586206896552</v>
      </c>
      <c r="AI13" s="17" t="str">
        <f>IFERROR(U13/BO13,"-")</f>
        <v>-</v>
      </c>
      <c r="AJ13" s="16">
        <v>142.0</v>
      </c>
      <c r="AK13" s="18">
        <v>24.983333333333334</v>
      </c>
      <c r="AL13" s="16">
        <v>88.0</v>
      </c>
      <c r="AM13" s="16">
        <v>48.0</v>
      </c>
      <c r="AN13" s="16">
        <v>7.0</v>
      </c>
      <c r="AO13" s="16">
        <v>53.0</v>
      </c>
      <c r="AP13" s="18">
        <v>18.65</v>
      </c>
      <c r="AQ13" s="16">
        <v>20.0</v>
      </c>
      <c r="AR13" s="16">
        <v>17.0</v>
      </c>
      <c r="AS13" s="16">
        <v>89.0</v>
      </c>
      <c r="AT13" s="18">
        <v>6.333333333333333</v>
      </c>
      <c r="AU13" s="16">
        <v>68.0</v>
      </c>
      <c r="AV13" s="16">
        <v>31.0</v>
      </c>
      <c r="AW13" s="16">
        <v>54.0</v>
      </c>
      <c r="AX13" s="18">
        <v>73.58333333333333</v>
      </c>
      <c r="AY13" s="16">
        <v>11.0</v>
      </c>
      <c r="AZ13" s="18">
        <v>0.0</v>
      </c>
      <c r="BA13" s="16">
        <v>0.0</v>
      </c>
      <c r="BB13" s="18">
        <v>73.58333333333333</v>
      </c>
      <c r="BC13" s="16">
        <v>11.0</v>
      </c>
      <c r="BD13" s="18">
        <v>0.0</v>
      </c>
      <c r="BE13" s="16">
        <v>0.0</v>
      </c>
      <c r="BF13" s="18">
        <v>73.58333333333333</v>
      </c>
      <c r="BG13" s="16">
        <v>11.0</v>
      </c>
      <c r="BH13" s="18">
        <v>0.0</v>
      </c>
      <c r="BI13" s="16">
        <v>0.0</v>
      </c>
      <c r="BJ13" s="16">
        <v>89.0</v>
      </c>
      <c r="BK13" s="16">
        <v>200.0</v>
      </c>
      <c r="BL13" s="16">
        <v>25.0</v>
      </c>
      <c r="BM13" s="16" t="str">
        <f>IF(B13="总计",30,"-")</f>
        <v>-</v>
      </c>
      <c r="BN13" s="16" t="str">
        <f>IF(B13="总计",10,"-")</f>
        <v>-</v>
      </c>
      <c r="BO13" s="16" t="str">
        <f>IF(B13="总计",1,"-")</f>
        <v>-</v>
      </c>
    </row>
    <row r="14" spans="1:67" s="15" customFormat="1" ht="16.5">
      <c r="A14" s="16"/>
      <c r="B14" s="16" t="s">
        <v>112</v>
      </c>
      <c r="C14" s="17">
        <f>IFERROR(AL14/BJ14,"")</f>
        <v>0.9705882352941176</v>
      </c>
      <c r="D14" s="18">
        <f>IFERROR(AJ14/AN14,"")</f>
        <v>13.142857142857142</v>
      </c>
      <c r="E14" s="17">
        <f>IFERROR(D14/BK14,"")</f>
        <v>0.06571428571428571</v>
      </c>
      <c r="F14" s="18">
        <f>IFERROR(AK14/AN14,"")</f>
        <v>2.3166666666666664</v>
      </c>
      <c r="G14" s="17">
        <f>IFERROR(F14/BL14,"")</f>
        <v>0.09266666666666666</v>
      </c>
      <c r="H14" s="18">
        <f>IFERROR(AX14/AY14,"")</f>
        <v>6.025000000000001</v>
      </c>
      <c r="I14" s="17" t="str">
        <f>IFERROR(H14/BM14,"-")</f>
        <v>-</v>
      </c>
      <c r="J14" s="18" t="str">
        <f>IFERROR(AZ14/BA14,"")</f>
        <v/>
      </c>
      <c r="K14" s="18">
        <f>IFERROR(BB14/BC14,"")</f>
        <v>6.025000000000001</v>
      </c>
      <c r="L14" s="18" t="str">
        <f>IFERROR(BD14/BE14,"")</f>
        <v/>
      </c>
      <c r="M14" s="18">
        <f>IFERROR(BF14/BG14,"")</f>
        <v>6.025000000000001</v>
      </c>
      <c r="N14" s="18" t="str">
        <f>IFERROR(BH14/BI14,"")</f>
        <v/>
      </c>
      <c r="O14" s="19">
        <f>IFERROR(AO14/AQ14,"")</f>
        <v>3.0625</v>
      </c>
      <c r="P14" s="19">
        <v>3.1333333333333333</v>
      </c>
      <c r="Q14" s="17" t="str">
        <f>IFERROR(O14/BN14,"-")</f>
        <v>-</v>
      </c>
      <c r="R14" s="19">
        <f>IFERROR(AP14/AR14,"")</f>
        <v>1.23</v>
      </c>
      <c r="S14" s="30">
        <f>IFERROR(AU14,"")</f>
        <v>17.0</v>
      </c>
      <c r="T14" s="17">
        <f>IFERROR(AU14/AW14-1,"")</f>
        <v>-0.37037037037037035</v>
      </c>
      <c r="U14" s="19">
        <f>IFERROR(AS14/AU14,"")</f>
        <v>2.5294117647058822</v>
      </c>
      <c r="V14" s="19">
        <f>IFERROR(AT14/AV14,"")</f>
        <v>0.39166666666666666</v>
      </c>
      <c r="W14" s="16">
        <v>30.0</v>
      </c>
      <c r="X14" s="16">
        <v>16.0</v>
      </c>
      <c r="Y14" s="17">
        <f>IFERROR(X14/W14,"")</f>
        <v>0.5333333333333333</v>
      </c>
      <c r="Z14" s="16">
        <v>0.0</v>
      </c>
      <c r="AA14" s="16">
        <v>0.0</v>
      </c>
      <c r="AB14" s="17" t="str">
        <f>IFERROR(AA14/Z14,"")</f>
        <v/>
      </c>
      <c r="AC14" s="19">
        <f>IFERROR(AJ14/AL14,"")</f>
        <v>2.787878787878788</v>
      </c>
      <c r="AD14" s="19">
        <f>IFERROR(AK14/AM14,"")</f>
        <v>0.8108333333333333</v>
      </c>
      <c r="AE14" s="30">
        <v>6.0</v>
      </c>
      <c r="AF14" s="49">
        <v>0.6666666666666666</v>
      </c>
      <c r="AG14" s="30">
        <v>6.0</v>
      </c>
      <c r="AH14" s="29">
        <v>0.3333333333333333</v>
      </c>
      <c r="AI14" s="17" t="str">
        <f>IFERROR(U14/BO14,"-")</f>
        <v>-</v>
      </c>
      <c r="AJ14" s="16">
        <v>92.0</v>
      </c>
      <c r="AK14" s="18">
        <v>16.216666666666665</v>
      </c>
      <c r="AL14" s="16">
        <v>33.0</v>
      </c>
      <c r="AM14" s="16">
        <v>20.0</v>
      </c>
      <c r="AN14" s="16">
        <v>7.0</v>
      </c>
      <c r="AO14" s="16">
        <v>49.0</v>
      </c>
      <c r="AP14" s="18">
        <v>12.3</v>
      </c>
      <c r="AQ14" s="16">
        <v>16.0</v>
      </c>
      <c r="AR14" s="16">
        <v>10.0</v>
      </c>
      <c r="AS14" s="16">
        <v>43.0</v>
      </c>
      <c r="AT14" s="18">
        <v>3.9166666666666665</v>
      </c>
      <c r="AU14" s="16">
        <v>17.0</v>
      </c>
      <c r="AV14" s="16">
        <v>10.0</v>
      </c>
      <c r="AW14" s="16">
        <v>27.0</v>
      </c>
      <c r="AX14" s="18">
        <v>48.20000000000001</v>
      </c>
      <c r="AY14" s="16">
        <v>8.0</v>
      </c>
      <c r="AZ14" s="18">
        <v>0.0</v>
      </c>
      <c r="BA14" s="16">
        <v>0.0</v>
      </c>
      <c r="BB14" s="18">
        <v>48.20000000000001</v>
      </c>
      <c r="BC14" s="16">
        <v>8.0</v>
      </c>
      <c r="BD14" s="18">
        <v>0.0</v>
      </c>
      <c r="BE14" s="16">
        <v>0.0</v>
      </c>
      <c r="BF14" s="18">
        <v>48.20000000000001</v>
      </c>
      <c r="BG14" s="16">
        <v>8.0</v>
      </c>
      <c r="BH14" s="18">
        <v>0.0</v>
      </c>
      <c r="BI14" s="16">
        <v>0.0</v>
      </c>
      <c r="BJ14" s="16">
        <v>34.0</v>
      </c>
      <c r="BK14" s="16">
        <v>200.0</v>
      </c>
      <c r="BL14" s="16">
        <v>25.0</v>
      </c>
      <c r="BM14" s="16" t="str">
        <f>IF(B14="总计",30,"-")</f>
        <v>-</v>
      </c>
      <c r="BN14" s="16" t="str">
        <f>IF(B14="总计",10,"-")</f>
        <v>-</v>
      </c>
      <c r="BO14" s="16" t="str">
        <f>IF(B14="总计",1,"-")</f>
        <v>-</v>
      </c>
    </row>
    <row r="15" spans="1:67" s="15" customFormat="1" ht="16.5">
      <c r="A15" s="16"/>
      <c r="B15" s="16" t="s">
        <v>113</v>
      </c>
      <c r="C15" s="17">
        <f>IFERROR(AL15/BJ15,"")</f>
        <v>0.9736842105263158</v>
      </c>
      <c r="D15" s="18">
        <f>IFERROR(AJ15/AN15,"")</f>
        <v>13.142857142857142</v>
      </c>
      <c r="E15" s="17">
        <f>IFERROR(D15/BK15,"")</f>
        <v>0.06571428571428571</v>
      </c>
      <c r="F15" s="18">
        <f>IFERROR(AK15/AN15,"")</f>
        <v>1.9190476190476191</v>
      </c>
      <c r="G15" s="17">
        <f>IFERROR(F15/BL15,"")</f>
        <v>0.07676190476190477</v>
      </c>
      <c r="H15" s="18">
        <f>IFERROR(AX15/AY15,"")</f>
        <v>3.8619047619047615</v>
      </c>
      <c r="I15" s="17" t="str">
        <f>IFERROR(H15/BM15,"-")</f>
        <v>-</v>
      </c>
      <c r="J15" s="18" t="str">
        <f>IFERROR(AZ15/BA15,"")</f>
        <v/>
      </c>
      <c r="K15" s="18">
        <f>IFERROR(BB15/BC15,"")</f>
        <v>3.8619047619047615</v>
      </c>
      <c r="L15" s="18" t="str">
        <f>IFERROR(BD15/BE15,"")</f>
        <v/>
      </c>
      <c r="M15" s="18">
        <f>IFERROR(BF15/BG15,"")</f>
        <v>3.8619047619047615</v>
      </c>
      <c r="N15" s="18" t="str">
        <f>IFERROR(BH15/BI15,"")</f>
        <v/>
      </c>
      <c r="O15" s="19">
        <f>IFERROR(AO15/AQ15,"")</f>
        <v>3.4</v>
      </c>
      <c r="P15" s="19">
        <v>3.0</v>
      </c>
      <c r="Q15" s="17" t="str">
        <f>IFERROR(O15/BN15,"-")</f>
        <v>-</v>
      </c>
      <c r="R15" s="19">
        <f>IFERROR(AP15/AR15,"")</f>
        <v>0.8333333333333334</v>
      </c>
      <c r="S15" s="30">
        <f>IFERROR(AU15,"")</f>
        <v>22.0</v>
      </c>
      <c r="T15" s="17">
        <f>IFERROR(AU15/AW15-1,"")</f>
        <v>-0.29032258064516125</v>
      </c>
      <c r="U15" s="19">
        <f>IFERROR(AS15/AU15,"")</f>
        <v>1.8636363636363635</v>
      </c>
      <c r="V15" s="19">
        <f>IFERROR(AT15/AV15,"")</f>
        <v>0.21666666666666667</v>
      </c>
      <c r="W15" s="16">
        <v>14.0</v>
      </c>
      <c r="X15" s="16">
        <v>5.0</v>
      </c>
      <c r="Y15" s="17">
        <f>IFERROR(X15/W15,"")</f>
        <v>0.35714285714285715</v>
      </c>
      <c r="Z15" s="16">
        <v>0.0</v>
      </c>
      <c r="AA15" s="16">
        <v>0.0</v>
      </c>
      <c r="AB15" s="17" t="str">
        <f>IFERROR(AA15/Z15,"")</f>
        <v/>
      </c>
      <c r="AC15" s="19">
        <f>IFERROR(AJ15/AL15,"")</f>
        <v>2.4864864864864864</v>
      </c>
      <c r="AD15" s="19">
        <f>IFERROR(AK15/AM15,"")</f>
        <v>0.5373333333333333</v>
      </c>
      <c r="AE15" s="30">
        <v>2.0</v>
      </c>
      <c r="AF15" s="49">
        <v>0.5</v>
      </c>
      <c r="AG15" s="30">
        <v>13.0</v>
      </c>
      <c r="AH15" s="29">
        <v>0.6923076923076923</v>
      </c>
      <c r="AI15" s="17" t="str">
        <f>IFERROR(U15/BO15,"-")</f>
        <v>-</v>
      </c>
      <c r="AJ15" s="16">
        <v>92.0</v>
      </c>
      <c r="AK15" s="18">
        <v>13.433333333333334</v>
      </c>
      <c r="AL15" s="16">
        <v>37.0</v>
      </c>
      <c r="AM15" s="16">
        <v>25.0</v>
      </c>
      <c r="AN15" s="16">
        <v>7.0</v>
      </c>
      <c r="AO15" s="16">
        <v>51.0</v>
      </c>
      <c r="AP15" s="18">
        <v>10.833333333333334</v>
      </c>
      <c r="AQ15" s="16">
        <v>15.0</v>
      </c>
      <c r="AR15" s="16">
        <v>13.0</v>
      </c>
      <c r="AS15" s="16">
        <v>41.0</v>
      </c>
      <c r="AT15" s="18">
        <v>2.6</v>
      </c>
      <c r="AU15" s="16">
        <v>22.0</v>
      </c>
      <c r="AV15" s="16">
        <v>12.0</v>
      </c>
      <c r="AW15" s="16">
        <v>31.0</v>
      </c>
      <c r="AX15" s="18">
        <v>27.03333333333333</v>
      </c>
      <c r="AY15" s="16">
        <v>7.0</v>
      </c>
      <c r="AZ15" s="18">
        <v>0.0</v>
      </c>
      <c r="BA15" s="16">
        <v>0.0</v>
      </c>
      <c r="BB15" s="18">
        <v>27.03333333333333</v>
      </c>
      <c r="BC15" s="16">
        <v>7.0</v>
      </c>
      <c r="BD15" s="18">
        <v>0.0</v>
      </c>
      <c r="BE15" s="16">
        <v>0.0</v>
      </c>
      <c r="BF15" s="18">
        <v>27.03333333333333</v>
      </c>
      <c r="BG15" s="16">
        <v>7.0</v>
      </c>
      <c r="BH15" s="18">
        <v>0.0</v>
      </c>
      <c r="BI15" s="16">
        <v>0.0</v>
      </c>
      <c r="BJ15" s="16">
        <v>38.0</v>
      </c>
      <c r="BK15" s="16">
        <v>200.0</v>
      </c>
      <c r="BL15" s="16">
        <v>25.0</v>
      </c>
      <c r="BM15" s="16" t="str">
        <f>IF(B15="总计",30,"-")</f>
        <v>-</v>
      </c>
      <c r="BN15" s="16" t="str">
        <f>IF(B15="总计",10,"-")</f>
        <v>-</v>
      </c>
      <c r="BO15" s="16" t="str">
        <f>IF(B15="总计",1,"-")</f>
        <v>-</v>
      </c>
    </row>
    <row r="16" spans="1:67" s="15" customFormat="1" ht="16.5">
      <c r="A16" s="16"/>
      <c r="B16" s="16" t="s">
        <v>114</v>
      </c>
      <c r="C16" s="17">
        <f>IFERROR(AL16/BJ16,"")</f>
        <v>0.9942857142857143</v>
      </c>
      <c r="D16" s="18">
        <f>IFERROR(AJ16/AN16,"")</f>
        <v>16.714285714285715</v>
      </c>
      <c r="E16" s="17">
        <f>IFERROR(D16/BK16,"")</f>
        <v>0.08357142857142857</v>
      </c>
      <c r="F16" s="18">
        <f>IFERROR(AK16/AN16,"")</f>
        <v>2.8275510204081633</v>
      </c>
      <c r="G16" s="17">
        <f>IFERROR(F16/BL16,"")</f>
        <v>0.11310204081632654</v>
      </c>
      <c r="H16" s="18">
        <f>IFERROR(AX16/AY16,"")</f>
        <v>7.655000000000002</v>
      </c>
      <c r="I16" s="17">
        <f>IFERROR(H16/BM16,"-")</f>
        <v>0.2551666666666667</v>
      </c>
      <c r="J16" s="18" t="str">
        <f>IFERROR(AZ16/BA16,"")</f>
        <v/>
      </c>
      <c r="K16" s="18">
        <f>IFERROR(BB16/BC16,"")</f>
        <v>7.655000000000002</v>
      </c>
      <c r="L16" s="18" t="str">
        <f>IFERROR(BD16/BE16,"")</f>
        <v/>
      </c>
      <c r="M16" s="18">
        <f>IFERROR(BF16/BG16,"")</f>
        <v>7.655000000000002</v>
      </c>
      <c r="N16" s="18" t="str">
        <f>IFERROR(BH16/BI16,"")</f>
        <v/>
      </c>
      <c r="O16" s="19">
        <f>IFERROR(AO16/AQ16,"")</f>
        <v>5.985714285714286</v>
      </c>
      <c r="P16" s="19">
        <v>6.52</v>
      </c>
      <c r="Q16" s="17">
        <f>IFERROR(O16/BN16,"-")</f>
        <v>0.5985714285714285</v>
      </c>
      <c r="R16" s="19">
        <f>IFERROR(AP16/AR16,"")</f>
        <v>1.5301470588235293</v>
      </c>
      <c r="S16" s="30">
        <f>IFERROR(AU16,"")</f>
        <v>104.0</v>
      </c>
      <c r="T16" s="17">
        <f>IFERROR(AU16/AW16-1,"")</f>
        <v>0.1954022988505748</v>
      </c>
      <c r="U16" s="19">
        <f>IFERROR(AS16/AU16,"")</f>
        <v>3.8461538461538463</v>
      </c>
      <c r="V16" s="19">
        <f>IFERROR(AT16/AV16,"")</f>
        <v>0.5073529411764706</v>
      </c>
      <c r="W16" s="16">
        <v>199.0</v>
      </c>
      <c r="X16" s="16">
        <v>105.0</v>
      </c>
      <c r="Y16" s="17">
        <f>IFERROR(X16/W16,"")</f>
        <v>0.5276381909547738</v>
      </c>
      <c r="Z16" s="16">
        <v>0.0</v>
      </c>
      <c r="AA16" s="16">
        <v>0.0</v>
      </c>
      <c r="AB16" s="17" t="str">
        <f>IFERROR(AA16/Z16,"")</f>
        <v/>
      </c>
      <c r="AC16" s="19">
        <f>IFERROR(AJ16/AL16,"")</f>
        <v>4.706896551724138</v>
      </c>
      <c r="AD16" s="19">
        <f>IFERROR(AK16/AM16,"")</f>
        <v>1.01875</v>
      </c>
      <c r="AE16" s="30">
        <v>61.0</v>
      </c>
      <c r="AF16" s="49">
        <v>0.6557377049180327</v>
      </c>
      <c r="AG16" s="30">
        <v>114.0</v>
      </c>
      <c r="AH16" s="29">
        <v>0.45614035087719296</v>
      </c>
      <c r="AI16" s="17">
        <f>IFERROR(U16/BO16,"-")</f>
        <v>3.8461538461538463</v>
      </c>
      <c r="AJ16" s="16">
        <v>819.0</v>
      </c>
      <c r="AK16" s="18">
        <v>138.55</v>
      </c>
      <c r="AL16" s="16">
        <v>174.0</v>
      </c>
      <c r="AM16" s="16">
        <v>136.0</v>
      </c>
      <c r="AN16" s="16">
        <v>49.0</v>
      </c>
      <c r="AO16" s="16">
        <v>419.0</v>
      </c>
      <c r="AP16" s="18">
        <v>104.05</v>
      </c>
      <c r="AQ16" s="16">
        <v>70.0</v>
      </c>
      <c r="AR16" s="16">
        <v>68.0</v>
      </c>
      <c r="AS16" s="16">
        <v>400.0</v>
      </c>
      <c r="AT16" s="18">
        <v>34.5</v>
      </c>
      <c r="AU16" s="16">
        <v>104.0</v>
      </c>
      <c r="AV16" s="16">
        <v>68.0</v>
      </c>
      <c r="AW16" s="16">
        <v>87.0</v>
      </c>
      <c r="AX16" s="18">
        <v>535.8500000000001</v>
      </c>
      <c r="AY16" s="16">
        <v>70.0</v>
      </c>
      <c r="AZ16" s="18">
        <v>0.0</v>
      </c>
      <c r="BA16" s="16">
        <v>0.0</v>
      </c>
      <c r="BB16" s="18">
        <v>535.8500000000001</v>
      </c>
      <c r="BC16" s="16">
        <v>70.0</v>
      </c>
      <c r="BD16" s="18">
        <v>0.0</v>
      </c>
      <c r="BE16" s="16">
        <v>0.0</v>
      </c>
      <c r="BF16" s="18">
        <v>535.8500000000001</v>
      </c>
      <c r="BG16" s="16">
        <v>70.0</v>
      </c>
      <c r="BH16" s="18">
        <v>0.0</v>
      </c>
      <c r="BI16" s="16">
        <v>0.0</v>
      </c>
      <c r="BJ16" s="16">
        <v>175.0</v>
      </c>
      <c r="BK16" s="16">
        <v>200.0</v>
      </c>
      <c r="BL16" s="16">
        <v>25.0</v>
      </c>
      <c r="BM16" s="16">
        <f>IF(B16="总计",30,"-")</f>
        <v>30.0</v>
      </c>
      <c r="BN16" s="16">
        <f>IF(B16="总计",10,"-")</f>
        <v>10.0</v>
      </c>
      <c r="BO16" s="16">
        <f>IF(B16="总计",1,"-")</f>
        <v>1.0</v>
      </c>
    </row>
    <row r="17" spans="1:67" s="15" customFormat="1" ht="16.5">
      <c r="A17" s="16" t="s">
        <v>114</v>
      </c>
      <c r="B17" s="16" t="s">
        <v>114</v>
      </c>
      <c r="C17" s="17">
        <f>IFERROR(AL17/BJ17,"")</f>
        <v>0.9942857142857143</v>
      </c>
      <c r="D17" s="18">
        <f>IFERROR(AJ17/AN17,"")</f>
        <v>16.714285714285715</v>
      </c>
      <c r="E17" s="17">
        <f>IFERROR(D17/BK17,"")</f>
        <v>0.08357142857142857</v>
      </c>
      <c r="F17" s="18">
        <f>IFERROR(AK17/AN17,"")</f>
        <v>2.8275510204081633</v>
      </c>
      <c r="G17" s="17">
        <f>IFERROR(F17/BL17,"")</f>
        <v>0.11310204081632654</v>
      </c>
      <c r="H17" s="18">
        <f>IFERROR(AX17/AY17,"")</f>
        <v>7.655</v>
      </c>
      <c r="I17" s="17">
        <f>IFERROR(H17/BM17,"-")</f>
        <v>0.25516666666666665</v>
      </c>
      <c r="J17" s="18" t="str">
        <f>IFERROR(AZ17/BA17,"")</f>
        <v/>
      </c>
      <c r="K17" s="18">
        <f>IFERROR(BB17/BC17,"")</f>
        <v>7.655</v>
      </c>
      <c r="L17" s="18" t="str">
        <f>IFERROR(BD17/BE17,"")</f>
        <v/>
      </c>
      <c r="M17" s="18">
        <f>IFERROR(BF17/BG17,"")</f>
        <v>7.655</v>
      </c>
      <c r="N17" s="18" t="str">
        <f>IFERROR(BH17/BI17,"")</f>
        <v/>
      </c>
      <c r="O17" s="19">
        <f>IFERROR(AO17/AQ17,"")</f>
        <v>5.985714285714286</v>
      </c>
      <c r="P17" s="19">
        <v>6.52</v>
      </c>
      <c r="Q17" s="17">
        <f>IFERROR(O17/BN17,"-")</f>
        <v>0.5985714285714285</v>
      </c>
      <c r="R17" s="19">
        <f>IFERROR(AP17/AR17,"")</f>
        <v>1.5301470588235293</v>
      </c>
      <c r="S17" s="30">
        <f>IFERROR(AU17,"")</f>
        <v>104.0</v>
      </c>
      <c r="T17" s="17">
        <f>IFERROR(AU17/AW17-1,"")</f>
        <v>0.1954022988505748</v>
      </c>
      <c r="U17" s="19">
        <f>IFERROR(AS17/AU17,"")</f>
        <v>3.8461538461538463</v>
      </c>
      <c r="V17" s="19">
        <f>IFERROR(AT17/AV17,"")</f>
        <v>0.5073529411764706</v>
      </c>
      <c r="W17" s="16">
        <v>199.0</v>
      </c>
      <c r="X17" s="16">
        <v>105.0</v>
      </c>
      <c r="Y17" s="17">
        <f>IFERROR(X17/W17,"")</f>
        <v>0.5276381909547738</v>
      </c>
      <c r="Z17" s="16">
        <v>0.0</v>
      </c>
      <c r="AA17" s="16">
        <v>0.0</v>
      </c>
      <c r="AB17" s="17" t="str">
        <f>IFERROR(AA17/Z17,"")</f>
        <v/>
      </c>
      <c r="AC17" s="19">
        <f>IFERROR(AJ17/AL17,"")</f>
        <v>4.706896551724138</v>
      </c>
      <c r="AD17" s="19">
        <f>IFERROR(AK17/AM17,"")</f>
        <v>1.01875</v>
      </c>
      <c r="AE17" s="30">
        <v>61.0</v>
      </c>
      <c r="AF17" s="49">
        <v>0.6557377049180327</v>
      </c>
      <c r="AG17" s="30">
        <v>114.0</v>
      </c>
      <c r="AH17" s="29">
        <v>0.45614035087719296</v>
      </c>
      <c r="AI17" s="17">
        <f>IFERROR(U17/BO17,"-")</f>
        <v>3.8461538461538463</v>
      </c>
      <c r="AJ17" s="16">
        <v>819.0</v>
      </c>
      <c r="AK17" s="18">
        <v>138.55</v>
      </c>
      <c r="AL17" s="16">
        <v>174.0</v>
      </c>
      <c r="AM17" s="16">
        <v>136.0</v>
      </c>
      <c r="AN17" s="16">
        <v>49.0</v>
      </c>
      <c r="AO17" s="16">
        <v>419.0</v>
      </c>
      <c r="AP17" s="18">
        <v>104.05</v>
      </c>
      <c r="AQ17" s="16">
        <v>70.0</v>
      </c>
      <c r="AR17" s="16">
        <v>68.0</v>
      </c>
      <c r="AS17" s="16">
        <v>400.0</v>
      </c>
      <c r="AT17" s="18">
        <v>34.5</v>
      </c>
      <c r="AU17" s="16">
        <v>104.0</v>
      </c>
      <c r="AV17" s="16">
        <v>68.0</v>
      </c>
      <c r="AW17" s="16">
        <v>87.0</v>
      </c>
      <c r="AX17" s="18">
        <v>535.85</v>
      </c>
      <c r="AY17" s="16">
        <v>70.0</v>
      </c>
      <c r="AZ17" s="18">
        <v>0.0</v>
      </c>
      <c r="BA17" s="16">
        <v>0.0</v>
      </c>
      <c r="BB17" s="18">
        <v>535.85</v>
      </c>
      <c r="BC17" s="16">
        <v>70.0</v>
      </c>
      <c r="BD17" s="18">
        <v>0.0</v>
      </c>
      <c r="BE17" s="16">
        <v>0.0</v>
      </c>
      <c r="BF17" s="18">
        <v>535.85</v>
      </c>
      <c r="BG17" s="16">
        <v>70.0</v>
      </c>
      <c r="BH17" s="18">
        <v>0.0</v>
      </c>
      <c r="BI17" s="16">
        <v>0.0</v>
      </c>
      <c r="BJ17" s="16">
        <v>175.0</v>
      </c>
      <c r="BK17" s="16">
        <v>200.0</v>
      </c>
      <c r="BL17" s="16">
        <v>25.0</v>
      </c>
      <c r="BM17" s="16">
        <f>IF(B17="总计",30,"-")</f>
        <v>30.0</v>
      </c>
      <c r="BN17" s="16">
        <f>IF(B17="总计",10,"-")</f>
        <v>10.0</v>
      </c>
      <c r="BO17" s="16">
        <f>IF(B17="总计",1,"-")</f>
        <v>1.0</v>
      </c>
    </row>
    <row r="18" spans="1:62" s="22" customFormat="1" ht="19.5" customHeight="1">
      <c r="A18" s="20"/>
      <c r="B18" s="20"/>
      <c r="C18" s="20"/>
      <c r="D18" s="21" t="s">
        <v>56</v>
      </c>
      <c r="E18" s="20"/>
      <c r="F18" s="21" t="s">
        <v>57</v>
      </c>
      <c r="G18" s="20"/>
      <c r="H18" s="20"/>
      <c r="I18" s="21" t="s">
        <v>86</v>
      </c>
      <c r="J18" s="20"/>
      <c r="K18" s="20"/>
      <c r="L18" s="20"/>
      <c r="M18" s="20"/>
      <c r="N18" s="20"/>
      <c r="O18" s="20"/>
      <c r="P18" s="20"/>
      <c r="Q18" s="21" t="s">
        <v>60</v>
      </c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 t="s">
        <v>61</v>
      </c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BJ18" s="20"/>
    </row>
    <row r="19" spans="1:1" ht="16.5">
      <c r="A19" s="8"/>
    </row>
    <row r="20" spans="1:62" ht="16.5">
      <c r="A20" s="8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BJ20" s="1"/>
    </row>
    <row r="21" spans="1:62" ht="21">
      <c r="A21" s="39" t="s">
        <v>80</v>
      </c>
      <c r="B21" s="39"/>
      <c r="C21" s="10"/>
      <c r="D21" s="1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BJ21" s="1"/>
    </row>
    <row r="22" spans="1:62" ht="16.5">
      <c r="A22" s="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BJ22" s="1"/>
    </row>
    <row r="23" spans="1:62" ht="16.5">
      <c r="A23" s="37" t="s">
        <v>94</v>
      </c>
      <c r="B23" s="37" t="s">
        <v>5</v>
      </c>
      <c r="C23" s="45" t="s">
        <v>6</v>
      </c>
      <c r="D23" s="46"/>
      <c r="E23" s="46"/>
      <c r="F23" s="46"/>
      <c r="G23" s="47"/>
      <c r="H23" s="31" t="s">
        <v>7</v>
      </c>
      <c r="I23" s="32"/>
      <c r="J23" s="32"/>
      <c r="K23" s="32"/>
      <c r="L23" s="32"/>
      <c r="M23" s="32"/>
      <c r="N23" s="33"/>
      <c r="O23" s="34" t="s">
        <v>9</v>
      </c>
      <c r="P23" s="35"/>
      <c r="Q23" s="35"/>
      <c r="R23" s="36"/>
      <c r="S23" s="48" t="s">
        <v>10</v>
      </c>
      <c r="T23" s="48"/>
      <c r="U23" s="48"/>
      <c r="V23" s="48"/>
      <c r="W23" s="45" t="s">
        <v>11</v>
      </c>
      <c r="X23" s="46"/>
      <c r="Y23" s="46"/>
      <c r="Z23" s="46"/>
      <c r="AA23" s="46"/>
      <c r="AB23" s="47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BJ23" s="1"/>
    </row>
    <row r="24" spans="1:68" ht="45">
      <c r="A24" s="38"/>
      <c r="B24" s="38"/>
      <c r="C24" s="2" t="s">
        <v>52</v>
      </c>
      <c r="D24" s="2" t="s">
        <v>12</v>
      </c>
      <c r="E24" s="2" t="s">
        <v>13</v>
      </c>
      <c r="F24" s="2" t="s">
        <v>14</v>
      </c>
      <c r="G24" s="2" t="s">
        <v>15</v>
      </c>
      <c r="H24" s="3" t="s">
        <v>16</v>
      </c>
      <c r="I24" s="4" t="s">
        <v>69</v>
      </c>
      <c r="J24" s="3" t="s">
        <v>63</v>
      </c>
      <c r="K24" s="3" t="s">
        <v>64</v>
      </c>
      <c r="L24" s="3" t="s">
        <v>79</v>
      </c>
      <c r="M24" s="3" t="s">
        <v>78</v>
      </c>
      <c r="N24" s="3" t="s">
        <v>77</v>
      </c>
      <c r="O24" s="6" t="s">
        <v>17</v>
      </c>
      <c r="P24" s="6" t="s">
        <v>95</v>
      </c>
      <c r="Q24" s="6" t="s">
        <v>18</v>
      </c>
      <c r="R24" s="6" t="s">
        <v>20</v>
      </c>
      <c r="S24" s="7" t="s">
        <v>21</v>
      </c>
      <c r="T24" s="7" t="s">
        <v>22</v>
      </c>
      <c r="U24" s="7" t="s">
        <v>17</v>
      </c>
      <c r="V24" s="7" t="s">
        <v>20</v>
      </c>
      <c r="W24" s="2" t="s">
        <v>88</v>
      </c>
      <c r="X24" s="2" t="s">
        <v>23</v>
      </c>
      <c r="Y24" s="2" t="s">
        <v>89</v>
      </c>
      <c r="Z24" s="2" t="s">
        <v>90</v>
      </c>
      <c r="AA24" s="2" t="s">
        <v>24</v>
      </c>
      <c r="AB24" s="2" t="s">
        <v>91</v>
      </c>
      <c r="AI24" s="12" t="s">
        <v>85</v>
      </c>
      <c r="AJ24" s="12" t="s">
        <v>25</v>
      </c>
      <c r="AK24" s="13" t="s">
        <v>26</v>
      </c>
      <c r="AL24" s="13" t="s">
        <v>27</v>
      </c>
      <c r="AM24" s="13" t="s">
        <v>28</v>
      </c>
      <c r="AN24" s="13" t="s">
        <v>29</v>
      </c>
      <c r="AO24" s="13" t="s">
        <v>30</v>
      </c>
      <c r="AP24" s="13" t="s">
        <v>31</v>
      </c>
      <c r="AQ24" s="13" t="s">
        <v>32</v>
      </c>
      <c r="AR24" s="13" t="s">
        <v>33</v>
      </c>
      <c r="AS24" s="13" t="s">
        <v>34</v>
      </c>
      <c r="AT24" s="13" t="s">
        <v>35</v>
      </c>
      <c r="AU24" s="13" t="s">
        <v>36</v>
      </c>
      <c r="AV24" s="13" t="s">
        <v>37</v>
      </c>
      <c r="AW24" s="13" t="s">
        <v>38</v>
      </c>
      <c r="AX24" s="13" t="s">
        <v>39</v>
      </c>
      <c r="AY24" s="13" t="s">
        <v>40</v>
      </c>
      <c r="AZ24" s="13" t="s">
        <v>65</v>
      </c>
      <c r="BA24" s="13" t="s">
        <v>66</v>
      </c>
      <c r="BB24" s="13" t="s">
        <v>67</v>
      </c>
      <c r="BC24" s="13" t="s">
        <v>68</v>
      </c>
      <c r="BD24" s="24" t="s">
        <v>71</v>
      </c>
      <c r="BE24" s="24" t="s">
        <v>72</v>
      </c>
      <c r="BF24" s="24" t="s">
        <v>73</v>
      </c>
      <c r="BG24" s="24" t="s">
        <v>74</v>
      </c>
      <c r="BH24" s="24" t="s">
        <v>75</v>
      </c>
      <c r="BI24" s="24" t="s">
        <v>76</v>
      </c>
      <c r="BJ24" s="13" t="s">
        <v>53</v>
      </c>
      <c r="BK24" s="13" t="s">
        <v>54</v>
      </c>
      <c r="BL24" s="13" t="s">
        <v>55</v>
      </c>
      <c r="BM24" s="13" t="s">
        <v>62</v>
      </c>
      <c r="BN24" s="13" t="s">
        <v>58</v>
      </c>
      <c r="BO24" s="13" t="s">
        <v>59</v>
      </c>
      <c r="BP24" s="23" t="s">
        <v>50</v>
      </c>
    </row>
    <row r="25" spans="1:68" ht="16.5">
      <c r="A25" s="16" t="s">
        <v>106</v>
      </c>
      <c r="B25" s="16" t="s">
        <v>108</v>
      </c>
      <c r="C25" s="17">
        <f>IFERROR(AL25/BJ25,"")</f>
        <v>1.0</v>
      </c>
      <c r="D25" s="18">
        <f>IFERROR(AJ25/AN25,"")</f>
        <v>7.0</v>
      </c>
      <c r="E25" s="17">
        <f>IFERROR(D25/BK25,"")</f>
        <v>0.035</v>
      </c>
      <c r="F25" s="18">
        <f>IFERROR(AK25/AN25,"")</f>
        <v>0.48333333333333334</v>
      </c>
      <c r="G25" s="17">
        <f>IFERROR(F25/BL25,"")</f>
        <v>0.019333333333333334</v>
      </c>
      <c r="H25" s="18" t="str">
        <f>IFERROR(AX25/AY25,"")</f>
        <v/>
      </c>
      <c r="I25" s="17" t="str">
        <f>IFERROR(H25/BM25,"-")</f>
        <v>-</v>
      </c>
      <c r="J25" s="18" t="str">
        <f>IFERROR(AZ25/BA25,"")</f>
        <v/>
      </c>
      <c r="K25" s="18" t="str">
        <f>IFERROR(BB25/BC25,"")</f>
        <v/>
      </c>
      <c r="L25" s="18" t="str">
        <f>IFERROR(BD25/BE25,"")</f>
        <v/>
      </c>
      <c r="M25" s="18" t="str">
        <f>IFERROR(BF25/BG25,"")</f>
        <v/>
      </c>
      <c r="N25" s="18" t="str">
        <f>IFERROR(BH25/BI25,"")</f>
        <v/>
      </c>
      <c r="O25" s="19" t="str">
        <f>IFERROR(AO25/AQ25,"")</f>
        <v/>
      </c>
      <c r="P25" s="19"/>
      <c r="Q25" s="17" t="str">
        <f>IFERROR(O25/BN25,"-")</f>
        <v>-</v>
      </c>
      <c r="R25" s="19" t="str">
        <f>IFERROR(AP25/AR25,"")</f>
        <v/>
      </c>
      <c r="S25" s="16">
        <f>IFERROR(AU25,"")</f>
        <v>6.0</v>
      </c>
      <c r="T25" s="26" t="s">
        <v>87</v>
      </c>
      <c r="U25" s="19">
        <f>IFERROR(AS25/AU25,"")</f>
        <v>1.1666666666666667</v>
      </c>
      <c r="V25" s="19">
        <f>IFERROR(AT25/AV25,"")</f>
        <v>0.16111111111111112</v>
      </c>
      <c r="W25" s="16">
        <v>0.0</v>
      </c>
      <c r="X25" s="16">
        <v>0.0</v>
      </c>
      <c r="Y25" s="17" t="str">
        <f>IFERROR(X25/W25,"")</f>
        <v/>
      </c>
      <c r="Z25" s="16">
        <v>0.0</v>
      </c>
      <c r="AA25" s="16">
        <v>0.0</v>
      </c>
      <c r="AB25" s="17" t="str">
        <f>IFERROR(AA25/Z25,"")</f>
        <v/>
      </c>
      <c r="AI25" s="17"/>
      <c r="AJ25" s="16">
        <v>7.0</v>
      </c>
      <c r="AK25" s="18">
        <v>0.48333333333333334</v>
      </c>
      <c r="AL25" s="16">
        <v>6.0</v>
      </c>
      <c r="AM25" s="16">
        <v>3.0</v>
      </c>
      <c r="AN25" s="16">
        <v>1.0</v>
      </c>
      <c r="AO25" s="16">
        <v>0.0</v>
      </c>
      <c r="AP25" s="18">
        <v>0.0</v>
      </c>
      <c r="AQ25" s="16">
        <v>0.0</v>
      </c>
      <c r="AR25" s="16">
        <v>0.0</v>
      </c>
      <c r="AS25" s="16">
        <v>7.0</v>
      </c>
      <c r="AT25" s="18">
        <v>0.48333333333333334</v>
      </c>
      <c r="AU25" s="16">
        <v>6.0</v>
      </c>
      <c r="AV25" s="16">
        <v>3.0</v>
      </c>
      <c r="AW25" s="16">
        <v>10.0</v>
      </c>
      <c r="AX25" s="18">
        <v>0.0</v>
      </c>
      <c r="AY25" s="16">
        <v>0.0</v>
      </c>
      <c r="AZ25" s="18">
        <v>0.0</v>
      </c>
      <c r="BA25" s="16">
        <v>0.0</v>
      </c>
      <c r="BB25" s="18">
        <v>0.0</v>
      </c>
      <c r="BC25" s="16">
        <v>0.0</v>
      </c>
      <c r="BD25" s="18">
        <v>0.0</v>
      </c>
      <c r="BE25" s="16">
        <v>0.0</v>
      </c>
      <c r="BF25" s="18">
        <v>0.0</v>
      </c>
      <c r="BG25" s="16">
        <v>0.0</v>
      </c>
      <c r="BH25" s="18">
        <v>0.0</v>
      </c>
      <c r="BI25" s="16">
        <v>0.0</v>
      </c>
      <c r="BJ25" s="16">
        <v>6.0</v>
      </c>
      <c r="BK25" s="16">
        <v>200.0</v>
      </c>
      <c r="BL25" s="16">
        <v>25.0</v>
      </c>
      <c r="BM25" s="16" t="str">
        <f>IF(B25="总计",30,"-")</f>
        <v>-</v>
      </c>
      <c r="BN25" s="16" t="str">
        <f>IF(B25="总计",10,"-")</f>
        <v>-</v>
      </c>
      <c r="BO25" s="16" t="str">
        <f>IF(B25="总计",1,"-")</f>
        <v>-</v>
      </c>
      <c r="BP25" s="15"/>
    </row>
    <row r="26" spans="1:68" ht="16.5">
      <c r="A26" s="16"/>
      <c r="B26" s="16" t="s">
        <v>109</v>
      </c>
      <c r="C26" s="17" t="str">
        <f>IFERROR(AL26/BJ26,"")</f>
        <v/>
      </c>
      <c r="D26" s="18" t="str">
        <f>IFERROR(AJ26/AN26,"")</f>
        <v/>
      </c>
      <c r="E26" s="17" t="str">
        <f>IFERROR(D26/BK26,"")</f>
        <v/>
      </c>
      <c r="F26" s="18" t="str">
        <f>IFERROR(AK26/AN26,"")</f>
        <v/>
      </c>
      <c r="G26" s="17" t="str">
        <f>IFERROR(F26/BL26,"")</f>
        <v/>
      </c>
      <c r="H26" s="18" t="str">
        <f>IFERROR(AX26/AY26,"")</f>
        <v/>
      </c>
      <c r="I26" s="17" t="str">
        <f>IFERROR(H26/BM26,"-")</f>
        <v>-</v>
      </c>
      <c r="J26" s="18" t="str">
        <f>IFERROR(AZ26/BA26,"")</f>
        <v/>
      </c>
      <c r="K26" s="18" t="str">
        <f>IFERROR(BB26/BC26,"")</f>
        <v/>
      </c>
      <c r="L26" s="18" t="str">
        <f>IFERROR(BD26/BE26,"")</f>
        <v/>
      </c>
      <c r="M26" s="18" t="str">
        <f>IFERROR(BF26/BG26,"")</f>
        <v/>
      </c>
      <c r="N26" s="18" t="str">
        <f>IFERROR(BH26/BI26,"")</f>
        <v/>
      </c>
      <c r="O26" s="19" t="str">
        <f>IFERROR(AO26/AQ26,"")</f>
        <v/>
      </c>
      <c r="P26" s="19"/>
      <c r="Q26" s="17" t="str">
        <f>IFERROR(O26/BN26,"-")</f>
        <v>-</v>
      </c>
      <c r="R26" s="19" t="str">
        <f>IFERROR(AP26/AR26,"")</f>
        <v/>
      </c>
      <c r="S26" s="16">
        <f>IFERROR(AU26,"")</f>
        <v>0.0</v>
      </c>
      <c r="T26" s="26" t="s">
        <v>87</v>
      </c>
      <c r="U26" s="19" t="str">
        <f>IFERROR(AS26/AU26,"")</f>
        <v/>
      </c>
      <c r="V26" s="19" t="str">
        <f>IFERROR(AT26/AV26,"")</f>
        <v/>
      </c>
      <c r="W26" s="16">
        <v>0.0</v>
      </c>
      <c r="X26" s="16">
        <v>0.0</v>
      </c>
      <c r="Y26" s="17" t="str">
        <f>IFERROR(X26/W26,"")</f>
        <v/>
      </c>
      <c r="Z26" s="16">
        <v>0.0</v>
      </c>
      <c r="AA26" s="16">
        <v>0.0</v>
      </c>
      <c r="AB26" s="17" t="str">
        <f>IFERROR(AA26/Z26,"")</f>
        <v/>
      </c>
      <c r="AI26" s="17"/>
      <c r="AJ26" s="16">
        <v>0.0</v>
      </c>
      <c r="AK26" s="18">
        <v>0.0</v>
      </c>
      <c r="AL26" s="16">
        <v>0.0</v>
      </c>
      <c r="AM26" s="16">
        <v>0.0</v>
      </c>
      <c r="AN26" s="16">
        <v>0.0</v>
      </c>
      <c r="AO26" s="16">
        <v>0.0</v>
      </c>
      <c r="AP26" s="18">
        <v>0.0</v>
      </c>
      <c r="AQ26" s="16">
        <v>0.0</v>
      </c>
      <c r="AR26" s="16">
        <v>0.0</v>
      </c>
      <c r="AS26" s="16">
        <v>0.0</v>
      </c>
      <c r="AT26" s="18">
        <v>0.0</v>
      </c>
      <c r="AU26" s="16">
        <v>0.0</v>
      </c>
      <c r="AV26" s="16">
        <v>0.0</v>
      </c>
      <c r="AW26" s="16">
        <v>10.0</v>
      </c>
      <c r="AX26" s="18">
        <v>0.0</v>
      </c>
      <c r="AY26" s="16">
        <v>0.0</v>
      </c>
      <c r="AZ26" s="18">
        <v>0.0</v>
      </c>
      <c r="BA26" s="16">
        <v>0.0</v>
      </c>
      <c r="BB26" s="18">
        <v>0.0</v>
      </c>
      <c r="BC26" s="16">
        <v>0.0</v>
      </c>
      <c r="BD26" s="18">
        <v>0.0</v>
      </c>
      <c r="BE26" s="16">
        <v>0.0</v>
      </c>
      <c r="BF26" s="18">
        <v>0.0</v>
      </c>
      <c r="BG26" s="16">
        <v>0.0</v>
      </c>
      <c r="BH26" s="18">
        <v>0.0</v>
      </c>
      <c r="BI26" s="16">
        <v>0.0</v>
      </c>
      <c r="BJ26" s="16">
        <v>0.0</v>
      </c>
      <c r="BK26" s="16">
        <v>200.0</v>
      </c>
      <c r="BL26" s="16">
        <v>25.0</v>
      </c>
      <c r="BM26" s="16" t="str">
        <f>IF(B26="总计",30,"-")</f>
        <v>-</v>
      </c>
      <c r="BN26" s="16" t="str">
        <f>IF(B26="总计",10,"-")</f>
        <v>-</v>
      </c>
      <c r="BO26" s="16" t="str">
        <f>IF(B26="总计",1,"-")</f>
        <v>-</v>
      </c>
      <c r="BP26" s="15"/>
    </row>
    <row r="27" spans="1:68" ht="16.5">
      <c r="A27" s="16"/>
      <c r="B27" s="16" t="s">
        <v>110</v>
      </c>
      <c r="C27" s="17">
        <f>IFERROR(AL27/BJ27,"")</f>
        <v>1.0</v>
      </c>
      <c r="D27" s="18">
        <f>IFERROR(AJ27/AN27,"")</f>
        <v>33.0</v>
      </c>
      <c r="E27" s="17">
        <f>IFERROR(D27/BK27,"")</f>
        <v>0.165</v>
      </c>
      <c r="F27" s="18">
        <f>IFERROR(AK27/AN27,"")</f>
        <v>9.316666666666666</v>
      </c>
      <c r="G27" s="17">
        <f>IFERROR(F27/BL27,"")</f>
        <v>0.37266666666666665</v>
      </c>
      <c r="H27" s="18">
        <f>IFERROR(AX27/AY27,"")</f>
        <v>9.122222222222222</v>
      </c>
      <c r="I27" s="17" t="str">
        <f>IFERROR(H27/BM27,"-")</f>
        <v>-</v>
      </c>
      <c r="J27" s="18" t="str">
        <f>IFERROR(AZ27/BA27,"")</f>
        <v/>
      </c>
      <c r="K27" s="18">
        <f>IFERROR(BB27/BC27,"")</f>
        <v>9.122222222222222</v>
      </c>
      <c r="L27" s="18" t="str">
        <f>IFERROR(BD27/BE27,"")</f>
        <v/>
      </c>
      <c r="M27" s="18">
        <f>IFERROR(BF27/BG27,"")</f>
        <v>9.122222222222222</v>
      </c>
      <c r="N27" s="18" t="str">
        <f>IFERROR(BH27/BI27,"")</f>
        <v/>
      </c>
      <c r="O27" s="19">
        <f>IFERROR(AO27/AQ27,"")</f>
        <v>5.5</v>
      </c>
      <c r="P27" s="19">
        <v>5.0</v>
      </c>
      <c r="Q27" s="17" t="str">
        <f>IFERROR(O27/BN27,"-")</f>
        <v>-</v>
      </c>
      <c r="R27" s="19">
        <f>IFERROR(AP27/AR27,"")</f>
        <v>3.25</v>
      </c>
      <c r="S27" s="16">
        <f>IFERROR(AU27,"")</f>
        <v>10.0</v>
      </c>
      <c r="T27" s="26" t="s">
        <v>87</v>
      </c>
      <c r="U27" s="19">
        <f>IFERROR(AS27/AU27,"")</f>
        <v>2.2</v>
      </c>
      <c r="V27" s="19">
        <f>IFERROR(AT27/AV27,"")</f>
        <v>0.4023809523809524</v>
      </c>
      <c r="W27" s="16">
        <v>0.0</v>
      </c>
      <c r="X27" s="16">
        <v>0.0</v>
      </c>
      <c r="Y27" s="17" t="str">
        <f>IFERROR(X27/W27,"")</f>
        <v/>
      </c>
      <c r="Z27" s="16">
        <v>0.0</v>
      </c>
      <c r="AA27" s="16">
        <v>0.0</v>
      </c>
      <c r="AB27" s="17" t="str">
        <f>IFERROR(AA27/Z27,"")</f>
        <v/>
      </c>
      <c r="AI27" s="17"/>
      <c r="AJ27" s="16">
        <v>33.0</v>
      </c>
      <c r="AK27" s="18">
        <v>9.316666666666666</v>
      </c>
      <c r="AL27" s="16">
        <v>12.0</v>
      </c>
      <c r="AM27" s="16">
        <v>9.0</v>
      </c>
      <c r="AN27" s="16">
        <v>1.0</v>
      </c>
      <c r="AO27" s="16">
        <v>11.0</v>
      </c>
      <c r="AP27" s="18">
        <v>6.5</v>
      </c>
      <c r="AQ27" s="16">
        <v>2.0</v>
      </c>
      <c r="AR27" s="16">
        <v>2.0</v>
      </c>
      <c r="AS27" s="16">
        <v>22.0</v>
      </c>
      <c r="AT27" s="18">
        <v>2.816666666666667</v>
      </c>
      <c r="AU27" s="16">
        <v>10.0</v>
      </c>
      <c r="AV27" s="16">
        <v>7.0</v>
      </c>
      <c r="AW27" s="16">
        <v>14.0</v>
      </c>
      <c r="AX27" s="18">
        <v>27.366666666666667</v>
      </c>
      <c r="AY27" s="16">
        <v>3.0</v>
      </c>
      <c r="AZ27" s="18">
        <v>0.0</v>
      </c>
      <c r="BA27" s="16">
        <v>0.0</v>
      </c>
      <c r="BB27" s="18">
        <v>27.366666666666667</v>
      </c>
      <c r="BC27" s="16">
        <v>3.0</v>
      </c>
      <c r="BD27" s="18">
        <v>0.0</v>
      </c>
      <c r="BE27" s="16">
        <v>0.0</v>
      </c>
      <c r="BF27" s="18">
        <v>27.366666666666667</v>
      </c>
      <c r="BG27" s="16">
        <v>3.0</v>
      </c>
      <c r="BH27" s="18">
        <v>0.0</v>
      </c>
      <c r="BI27" s="16">
        <v>0.0</v>
      </c>
      <c r="BJ27" s="16">
        <v>12.0</v>
      </c>
      <c r="BK27" s="16">
        <v>200.0</v>
      </c>
      <c r="BL27" s="16">
        <v>25.0</v>
      </c>
      <c r="BM27" s="16" t="str">
        <f>IF(B27="总计",30,"-")</f>
        <v>-</v>
      </c>
      <c r="BN27" s="16" t="str">
        <f>IF(B27="总计",10,"-")</f>
        <v>-</v>
      </c>
      <c r="BO27" s="16" t="str">
        <f>IF(B27="总计",1,"-")</f>
        <v>-</v>
      </c>
      <c r="BP27" s="15"/>
    </row>
    <row r="28" spans="1:68" ht="16.5">
      <c r="A28" s="16"/>
      <c r="B28" s="16" t="s">
        <v>111</v>
      </c>
      <c r="C28" s="17">
        <f>IFERROR(AL28/BJ28,"")</f>
        <v>1.0</v>
      </c>
      <c r="D28" s="18">
        <f>IFERROR(AJ28/AN28,"")</f>
        <v>18.0</v>
      </c>
      <c r="E28" s="17">
        <f>IFERROR(D28/BK28,"")</f>
        <v>0.09</v>
      </c>
      <c r="F28" s="18">
        <f>IFERROR(AK28/AN28,"")</f>
        <v>9.433333333333334</v>
      </c>
      <c r="G28" s="17">
        <f>IFERROR(F28/BL28,"")</f>
        <v>0.37733333333333335</v>
      </c>
      <c r="H28" s="18">
        <f>IFERROR(AX28/AY28,"")</f>
        <v>4.555555555555555</v>
      </c>
      <c r="I28" s="17" t="str">
        <f>IFERROR(H28/BM28,"-")</f>
        <v>-</v>
      </c>
      <c r="J28" s="18" t="str">
        <f>IFERROR(AZ28/BA28,"")</f>
        <v/>
      </c>
      <c r="K28" s="18">
        <f>IFERROR(BB28/BC28,"")</f>
        <v>4.555555555555555</v>
      </c>
      <c r="L28" s="18" t="str">
        <f>IFERROR(BD28/BE28,"")</f>
        <v/>
      </c>
      <c r="M28" s="18">
        <f>IFERROR(BF28/BG28,"")</f>
        <v>4.555555555555555</v>
      </c>
      <c r="N28" s="18" t="str">
        <f>IFERROR(BH28/BI28,"")</f>
        <v/>
      </c>
      <c r="O28" s="19">
        <f>IFERROR(AO28/AQ28,"")</f>
        <v>2.3333333333333335</v>
      </c>
      <c r="P28" s="19">
        <v>2.0</v>
      </c>
      <c r="Q28" s="17" t="str">
        <f>IFERROR(O28/BN28,"-")</f>
        <v>-</v>
      </c>
      <c r="R28" s="19">
        <f>IFERROR(AP28/AR28,"")</f>
        <v>2.966666666666667</v>
      </c>
      <c r="S28" s="16">
        <f>IFERROR(AU28,"")</f>
        <v>10.0</v>
      </c>
      <c r="T28" s="26" t="s">
        <v>87</v>
      </c>
      <c r="U28" s="19">
        <f>IFERROR(AS28/AU28,"")</f>
        <v>1.1</v>
      </c>
      <c r="V28" s="19">
        <f>IFERROR(AT28/AV28,"")</f>
        <v>0.26666666666666666</v>
      </c>
      <c r="W28" s="16">
        <v>0.0</v>
      </c>
      <c r="X28" s="16">
        <v>0.0</v>
      </c>
      <c r="Y28" s="17" t="str">
        <f>IFERROR(X28/W28,"")</f>
        <v/>
      </c>
      <c r="Z28" s="16">
        <v>0.0</v>
      </c>
      <c r="AA28" s="16">
        <v>0.0</v>
      </c>
      <c r="AB28" s="17" t="str">
        <f>IFERROR(AA28/Z28,"")</f>
        <v/>
      </c>
      <c r="AI28" s="17"/>
      <c r="AJ28" s="16">
        <v>18.0</v>
      </c>
      <c r="AK28" s="18">
        <v>9.433333333333334</v>
      </c>
      <c r="AL28" s="16">
        <v>13.0</v>
      </c>
      <c r="AM28" s="16">
        <v>5.0</v>
      </c>
      <c r="AN28" s="16">
        <v>1.0</v>
      </c>
      <c r="AO28" s="16">
        <v>7.0</v>
      </c>
      <c r="AP28" s="18">
        <v>8.9</v>
      </c>
      <c r="AQ28" s="16">
        <v>3.0</v>
      </c>
      <c r="AR28" s="16">
        <v>3.0</v>
      </c>
      <c r="AS28" s="16">
        <v>11.0</v>
      </c>
      <c r="AT28" s="18">
        <v>0.5333333333333333</v>
      </c>
      <c r="AU28" s="16">
        <v>10.0</v>
      </c>
      <c r="AV28" s="16">
        <v>2.0</v>
      </c>
      <c r="AW28" s="16">
        <v>19.0</v>
      </c>
      <c r="AX28" s="18">
        <v>13.666666666666666</v>
      </c>
      <c r="AY28" s="16">
        <v>3.0</v>
      </c>
      <c r="AZ28" s="18">
        <v>0.0</v>
      </c>
      <c r="BA28" s="16">
        <v>0.0</v>
      </c>
      <c r="BB28" s="18">
        <v>13.666666666666666</v>
      </c>
      <c r="BC28" s="16">
        <v>3.0</v>
      </c>
      <c r="BD28" s="18">
        <v>0.0</v>
      </c>
      <c r="BE28" s="16">
        <v>0.0</v>
      </c>
      <c r="BF28" s="18">
        <v>13.666666666666666</v>
      </c>
      <c r="BG28" s="16">
        <v>3.0</v>
      </c>
      <c r="BH28" s="18">
        <v>0.0</v>
      </c>
      <c r="BI28" s="16">
        <v>0.0</v>
      </c>
      <c r="BJ28" s="16">
        <v>13.0</v>
      </c>
      <c r="BK28" s="16">
        <v>200.0</v>
      </c>
      <c r="BL28" s="16">
        <v>25.0</v>
      </c>
      <c r="BM28" s="16" t="str">
        <f>IF(B28="总计",30,"-")</f>
        <v>-</v>
      </c>
      <c r="BN28" s="16" t="str">
        <f>IF(B28="总计",10,"-")</f>
        <v>-</v>
      </c>
      <c r="BO28" s="16" t="str">
        <f>IF(B28="总计",1,"-")</f>
        <v>-</v>
      </c>
      <c r="BP28" s="15"/>
    </row>
    <row r="29" spans="1:68" ht="16.5">
      <c r="A29" s="16"/>
      <c r="B29" s="16" t="s">
        <v>112</v>
      </c>
      <c r="C29" s="17">
        <f>IFERROR(AL29/BJ29,"")</f>
        <v>1.0</v>
      </c>
      <c r="D29" s="18">
        <f>IFERROR(AJ29/AN29,"")</f>
        <v>17.0</v>
      </c>
      <c r="E29" s="17">
        <f>IFERROR(D29/BK29,"")</f>
        <v>0.085</v>
      </c>
      <c r="F29" s="18">
        <f>IFERROR(AK29/AN29,"")</f>
        <v>2.216666666666667</v>
      </c>
      <c r="G29" s="17">
        <f>IFERROR(F29/BL29,"")</f>
        <v>0.08866666666666667</v>
      </c>
      <c r="H29" s="18">
        <f>IFERROR(AX29/AY29,"")</f>
        <v>3.8</v>
      </c>
      <c r="I29" s="17" t="str">
        <f>IFERROR(H29/BM29,"-")</f>
        <v>-</v>
      </c>
      <c r="J29" s="18" t="str">
        <f>IFERROR(AZ29/BA29,"")</f>
        <v/>
      </c>
      <c r="K29" s="18">
        <f>IFERROR(BB29/BC29,"")</f>
        <v>3.8</v>
      </c>
      <c r="L29" s="18" t="str">
        <f>IFERROR(BD29/BE29,"")</f>
        <v/>
      </c>
      <c r="M29" s="18">
        <f>IFERROR(BF29/BG29,"")</f>
        <v>3.8</v>
      </c>
      <c r="N29" s="18" t="str">
        <f>IFERROR(BH29/BI29,"")</f>
        <v/>
      </c>
      <c r="O29" s="19">
        <f>IFERROR(AO29/AQ29,"")</f>
        <v>4.0</v>
      </c>
      <c r="P29" s="19">
        <v>4.0</v>
      </c>
      <c r="Q29" s="17" t="str">
        <f>IFERROR(O29/BN29,"-")</f>
        <v>-</v>
      </c>
      <c r="R29" s="19">
        <f>IFERROR(AP29/AR29,"")</f>
        <v>1.5333333333333334</v>
      </c>
      <c r="S29" s="16">
        <f>IFERROR(AU29,"")</f>
        <v>12.0</v>
      </c>
      <c r="T29" s="26" t="s">
        <v>87</v>
      </c>
      <c r="U29" s="19">
        <f>IFERROR(AS29/AU29,"")</f>
        <v>1.0833333333333333</v>
      </c>
      <c r="V29" s="19">
        <f>IFERROR(AT29/AV29,"")</f>
        <v>0.22777777777777777</v>
      </c>
      <c r="W29" s="16">
        <v>0.0</v>
      </c>
      <c r="X29" s="16">
        <v>0.0</v>
      </c>
      <c r="Y29" s="17" t="str">
        <f>IFERROR(X29/W29,"")</f>
        <v/>
      </c>
      <c r="Z29" s="16">
        <v>0.0</v>
      </c>
      <c r="AA29" s="16">
        <v>0.0</v>
      </c>
      <c r="AB29" s="17" t="str">
        <f>IFERROR(AA29/Z29,"")</f>
        <v/>
      </c>
      <c r="AI29" s="17"/>
      <c r="AJ29" s="16">
        <v>17.0</v>
      </c>
      <c r="AK29" s="18">
        <v>2.216666666666667</v>
      </c>
      <c r="AL29" s="16">
        <v>13.0</v>
      </c>
      <c r="AM29" s="16">
        <v>4.0</v>
      </c>
      <c r="AN29" s="16">
        <v>1.0</v>
      </c>
      <c r="AO29" s="16">
        <v>4.0</v>
      </c>
      <c r="AP29" s="18">
        <v>1.5333333333333334</v>
      </c>
      <c r="AQ29" s="16">
        <v>1.0</v>
      </c>
      <c r="AR29" s="16">
        <v>1.0</v>
      </c>
      <c r="AS29" s="16">
        <v>13.0</v>
      </c>
      <c r="AT29" s="18">
        <v>0.6833333333333333</v>
      </c>
      <c r="AU29" s="16">
        <v>12.0</v>
      </c>
      <c r="AV29" s="16">
        <v>3.0</v>
      </c>
      <c r="AW29" s="16">
        <v>11.0</v>
      </c>
      <c r="AX29" s="18">
        <v>3.8</v>
      </c>
      <c r="AY29" s="16">
        <v>1.0</v>
      </c>
      <c r="AZ29" s="18">
        <v>0.0</v>
      </c>
      <c r="BA29" s="16">
        <v>0.0</v>
      </c>
      <c r="BB29" s="18">
        <v>3.8</v>
      </c>
      <c r="BC29" s="16">
        <v>1.0</v>
      </c>
      <c r="BD29" s="18">
        <v>0.0</v>
      </c>
      <c r="BE29" s="16">
        <v>0.0</v>
      </c>
      <c r="BF29" s="18">
        <v>3.8</v>
      </c>
      <c r="BG29" s="16">
        <v>1.0</v>
      </c>
      <c r="BH29" s="18">
        <v>0.0</v>
      </c>
      <c r="BI29" s="16">
        <v>0.0</v>
      </c>
      <c r="BJ29" s="16">
        <v>13.0</v>
      </c>
      <c r="BK29" s="16">
        <v>200.0</v>
      </c>
      <c r="BL29" s="16">
        <v>25.0</v>
      </c>
      <c r="BM29" s="16" t="str">
        <f>IF(B29="总计",30,"-")</f>
        <v>-</v>
      </c>
      <c r="BN29" s="16" t="str">
        <f>IF(B29="总计",10,"-")</f>
        <v>-</v>
      </c>
      <c r="BO29" s="16" t="str">
        <f>IF(B29="总计",1,"-")</f>
        <v>-</v>
      </c>
      <c r="BP29" s="15"/>
    </row>
    <row r="30" spans="1:68" ht="16.5">
      <c r="A30" s="16"/>
      <c r="B30" s="16" t="s">
        <v>113</v>
      </c>
      <c r="C30" s="17">
        <f>IFERROR(AL30/BJ30,"")</f>
        <v>1.0</v>
      </c>
      <c r="D30" s="18">
        <f>IFERROR(AJ30/AN30,"")</f>
        <v>13.0</v>
      </c>
      <c r="E30" s="17">
        <f>IFERROR(D30/BK30,"")</f>
        <v>0.065</v>
      </c>
      <c r="F30" s="18">
        <f>IFERROR(AK30/AN30,"")</f>
        <v>3.0166666666666666</v>
      </c>
      <c r="G30" s="17">
        <f>IFERROR(F30/BL30,"")</f>
        <v>0.12066666666666666</v>
      </c>
      <c r="H30" s="18" t="str">
        <f>IFERROR(AX30/AY30,"")</f>
        <v/>
      </c>
      <c r="I30" s="17" t="str">
        <f>IFERROR(H30/BM30,"-")</f>
        <v>-</v>
      </c>
      <c r="J30" s="18" t="str">
        <f>IFERROR(AZ30/BA30,"")</f>
        <v/>
      </c>
      <c r="K30" s="18" t="str">
        <f>IFERROR(BB30/BC30,"")</f>
        <v/>
      </c>
      <c r="L30" s="18" t="str">
        <f>IFERROR(BD30/BE30,"")</f>
        <v/>
      </c>
      <c r="M30" s="18" t="str">
        <f>IFERROR(BF30/BG30,"")</f>
        <v/>
      </c>
      <c r="N30" s="18" t="str">
        <f>IFERROR(BH30/BI30,"")</f>
        <v/>
      </c>
      <c r="O30" s="19" t="str">
        <f>IFERROR(AO30/AQ30,"")</f>
        <v/>
      </c>
      <c r="P30" s="19"/>
      <c r="Q30" s="17" t="str">
        <f>IFERROR(O30/BN30,"-")</f>
        <v>-</v>
      </c>
      <c r="R30" s="19" t="str">
        <f>IFERROR(AP30/AR30,"")</f>
        <v/>
      </c>
      <c r="S30" s="16">
        <f>IFERROR(AU30,"")</f>
        <v>9.0</v>
      </c>
      <c r="T30" s="26" t="s">
        <v>87</v>
      </c>
      <c r="U30" s="19">
        <f>IFERROR(AS30/AU30,"")</f>
        <v>1.4444444444444444</v>
      </c>
      <c r="V30" s="19">
        <f>IFERROR(AT30/AV30,"")</f>
        <v>0.6033333333333333</v>
      </c>
      <c r="W30" s="16">
        <v>0.0</v>
      </c>
      <c r="X30" s="16">
        <v>0.0</v>
      </c>
      <c r="Y30" s="17" t="str">
        <f>IFERROR(X30/W30,"")</f>
        <v/>
      </c>
      <c r="Z30" s="16">
        <v>0.0</v>
      </c>
      <c r="AA30" s="16">
        <v>0.0</v>
      </c>
      <c r="AB30" s="17" t="str">
        <f>IFERROR(AA30/Z30,"")</f>
        <v/>
      </c>
      <c r="AI30" s="17"/>
      <c r="AJ30" s="16">
        <v>13.0</v>
      </c>
      <c r="AK30" s="18">
        <v>3.0166666666666666</v>
      </c>
      <c r="AL30" s="16">
        <v>9.0</v>
      </c>
      <c r="AM30" s="16">
        <v>5.0</v>
      </c>
      <c r="AN30" s="16">
        <v>1.0</v>
      </c>
      <c r="AO30" s="16">
        <v>0.0</v>
      </c>
      <c r="AP30" s="18">
        <v>0.0</v>
      </c>
      <c r="AQ30" s="16">
        <v>0.0</v>
      </c>
      <c r="AR30" s="16">
        <v>0.0</v>
      </c>
      <c r="AS30" s="16">
        <v>13.0</v>
      </c>
      <c r="AT30" s="18">
        <v>3.0166666666666666</v>
      </c>
      <c r="AU30" s="16">
        <v>9.0</v>
      </c>
      <c r="AV30" s="16">
        <v>5.0</v>
      </c>
      <c r="AW30" s="16">
        <v>0.0</v>
      </c>
      <c r="AX30" s="18">
        <v>0.0</v>
      </c>
      <c r="AY30" s="16">
        <v>0.0</v>
      </c>
      <c r="AZ30" s="18">
        <v>0.0</v>
      </c>
      <c r="BA30" s="16">
        <v>0.0</v>
      </c>
      <c r="BB30" s="18">
        <v>0.0</v>
      </c>
      <c r="BC30" s="16">
        <v>0.0</v>
      </c>
      <c r="BD30" s="18">
        <v>0.0</v>
      </c>
      <c r="BE30" s="16">
        <v>0.0</v>
      </c>
      <c r="BF30" s="18">
        <v>0.0</v>
      </c>
      <c r="BG30" s="16">
        <v>0.0</v>
      </c>
      <c r="BH30" s="18">
        <v>0.0</v>
      </c>
      <c r="BI30" s="16">
        <v>0.0</v>
      </c>
      <c r="BJ30" s="16">
        <v>9.0</v>
      </c>
      <c r="BK30" s="16">
        <v>200.0</v>
      </c>
      <c r="BL30" s="16">
        <v>25.0</v>
      </c>
      <c r="BM30" s="16" t="str">
        <f>IF(B30="总计",30,"-")</f>
        <v>-</v>
      </c>
      <c r="BN30" s="16" t="str">
        <f>IF(B30="总计",10,"-")</f>
        <v>-</v>
      </c>
      <c r="BO30" s="16" t="str">
        <f>IF(B30="总计",1,"-")</f>
        <v>-</v>
      </c>
      <c r="BP30" s="15"/>
    </row>
    <row r="31" spans="1:68" ht="16.5">
      <c r="A31" s="16"/>
      <c r="B31" s="16" t="s">
        <v>114</v>
      </c>
      <c r="C31" s="17">
        <f>IFERROR(AL31/BJ31,"")</f>
        <v>1.0</v>
      </c>
      <c r="D31" s="18">
        <f>IFERROR(AJ31/AN31,"")</f>
        <v>17.6</v>
      </c>
      <c r="E31" s="17">
        <f>IFERROR(D31/BK31,"")</f>
        <v>0.08800000000000001</v>
      </c>
      <c r="F31" s="18">
        <f>IFERROR(AK31/AN31,"")</f>
        <v>4.893333333333333</v>
      </c>
      <c r="G31" s="17">
        <f>IFERROR(F31/BL31,"")</f>
        <v>0.19573333333333331</v>
      </c>
      <c r="H31" s="18">
        <f>IFERROR(AX31/AY31,"")</f>
        <v>6.404761904761904</v>
      </c>
      <c r="I31" s="17">
        <f>IFERROR(H31/BM31,"-")</f>
        <v>0.21349206349206348</v>
      </c>
      <c r="J31" s="18" t="str">
        <f>IFERROR(AZ31/BA31,"")</f>
        <v/>
      </c>
      <c r="K31" s="18">
        <f>IFERROR(BB31/BC31,"")</f>
        <v>6.404761904761904</v>
      </c>
      <c r="L31" s="18" t="str">
        <f>IFERROR(BD31/BE31,"")</f>
        <v/>
      </c>
      <c r="M31" s="18">
        <f>IFERROR(BF31/BG31,"")</f>
        <v>6.404761904761904</v>
      </c>
      <c r="N31" s="18" t="str">
        <f>IFERROR(BH31/BI31,"")</f>
        <v/>
      </c>
      <c r="O31" s="19">
        <f>IFERROR(AO31/AQ31,"")</f>
        <v>3.6666666666666665</v>
      </c>
      <c r="P31" s="19">
        <v>3.25</v>
      </c>
      <c r="Q31" s="17">
        <f>IFERROR(O31/BN31,"-")</f>
        <v>0.36666666666666664</v>
      </c>
      <c r="R31" s="19">
        <f>IFERROR(AP31/AR31,"")</f>
        <v>2.8222222222222224</v>
      </c>
      <c r="S31" s="16">
        <f>IFERROR(AU31,"")</f>
        <v>27.0</v>
      </c>
      <c r="T31" s="26" t="s">
        <v>87</v>
      </c>
      <c r="U31" s="19">
        <f>IFERROR(AS31/AU31,"")</f>
        <v>2.4444444444444446</v>
      </c>
      <c r="V31" s="19">
        <f>IFERROR(AT31/AV31,"")</f>
        <v>0.5380952380952381</v>
      </c>
      <c r="W31" s="16">
        <v>0.0</v>
      </c>
      <c r="X31" s="16">
        <v>0.0</v>
      </c>
      <c r="Y31" s="17" t="str">
        <f>IFERROR(X31/W31,"")</f>
        <v/>
      </c>
      <c r="Z31" s="16">
        <v>0.0</v>
      </c>
      <c r="AA31" s="16">
        <v>0.0</v>
      </c>
      <c r="AB31" s="17" t="str">
        <f>IFERROR(AA31/Z31,"")</f>
        <v/>
      </c>
      <c r="AI31" s="17"/>
      <c r="AJ31" s="16">
        <v>88.0</v>
      </c>
      <c r="AK31" s="18">
        <v>24.466666666666665</v>
      </c>
      <c r="AL31" s="16">
        <v>33.0</v>
      </c>
      <c r="AM31" s="16">
        <v>20.0</v>
      </c>
      <c r="AN31" s="16">
        <v>5.0</v>
      </c>
      <c r="AO31" s="16">
        <v>22.0</v>
      </c>
      <c r="AP31" s="18">
        <v>16.933333333333334</v>
      </c>
      <c r="AQ31" s="16">
        <v>6.0</v>
      </c>
      <c r="AR31" s="16">
        <v>6.0</v>
      </c>
      <c r="AS31" s="16">
        <v>66.0</v>
      </c>
      <c r="AT31" s="18">
        <v>7.533333333333333</v>
      </c>
      <c r="AU31" s="16">
        <v>27.0</v>
      </c>
      <c r="AV31" s="16">
        <v>14.0</v>
      </c>
      <c r="AW31" s="16">
        <v>48.0</v>
      </c>
      <c r="AX31" s="18">
        <v>44.83333333333333</v>
      </c>
      <c r="AY31" s="16">
        <v>7.0</v>
      </c>
      <c r="AZ31" s="18">
        <v>0.0</v>
      </c>
      <c r="BA31" s="16">
        <v>0.0</v>
      </c>
      <c r="BB31" s="18">
        <v>44.83333333333333</v>
      </c>
      <c r="BC31" s="16">
        <v>7.0</v>
      </c>
      <c r="BD31" s="18">
        <v>0.0</v>
      </c>
      <c r="BE31" s="16">
        <v>0.0</v>
      </c>
      <c r="BF31" s="18">
        <v>44.83333333333333</v>
      </c>
      <c r="BG31" s="16">
        <v>7.0</v>
      </c>
      <c r="BH31" s="18">
        <v>0.0</v>
      </c>
      <c r="BI31" s="16">
        <v>0.0</v>
      </c>
      <c r="BJ31" s="16">
        <v>33.0</v>
      </c>
      <c r="BK31" s="16">
        <v>200.0</v>
      </c>
      <c r="BL31" s="16">
        <v>25.0</v>
      </c>
      <c r="BM31" s="16">
        <f>IF(B31="总计",30,"-")</f>
        <v>30.0</v>
      </c>
      <c r="BN31" s="16">
        <f>IF(B31="总计",10,"-")</f>
        <v>10.0</v>
      </c>
      <c r="BO31" s="16">
        <f>IF(B31="总计",1,"-")</f>
        <v>1.0</v>
      </c>
      <c r="BP31" s="15"/>
    </row>
    <row r="32" spans="1:68" ht="16.5">
      <c r="A32" s="16" t="s">
        <v>114</v>
      </c>
      <c r="B32" s="16" t="s">
        <v>114</v>
      </c>
      <c r="C32" s="17">
        <f>IFERROR(AL32/BJ32,"")</f>
        <v>1.0</v>
      </c>
      <c r="D32" s="18">
        <f>IFERROR(AJ32/AN32,"")</f>
        <v>17.6</v>
      </c>
      <c r="E32" s="17">
        <f>IFERROR(D32/BK32,"")</f>
        <v>0.08800000000000001</v>
      </c>
      <c r="F32" s="18">
        <f>IFERROR(AK32/AN32,"")</f>
        <v>4.893333333333333</v>
      </c>
      <c r="G32" s="17">
        <f>IFERROR(F32/BL32,"")</f>
        <v>0.19573333333333331</v>
      </c>
      <c r="H32" s="18">
        <f>IFERROR(AX32/AY32,"")</f>
        <v>6.404761904761904</v>
      </c>
      <c r="I32" s="17">
        <f>IFERROR(H32/BM32,"-")</f>
        <v>0.21349206349206348</v>
      </c>
      <c r="J32" s="18" t="str">
        <f>IFERROR(AZ32/BA32,"")</f>
        <v/>
      </c>
      <c r="K32" s="18">
        <f>IFERROR(BB32/BC32,"")</f>
        <v>6.404761904761904</v>
      </c>
      <c r="L32" s="18" t="str">
        <f>IFERROR(BD32/BE32,"")</f>
        <v/>
      </c>
      <c r="M32" s="18">
        <f>IFERROR(BF32/BG32,"")</f>
        <v>6.404761904761904</v>
      </c>
      <c r="N32" s="18" t="str">
        <f>IFERROR(BH32/BI32,"")</f>
        <v/>
      </c>
      <c r="O32" s="19">
        <f>IFERROR(AO32/AQ32,"")</f>
        <v>3.6666666666666665</v>
      </c>
      <c r="P32" s="19">
        <v>3.25</v>
      </c>
      <c r="Q32" s="17">
        <f>IFERROR(O32/BN32,"-")</f>
        <v>0.36666666666666664</v>
      </c>
      <c r="R32" s="19">
        <f>IFERROR(AP32/AR32,"")</f>
        <v>2.8222222222222224</v>
      </c>
      <c r="S32" s="16">
        <f>IFERROR(AU32,"")</f>
        <v>27.0</v>
      </c>
      <c r="T32" s="26" t="s">
        <v>87</v>
      </c>
      <c r="U32" s="19">
        <f>IFERROR(AS32/AU32,"")</f>
        <v>2.4444444444444446</v>
      </c>
      <c r="V32" s="19">
        <f>IFERROR(AT32/AV32,"")</f>
        <v>0.5380952380952381</v>
      </c>
      <c r="W32" s="16">
        <v>0.0</v>
      </c>
      <c r="X32" s="16">
        <v>0.0</v>
      </c>
      <c r="Y32" s="17" t="str">
        <f>IFERROR(X32/W32,"")</f>
        <v/>
      </c>
      <c r="Z32" s="16">
        <v>0.0</v>
      </c>
      <c r="AA32" s="16">
        <v>0.0</v>
      </c>
      <c r="AB32" s="17" t="str">
        <f>IFERROR(AA32/Z32,"")</f>
        <v/>
      </c>
      <c r="AI32" s="17"/>
      <c r="AJ32" s="16">
        <v>88.0</v>
      </c>
      <c r="AK32" s="18">
        <v>24.466666666666665</v>
      </c>
      <c r="AL32" s="16">
        <v>33.0</v>
      </c>
      <c r="AM32" s="16">
        <v>20.0</v>
      </c>
      <c r="AN32" s="16">
        <v>5.0</v>
      </c>
      <c r="AO32" s="16">
        <v>22.0</v>
      </c>
      <c r="AP32" s="18">
        <v>16.933333333333334</v>
      </c>
      <c r="AQ32" s="16">
        <v>6.0</v>
      </c>
      <c r="AR32" s="16">
        <v>6.0</v>
      </c>
      <c r="AS32" s="16">
        <v>66.0</v>
      </c>
      <c r="AT32" s="18">
        <v>7.533333333333333</v>
      </c>
      <c r="AU32" s="16">
        <v>27.0</v>
      </c>
      <c r="AV32" s="16">
        <v>14.0</v>
      </c>
      <c r="AW32" s="16">
        <v>48.0</v>
      </c>
      <c r="AX32" s="18">
        <v>44.83333333333333</v>
      </c>
      <c r="AY32" s="16">
        <v>7.0</v>
      </c>
      <c r="AZ32" s="18">
        <v>0.0</v>
      </c>
      <c r="BA32" s="16">
        <v>0.0</v>
      </c>
      <c r="BB32" s="18">
        <v>44.83333333333333</v>
      </c>
      <c r="BC32" s="16">
        <v>7.0</v>
      </c>
      <c r="BD32" s="18">
        <v>0.0</v>
      </c>
      <c r="BE32" s="16">
        <v>0.0</v>
      </c>
      <c r="BF32" s="18">
        <v>44.83333333333333</v>
      </c>
      <c r="BG32" s="16">
        <v>7.0</v>
      </c>
      <c r="BH32" s="18">
        <v>0.0</v>
      </c>
      <c r="BI32" s="16">
        <v>0.0</v>
      </c>
      <c r="BJ32" s="16">
        <v>33.0</v>
      </c>
      <c r="BK32" s="16">
        <v>200.0</v>
      </c>
      <c r="BL32" s="16">
        <v>25.0</v>
      </c>
      <c r="BM32" s="16">
        <f>IF(B32="总计",30,"-")</f>
        <v>30.0</v>
      </c>
      <c r="BN32" s="16">
        <f>IF(B32="总计",10,"-")</f>
        <v>10.0</v>
      </c>
      <c r="BO32" s="16">
        <f>IF(B32="总计",1,"-")</f>
        <v>1.0</v>
      </c>
      <c r="BP32" s="15"/>
    </row>
    <row r="33" spans="1:62" ht="16.5">
      <c r="A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BJ33" s="8"/>
    </row>
    <row r="34" ht="14.25"/>
    <row r="35" spans="2:3" ht="16.5">
      <c r="B35" s="9" t="s">
        <v>41</v>
      </c>
      <c r="C35" s="8"/>
    </row>
    <row r="36" spans="2:3" ht="16.5">
      <c r="B36" s="9" t="s">
        <v>42</v>
      </c>
      <c r="C36" s="8"/>
    </row>
    <row r="37" spans="2:3" ht="16.5">
      <c r="B37" s="9" t="s">
        <v>43</v>
      </c>
      <c r="C37" s="8"/>
    </row>
    <row r="38" spans="2:3" ht="16.5">
      <c r="B38" s="25" t="s">
        <v>84</v>
      </c>
      <c r="C38" s="8"/>
    </row>
    <row r="39" spans="2:2" ht="15">
      <c r="B39" s="9" t="s">
        <v>44</v>
      </c>
    </row>
    <row r="40" spans="2:2" ht="15">
      <c r="B40" s="9" t="s">
        <v>45</v>
      </c>
    </row>
    <row r="41" spans="2:2" ht="15">
      <c r="B41" s="9" t="s">
        <v>46</v>
      </c>
    </row>
    <row r="42" spans="2:2" ht="15">
      <c r="B42" s="9" t="s">
        <v>47</v>
      </c>
    </row>
    <row r="43" spans="2:2" ht="15">
      <c r="B43" s="9" t="s">
        <v>48</v>
      </c>
    </row>
    <row r="44" spans="2:2" ht="15">
      <c r="B44" s="9" t="s">
        <v>51</v>
      </c>
    </row>
    <row r="45" spans="2:2" ht="15">
      <c r="B45" s="9" t="s">
        <v>96</v>
      </c>
    </row>
    <row r="46" spans="2:2" ht="15">
      <c r="B46" s="9" t="s">
        <v>101</v>
      </c>
    </row>
    <row r="47" spans="2:2" ht="15">
      <c r="B47" s="9" t="s">
        <v>102</v>
      </c>
    </row>
    <row r="48" spans="2:2" ht="15">
      <c r="B48" s="9" t="s">
        <v>103</v>
      </c>
    </row>
    <row r="49" spans="2:2" ht="15">
      <c r="B49" s="9" t="s">
        <v>105</v>
      </c>
    </row>
  </sheetData>
  <mergeCells count="20">
    <mergeCell ref="A5:B5"/>
    <mergeCell ref="A7:A8"/>
    <mergeCell ref="B7:B8"/>
    <mergeCell ref="C7:G7"/>
    <mergeCell ref="H7:N7"/>
    <mergeCell ref="O7:R7"/>
    <mergeCell ref="S7:V7"/>
    <mergeCell ref="W7:AB7"/>
    <mergeCell ref="AC7:AD7"/>
    <mergeCell ref="AE7:AH7"/>
    <mergeCell ref="A9:A16"/>
    <mergeCell ref="A21:B21"/>
    <mergeCell ref="A23:A24"/>
    <mergeCell ref="B23:B24"/>
    <mergeCell ref="C23:G23"/>
    <mergeCell ref="H23:N23"/>
    <mergeCell ref="O23:R23"/>
    <mergeCell ref="S23:V23"/>
    <mergeCell ref="W23:AB23"/>
    <mergeCell ref="A25:A31"/>
  </mergeCells>
  <pageMargins left="0.7" right="0.7" top="0.75" bottom="0.75" header="0.3" footer="0.3"/>
  <pageSetup orientation="portrait" paperSize="9" r:id="rId1"/>
  <ignoredErrors>
    <ignoredError sqref="I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林海涛</dc:creator>
  <cp:keywords/>
  <dc:description/>
  <cp:lastModifiedBy>刘秀芳</cp:lastModifiedBy>
  <dcterms:created xsi:type="dcterms:W3CDTF">2015-06-05T18:19:34Z</dcterms:created>
  <dcterms:modified xsi:type="dcterms:W3CDTF">2026-03-05T05:46:12Z</dcterms:modified>
  <cp:category/>
</cp:coreProperties>
</file>