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50518d3ccaf4ba4bf008d47d66c1b63" hidden="1" comment="SSRRANGE">Sheet1!$CI$7</definedName>
    <definedName name="_067508c321ca454daf41302e97e177f8" hidden="1" comment="SSRRANGE">Sheet1!$AZ$7</definedName>
    <definedName name="_07176eee6ef84ac8adc5331b7f95e02e" hidden="1" comment="SSRRANGE">Sheet1!$BB$7</definedName>
    <definedName name="_0ed7802744ec4ba0a1f4bdb0aa84c437" hidden="1" comment="SSRRANGE">Sheet1!$CE$7</definedName>
    <definedName name="_15a00dc62f5c4d3396f9664c0ad10a11" hidden="1" comment="SSRRANGE">Sheet1!$CD$7</definedName>
    <definedName name="_171799f3c8ba40d6af609fce90436620" hidden="1" comment="SSRRANGE">Sheet1!$AL$7</definedName>
    <definedName name="_1a5c0a50917f4c049e4f5e183ca7cfd3" hidden="1" comment="SSRRANGE">Sheet1!$BT$7</definedName>
    <definedName name="_1dc816e04b344a82bd04e718cd6ac062" hidden="1" comment="SSRRANGE">Sheet1!$BD$7</definedName>
    <definedName name="_1e9bea652d0341eca4bc6ade81ee05f0" hidden="1" comment="SSRRANGE">Sheet1!$CB$7</definedName>
    <definedName name="_23f48ab3d3fb48e5b07ef7506cae8838" hidden="1" comment="SSRRANGE">Sheet1!$BH$7</definedName>
    <definedName name="_256658e4fa814d008afbce50c5021ea9" hidden="1" comment="SSRRANGE">Sheet1!$AI$7</definedName>
    <definedName name="_2a535930b9674df48baa2721a4543bac" hidden="1" comment="SSRRANGE">Sheet1!$AT$7</definedName>
    <definedName name="_2c80da0d8dd54f57afbbf0d3f55c5da9" hidden="1" comment="SSRRANGE">Sheet1!$BA$7</definedName>
    <definedName name="_3040fda1be5f46cf80df3caf7d8118fa" hidden="1" comment="SSRRANGE">Sheet1!$AN$7</definedName>
    <definedName name="_33bd036211ed49b0a2c762731d36114d" hidden="1" comment="SSRRANGE">Sheet1!$AU$7</definedName>
    <definedName name="_34a1004e7f854c5e88eeb5f7883df41b" hidden="1" comment="SSRRANGE">Sheet1!$CJ$7</definedName>
    <definedName name="_364e55f22e854837b027e1df9c0199bd" hidden="1" comment="SSRRANGE">Sheet1!$E$7</definedName>
    <definedName name="_4359482334b84441b998f5f3d5e74e54" hidden="1" comment="SSRRANGE">Sheet1!$D$7</definedName>
    <definedName name="_49eb8fbe31e34c1ba343383e9a355dfe" hidden="1" comment="SSRRANGE">Sheet1!$CC$7</definedName>
    <definedName name="_4c134f0de1da43af9c5c651b45cfb0a1" hidden="1" comment="SSRRANGE">Sheet1!$AP$7</definedName>
    <definedName name="_4e15c96bd14d4829958495ef4e37199c" hidden="1" comment="SSRRANGE">Sheet1!$CA$7</definedName>
    <definedName name="_501aa75a93b54871a50bd76388b4db68" hidden="1" comment="SSRRANGE">Sheet1!$AK$7</definedName>
    <definedName name="_50b95d5d835f468f93b5ec93dbde1ac2" hidden="1" comment="SSRRANGE">Sheet1!$AJ$7</definedName>
    <definedName name="_5a5982497b8d441fa4357f14f6ecc0e1" hidden="1" comment="SSRRANGE">Sheet1!$BJ$7</definedName>
    <definedName name="_5c1eed9f97f240c0aee9100e4134d154" hidden="1" comment="SSRRANGE">Sheet1!$BI$7</definedName>
    <definedName name="_5c65176baa3d4cc28e99be609a4a2cda" hidden="1" comment="SSRRANGE">Sheet1!$AV$7</definedName>
    <definedName name="_5ca3909eadca4c618ed2978787d49468" hidden="1" comment="SSRRANGE">Sheet1!$BV$7</definedName>
    <definedName name="_5eade4a29b514367b61d10c6b578690e" hidden="1" comment="SSRRANGE">Sheet1!$BX$7</definedName>
    <definedName name="_62053b0a720c4ad2bd985055783747df" hidden="1" comment="SSRRANGE">Sheet1!$B$7</definedName>
    <definedName name="_68520f1591a14c36b30fede9f799899c" hidden="1" comment="SSRRANGE">Sheet1!$AF$7</definedName>
    <definedName name="_6903f9d3c9a74e2ebf334a4fed2b4081" hidden="1" comment="SSRRANGE">Sheet1!$CH$7</definedName>
    <definedName name="_6bf9152a8e6c4d279c1bc269ccfb770c" hidden="1" comment="SSRRANGE">Sheet1!$Z$7</definedName>
    <definedName name="_70698c06a9f548eea8766bc17bfdb4f3" hidden="1" comment="SSRRANGE">Sheet1!$BZ$7</definedName>
    <definedName name="_7c1a50c1e23b40e69922b6fb6f6deace" hidden="1" comment="SSRRANGE">Sheet1!$AY$7</definedName>
    <definedName name="_7fc4354094d54a6fa38356625277df02" hidden="1" comment="SSRRANGE">Sheet1!$BN$7</definedName>
    <definedName name="_83d371e9c1b94462815b0ea88042c5be" hidden="1" comment="SSRRANGE">Sheet1!$X$7</definedName>
    <definedName name="_89e7508a12cd45fe8a2a9d87b0dd6259" hidden="1" comment="SSRRANGE">Sheet1!$BQ$7</definedName>
    <definedName name="_8c3633eff41644ef9550272cea98b367" hidden="1" comment="SSRRANGE">Sheet1!$AW$7</definedName>
    <definedName name="_8dd22f483f59425585c7d87689a223af" hidden="1" comment="SSRRANGE">Sheet1!$C$7</definedName>
    <definedName name="_92c0a1837e264cdf8566db8ecc5b133c" hidden="1" comment="SSRRANGE">Sheet1!$BL$7</definedName>
    <definedName name="_936e60e5017f44d786c4c9f32d8cbe46" hidden="1" comment="SSRRANGE">Sheet1!$AO$7</definedName>
    <definedName name="_9c758472819e4770804e69a929ee0b9a" hidden="1" comment="SSRRANGE">Sheet1!$CM$7</definedName>
    <definedName name="_a16cd95a1a1e482d897aaacdcf106218" hidden="1" comment="SSRRANGE">Sheet1!$AG$7</definedName>
    <definedName name="_a3dfd2755f0548cab549028bab5ad845" hidden="1" comment="SSRRANGE">Sheet1!$AH$7</definedName>
    <definedName name="_a86b8814c3da4cf88f259b52fd4553a9" hidden="1" comment="SSRRANGE">Sheet1!$BS$7</definedName>
    <definedName name="_a99a673ca2034738985d69fbeeb011bb" hidden="1" comment="SSRRANGE">Sheet1!$BR$7</definedName>
    <definedName name="_ab884aba3d6343ab935a461d20e1fcd9" hidden="1" comment="SSRRANGE">Sheet1!$BF$7</definedName>
    <definedName name="_b034480f318e4c08a04b5399db486566" hidden="1" comment="SSRRANGE">Sheet1!$CF$7</definedName>
    <definedName name="_b25f376b106b43249b24b07954c07807" hidden="1" comment="SSRRANGE">Sheet1!$BK$18</definedName>
    <definedName name="_b36f11da365c4630a8a1e5bc650a8125" hidden="1" comment="SSRRANGE">Sheet1!$CK$7</definedName>
    <definedName name="_c6cb87c8b340475e83f58f87e7479a91" hidden="1" comment="SSRRANGE">Sheet1!$AS$7</definedName>
    <definedName name="_ca97bb4c838943e4aaea62c991e4cbae" hidden="1" comment="SSRRANGE">Sheet1!$CG$7</definedName>
    <definedName name="_d06d308aaa274dabb0756d90ceb66240" hidden="1" comment="SSRRANGE">Sheet1!$BU$7</definedName>
    <definedName name="_d1bc7c807d3d4619b846177e82cfabb2" hidden="1" comment="SSRRANGE">Sheet1!$L$7</definedName>
    <definedName name="_ddd5d524a9b34dacba42f47af5f63201" hidden="1" comment="SSRRANGE">Sheet1!$BM$7</definedName>
    <definedName name="_df0ad290f79b404e8723408e2236e18e" hidden="1" comment="SSRRANGE">Sheet1!$J$7</definedName>
    <definedName name="_e13f3337f7b94b3197657bf6fb18430b" hidden="1" comment="SSRRANGE">Sheet1!$AX$7</definedName>
    <definedName name="_e3e3f62536334b9b81f48aacdb4b55cc" hidden="1" comment="SSRRANGE">Sheet1!$CL$7</definedName>
    <definedName name="_e83de7a6d05e4c9d8e8da38eaaff9952" hidden="1" comment="SSRRANGE">Sheet1!$Y$7</definedName>
    <definedName name="_f26090b01c2d441b953420354e4240e2" hidden="1" comment="SSRRANGE">Sheet1!$BG$7</definedName>
    <definedName name="_f4092adb45a5492e88534bd656949713" hidden="1" comment="SSRRANGE">Sheet1!$BY$7</definedName>
    <definedName name="_f54b01f9cb5c4a9b99a5eff966a7bab4" hidden="1" comment="SSRRANGE">Sheet1!$K$7</definedName>
    <definedName name="_fba4f368e5894796be7270140c28fb71" hidden="1" comment="SSRRANGE">Sheet1!#REF!</definedName>
    <definedName name="_fe02c5edd72f4cef8687616a95d10420" hidden="1" comment="SSRRANGE">Sheet1!$AA$7</definedName>
    <definedName name="_fefdb582f7e6451fbb7e9336d1ccbaad" hidden="1" comment="SSRRANGE">Sheet1!$BW$7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S17" i="1" l="1"/>
</calcChain>
</file>

<file path=xl/sharedStrings.xml><?xml version="1.0" encoding="utf-8"?>
<sst xmlns="http://schemas.openxmlformats.org/spreadsheetml/2006/main" count="158" uniqueCount="143">
  <si>
    <t>TMK</t>
  </si>
  <si>
    <t>新生+老生跟进</t>
  </si>
  <si>
    <t>新生跟进</t>
  </si>
  <si>
    <t>老生跟进</t>
  </si>
  <si>
    <t>生均通次达成率</t>
  </si>
  <si>
    <t>拨打学员数</t>
  </si>
  <si>
    <t>日均通次</t>
  </si>
  <si>
    <t>生均跟进时效（分）</t>
  </si>
  <si>
    <t>生均通次</t>
  </si>
  <si>
    <t>通次</t>
  </si>
  <si>
    <t>通时</t>
  </si>
  <si>
    <t>拨打人数</t>
  </si>
  <si>
    <t>工作天数</t>
  </si>
  <si>
    <t>日均通时（分）</t>
  </si>
  <si>
    <t>开始日期</t>
  </si>
  <si>
    <t>结束日期</t>
  </si>
  <si>
    <t>一级渠道</t>
  </si>
  <si>
    <t>主投</t>
  </si>
  <si>
    <t>辅投</t>
  </si>
  <si>
    <t>新例子通次</t>
  </si>
  <si>
    <t>新例子通时</t>
  </si>
  <si>
    <t>新例子拨打人数</t>
  </si>
  <si>
    <t>老例子通次</t>
  </si>
  <si>
    <t>老例子通时</t>
  </si>
  <si>
    <t>老例子拨打人数</t>
  </si>
  <si>
    <t>首拨间隔</t>
  </si>
  <si>
    <t>跟进人数</t>
  </si>
  <si>
    <t>生均通时（分）</t>
  </si>
  <si>
    <t>生均通时（分）</t>
  </si>
  <si>
    <t>接通人数</t>
  </si>
  <si>
    <t>新例子接通人数</t>
  </si>
  <si>
    <t>老例子接通人数</t>
  </si>
  <si>
    <t>口径说明</t>
  </si>
  <si>
    <t>1）通次：拨打电话的次数</t>
  </si>
  <si>
    <t>2）通时：接通时长</t>
  </si>
  <si>
    <t>4）日均通时 = 通时 / 工作天数</t>
  </si>
  <si>
    <t>5）日均通次 = 通次 / 工作天数</t>
  </si>
  <si>
    <t>6）生均通次 = 通次/ 拨打学员数</t>
  </si>
  <si>
    <t>7）生均通时 = 通时 / 接通学员数</t>
  </si>
  <si>
    <t>8）总计的生均通时、通次是从团队维度，根据user_id去重统计的，主要用来判断资源是否跟透</t>
  </si>
  <si>
    <t>上月老例子拨打人数</t>
  </si>
  <si>
    <t>同期拨打环比</t>
  </si>
  <si>
    <t>跟进时效</t>
  </si>
  <si>
    <t>结果指标</t>
  </si>
  <si>
    <t>思维约课数</t>
  </si>
  <si>
    <t>美术约课数</t>
  </si>
  <si>
    <t>跟进原因</t>
  </si>
  <si>
    <t>跟进进度</t>
  </si>
  <si>
    <t>跟进结果</t>
  </si>
  <si>
    <t>生均跟进时效达成率</t>
  </si>
  <si>
    <t>生均跟进时效（欧洲）</t>
  </si>
  <si>
    <t>生均跟进时效（非欧洲）</t>
  </si>
  <si>
    <t>生均跟进时效（北美）</t>
  </si>
  <si>
    <t>生均跟进时效（澳洲）</t>
  </si>
  <si>
    <t>首拨间隔-欧洲</t>
  </si>
  <si>
    <t>跟进人数-欧洲</t>
  </si>
  <si>
    <t>首拨间隔-非欧洲</t>
  </si>
  <si>
    <t>跟进人数-非欧洲</t>
  </si>
  <si>
    <t>首拨间隔-北美</t>
  </si>
  <si>
    <t>跟进人数-北美</t>
  </si>
  <si>
    <t>首拨间隔-港澳台</t>
  </si>
  <si>
    <t>跟进人数-港澳台</t>
  </si>
  <si>
    <t>首拨间隔-澳洲</t>
  </si>
  <si>
    <t>跟进人数-澳洲</t>
  </si>
  <si>
    <t>通次目标</t>
  </si>
  <si>
    <t>通时目标</t>
  </si>
  <si>
    <t>跟进时效目标</t>
  </si>
  <si>
    <t>新生生均通次</t>
  </si>
  <si>
    <t>老生生均通次</t>
  </si>
  <si>
    <t xml:space="preserve"> </t>
  </si>
  <si>
    <t>9）正常未邀约：TMK末次跟进结果为未邀约，且TMK末次跟进原因 为再联系或空值；异常未邀约：TMK末次跟进结果为未邀约，且TMK末次跟进原因 不为再联系或空值</t>
  </si>
  <si>
    <t>邝诗颖</t>
  </si>
  <si>
    <t>TMK个人做工</t>
  </si>
  <si>
    <t>目标：30</t>
  </si>
  <si>
    <t>2026-06-01</t>
  </si>
  <si>
    <t>2026-06-09</t>
  </si>
  <si>
    <t>未及时跟进流转</t>
  </si>
  <si>
    <t>昨日未及时跟进流转</t>
  </si>
  <si>
    <t>昨日未及时跟进数</t>
  </si>
  <si>
    <t>10）未及时跟进数：投放、商务渠道，且未邀约，分发tmk后大于60分钟未跟进的学员数</t>
  </si>
  <si>
    <t>生均跟进时效（港澳）</t>
  </si>
  <si>
    <t>昨日流转率</t>
  </si>
  <si>
    <t>MTD未及时跟进数</t>
  </si>
  <si>
    <t>MTD流转率</t>
  </si>
  <si>
    <t>昨日通时</t>
  </si>
  <si>
    <t>昨日通次</t>
  </si>
  <si>
    <t>昨日生均跟进时效（分）</t>
  </si>
  <si>
    <t>美术例子数</t>
  </si>
  <si>
    <t>思维例子数</t>
  </si>
  <si>
    <t>思维例子约课率</t>
  </si>
  <si>
    <t>美术例子约课率</t>
  </si>
  <si>
    <t>日均通次环比</t>
  </si>
  <si>
    <t>日均通时环比</t>
  </si>
  <si>
    <t>上月通次</t>
  </si>
  <si>
    <t>上月通时</t>
  </si>
  <si>
    <t>上月工作天数</t>
  </si>
  <si>
    <t>二级渠道</t>
  </si>
  <si>
    <t>区域等级</t>
  </si>
  <si>
    <t>周依洁</t>
  </si>
  <si>
    <t>TMK小组</t>
  </si>
  <si>
    <t>拨打学员数</t>
  </si>
  <si>
    <t>拨打次数</t>
  </si>
  <si>
    <t>生均拨打次数</t>
  </si>
  <si>
    <t>有效接通率</t>
  </si>
  <si>
    <t>思维例子约课到课率</t>
  </si>
  <si>
    <t>一级渠道层级</t>
  </si>
  <si>
    <t>区域等级层级</t>
  </si>
  <si>
    <t>KOLHK-思维主投</t>
  </si>
  <si>
    <t>11）有效接通率：单次通话时长大于120秒的通次 / 通次</t>
  </si>
  <si>
    <t>14）思维例子约课到课率：本月约课且本月到课数 / 总约课数</t>
  </si>
  <si>
    <t>团队汇总</t>
  </si>
  <si>
    <t>海外夜班TMK组</t>
  </si>
  <si>
    <t>首发本组约课数</t>
  </si>
  <si>
    <t>首发非本组约课数</t>
  </si>
  <si>
    <t>3）工作天数：当日通次大于180，定义为当日上班</t>
  </si>
  <si>
    <t>首次接通相关数据</t>
  </si>
  <si>
    <t>接通学员数</t>
  </si>
  <si>
    <t>接通邀约率</t>
  </si>
  <si>
    <t>60s接通学员数</t>
  </si>
  <si>
    <t>60s接通率</t>
  </si>
  <si>
    <t>120s接通率</t>
  </si>
  <si>
    <t>120s接通学员数</t>
  </si>
  <si>
    <t>60s接通邀约率</t>
  </si>
  <si>
    <t>120s接通邀约率</t>
  </si>
  <si>
    <t>13）首发非本组约课数：首次分发TMK小组  &lt;&gt;  首次约课TMK小组，且首次约课为海外TMK</t>
  </si>
  <si>
    <t>12）首发本组约课数：首次分发TMK小组 = 首次约课TMK小组，且首次约课为海外TMK</t>
  </si>
  <si>
    <t>14）接通学员数：首次分发TMK且TMK外呼首次接通的学员数</t>
  </si>
  <si>
    <t>15）60s接通学员数：首次分发TMK且TMK首次外呼接通且外呼时长大于等于60秒的学员数</t>
  </si>
  <si>
    <t>16）120s接通学员数：首次分发TMK且TMK首次外呼接通且外呼时长大于等于120秒的学员数</t>
  </si>
  <si>
    <t>17）60s接通率 = 60s接通学员数 / 接通学员数</t>
  </si>
  <si>
    <t>18）120s接通率 = 120s接通学员数 / 接通学员数</t>
  </si>
  <si>
    <t>19）接通邀约率 = 接通学员数中首次接通后首次约课小组为海外TMK的学员数 / 接通学员数</t>
  </si>
  <si>
    <t>20）60s接通邀约率 = 60s接通学员数中首次接通后首次约课小组为海外TMK的学员数 / 60s接通学员数</t>
  </si>
  <si>
    <t>21）120s接通邀约率 = 120s接通学员数中首次接通后首次约课小组为海外TMK的学员数 / 120s接通学员数</t>
  </si>
  <si>
    <t>批量拨打次数</t>
  </si>
  <si>
    <t>总计</t>
  </si>
  <si>
    <t>何喜青</t>
  </si>
  <si>
    <t>海外白班TMK组</t>
  </si>
  <si>
    <t>李可茵</t>
  </si>
  <si>
    <t>李秀芳</t>
  </si>
  <si>
    <t>林俊杰</t>
  </si>
  <si>
    <t>汤秀芳</t>
  </si>
  <si>
    <t>谢小琼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</si>
</sst>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_ "/>
    <numFmt numFmtId="178" formatCode="0.0%"/>
    <numFmt numFmtId="179" formatCode="0_);[Red]\(0\)"/>
    <numFmt numFmtId="180" formatCode="#,##0_ "/>
    <numFmt numFmtId="181" formatCode="#,##0_);[Red]\(#,##0\)"/>
    <numFmt numFmtId="182" formatCode="#,##0.0_ "/>
  </numFmts>
  <fonts count="7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微软雅黑"/>
      <family val="2"/>
      <charset val="-122"/>
    </font>
    <font>
      <sz val="9"/>
      <name val="等线"/>
      <family val="3"/>
      <charset val="-122"/>
      <scheme val="minor"/>
    </font>
    <font>
      <b/>
      <sz val="11"/>
      <color theme="1"/>
      <name val="微软雅黑"/>
      <family val="2"/>
      <charset val="-122"/>
    </font>
    <font>
      <b/>
      <sz val="11"/>
      <color rgb="FF000000"/>
      <name val="微软雅黑"/>
      <family val="2"/>
      <charset val="-122"/>
    </font>
    <font>
      <b/>
      <sz val="11"/>
      <color rgb="FFFF0000"/>
      <name val="微软雅黑"/>
      <family val="2"/>
      <charset val="-122"/>
    </font>
  </fonts>
  <fills count="9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5" tint="0.79997998476028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8" fontId="2" fillId="0" borderId="1" xfId="2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78" fontId="2" fillId="0" borderId="1" xfId="2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2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4"/>
  <sheetViews>
    <sheetView tabSelected="1" workbookViewId="0" topLeftCell="A1">
      <pane xSplit="5" ySplit="6" topLeftCell="F7" activePane="bottomRight" state="frozen"/>
      <selection pane="topLeft" activeCell="A1" sqref="A1"/>
      <selection pane="bottomLeft" activeCell="A7" sqref="A7"/>
      <selection pane="topRight" activeCell="F1" sqref="F1"/>
      <selection pane="bottomRight" activeCell="I24" sqref="I24"/>
    </sheetView>
  </sheetViews>
  <sheetFormatPr defaultRowHeight="16.5"/>
  <cols>
    <col min="1" max="1" width="9" style="1"/>
    <col min="2" max="2" width="12.125" style="1" customWidth="1"/>
    <col min="3" max="3" width="15" style="1" customWidth="1"/>
    <col min="4" max="4" width="14.625" style="1" customWidth="1"/>
    <col min="5" max="5" width="13.5" style="1" customWidth="1"/>
    <col min="6" max="7" width="12.625" style="1" customWidth="1"/>
    <col min="8" max="8" width="13.375" style="1" customWidth="1"/>
    <col min="9" max="14" width="12.625" style="1" customWidth="1"/>
    <col min="15" max="19" width="12.625" style="1" hidden="1" customWidth="1"/>
    <col min="20" max="24" width="12.625" style="1" customWidth="1"/>
    <col min="25" max="25" width="12.625" style="1" hidden="1" customWidth="1"/>
    <col min="26" max="39" width="12.625" style="1" customWidth="1"/>
    <col min="40" max="40" width="12.625" style="1" hidden="1" customWidth="1"/>
    <col min="41" max="46" width="12.625" style="1" customWidth="1"/>
    <col min="47" max="47" width="11.25" style="1" customWidth="1"/>
    <col min="48" max="48" width="11.375" style="1" customWidth="1"/>
    <col min="49" max="53" width="12.625" style="1" customWidth="1"/>
    <col min="54" max="57" width="12.625" style="1" hidden="1" customWidth="1"/>
    <col min="58" max="58" width="12.125" style="1" customWidth="1"/>
    <col min="59" max="59" width="12.5" style="1" hidden="1" customWidth="1"/>
    <col min="60" max="61" width="14.75" style="1" hidden="1" customWidth="1"/>
    <col min="62" max="62" width="12.75" style="1" hidden="1" customWidth="1"/>
    <col min="63" max="68" width="13.125" style="1" hidden="1" customWidth="1"/>
    <col min="69" max="70" width="14" style="1" hidden="1" customWidth="1"/>
    <col min="71" max="74" width="9" style="1" hidden="1" customWidth="1"/>
    <col min="75" max="75" width="10.25" style="1" hidden="1" customWidth="1"/>
    <col min="76" max="97" width="9" style="1" hidden="1" customWidth="1"/>
    <col min="98" max="16384" width="9" style="1"/>
  </cols>
  <sheetData>
    <row r="1" spans="1:12" s="2" customFormat="1" ht="16.5">
      <c r="A1" s="2"/>
      <c r="B1" s="4" t="s">
        <v>14</v>
      </c>
      <c r="C1" s="2" t="s">
        <v>74</v>
      </c>
      <c r="D1" s="32" t="s">
        <v>105</v>
      </c>
      <c r="E1" s="2" t="s">
        <v>135</v>
      </c>
      <c r="F1" s="32" t="s">
        <v>17</v>
      </c>
      <c r="H1" s="13" t="s">
        <v>46</v>
      </c>
      <c r="I1" s="4"/>
      <c r="L1" s="4"/>
    </row>
    <row r="2" spans="1:12" s="2" customFormat="1" ht="16.5">
      <c r="A2" s="2"/>
      <c r="B2" s="4" t="s">
        <v>15</v>
      </c>
      <c r="C2" s="2" t="s">
        <v>75</v>
      </c>
      <c r="D2" s="32" t="s">
        <v>96</v>
      </c>
      <c r="E2" s="2" t="s">
        <v>107</v>
      </c>
      <c r="F2" s="32" t="s">
        <v>18</v>
      </c>
      <c r="H2" s="13" t="s">
        <v>47</v>
      </c>
      <c r="I2" s="4"/>
      <c r="L2" s="4"/>
    </row>
    <row r="3" spans="1:8" s="2" customFormat="1" ht="16.5">
      <c r="A3" s="2"/>
      <c r="D3" s="32" t="s">
        <v>106</v>
      </c>
      <c r="E3" s="2" t="s">
        <v>135</v>
      </c>
      <c r="H3" s="13" t="s">
        <v>48</v>
      </c>
    </row>
    <row r="4" spans="1:1" s="2" customFormat="1" ht="16.5">
      <c r="A4" s="2"/>
    </row>
    <row r="5" spans="1:98" s="2" customFormat="1" ht="16.5">
      <c r="A5" s="2"/>
      <c r="B5" s="41" t="s">
        <v>16</v>
      </c>
      <c r="C5" s="41" t="s">
        <v>97</v>
      </c>
      <c r="D5" s="41" t="s">
        <v>99</v>
      </c>
      <c r="E5" s="41" t="s">
        <v>0</v>
      </c>
      <c r="F5" s="44" t="s">
        <v>72</v>
      </c>
      <c r="G5" s="45"/>
      <c r="H5" s="45"/>
      <c r="I5" s="45"/>
      <c r="J5" s="45"/>
      <c r="K5" s="46"/>
      <c r="L5" s="49" t="s">
        <v>42</v>
      </c>
      <c r="M5" s="50"/>
      <c r="N5" s="50"/>
      <c r="O5" s="50"/>
      <c r="P5" s="50"/>
      <c r="Q5" s="50"/>
      <c r="R5" s="50"/>
      <c r="S5" s="51"/>
      <c r="T5" s="55" t="s">
        <v>2</v>
      </c>
      <c r="U5" s="56"/>
      <c r="V5" s="56"/>
      <c r="W5" s="56"/>
      <c r="X5" s="56"/>
      <c r="Y5" s="56"/>
      <c r="Z5" s="56"/>
      <c r="AA5" s="57"/>
      <c r="AB5" s="52" t="s">
        <v>3</v>
      </c>
      <c r="AC5" s="53"/>
      <c r="AD5" s="53"/>
      <c r="AE5" s="53"/>
      <c r="AF5" s="53"/>
      <c r="AG5" s="53"/>
      <c r="AH5" s="54"/>
      <c r="AI5" s="44" t="s">
        <v>43</v>
      </c>
      <c r="AJ5" s="45"/>
      <c r="AK5" s="45"/>
      <c r="AL5" s="45"/>
      <c r="AM5" s="45"/>
      <c r="AN5" s="45"/>
      <c r="AO5" s="45"/>
      <c r="AP5" s="45"/>
      <c r="AQ5" s="46"/>
      <c r="AR5" s="47" t="s">
        <v>1</v>
      </c>
      <c r="AS5" s="48"/>
      <c r="AT5" s="58" t="s">
        <v>115</v>
      </c>
      <c r="AU5" s="59"/>
      <c r="AV5" s="59"/>
      <c r="AW5" s="59"/>
      <c r="AX5" s="59"/>
      <c r="AY5" s="59"/>
      <c r="AZ5" s="59"/>
      <c r="BA5" s="60"/>
      <c r="BB5" s="43" t="s">
        <v>76</v>
      </c>
      <c r="BC5" s="43"/>
      <c r="BD5" s="43"/>
      <c r="BE5" s="43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/>
      <c r="CC5"/>
      <c r="CD5"/>
      <c r="CE5"/>
      <c r="CF5"/>
      <c r="CG5"/>
      <c r="CH5"/>
      <c r="CI5"/>
      <c r="CJ5"/>
      <c r="CK5"/>
      <c r="CO5"/>
      <c r="CP5"/>
      <c r="CQ5"/>
      <c r="CR5"/>
      <c r="CS5"/>
      <c r="CT5"/>
    </row>
    <row r="6" spans="1:98" s="11" customFormat="1" ht="49.5">
      <c r="A6" s="11"/>
      <c r="B6" s="42"/>
      <c r="C6" s="42"/>
      <c r="D6" s="42"/>
      <c r="E6" s="42"/>
      <c r="F6" s="5" t="s">
        <v>6</v>
      </c>
      <c r="G6" s="5" t="s">
        <v>91</v>
      </c>
      <c r="H6" s="5" t="s">
        <v>13</v>
      </c>
      <c r="I6" s="5" t="s">
        <v>92</v>
      </c>
      <c r="J6" s="5" t="s">
        <v>85</v>
      </c>
      <c r="K6" s="5" t="s">
        <v>84</v>
      </c>
      <c r="L6" s="6" t="s">
        <v>86</v>
      </c>
      <c r="M6" s="6" t="s">
        <v>7</v>
      </c>
      <c r="N6" s="7" t="s">
        <v>49</v>
      </c>
      <c r="O6" s="6" t="s">
        <v>50</v>
      </c>
      <c r="P6" s="6" t="s">
        <v>51</v>
      </c>
      <c r="Q6" s="6" t="s">
        <v>52</v>
      </c>
      <c r="R6" s="6" t="s">
        <v>80</v>
      </c>
      <c r="S6" s="6" t="s">
        <v>53</v>
      </c>
      <c r="T6" s="9" t="s">
        <v>100</v>
      </c>
      <c r="U6" s="9" t="s">
        <v>8</v>
      </c>
      <c r="V6" s="9" t="s">
        <v>4</v>
      </c>
      <c r="W6" s="9" t="s">
        <v>27</v>
      </c>
      <c r="X6" s="9" t="s">
        <v>101</v>
      </c>
      <c r="Y6" s="9" t="s">
        <v>102</v>
      </c>
      <c r="Z6" s="9" t="s">
        <v>134</v>
      </c>
      <c r="AA6" s="9" t="s">
        <v>103</v>
      </c>
      <c r="AB6" s="10" t="s">
        <v>5</v>
      </c>
      <c r="AC6" s="10" t="s">
        <v>41</v>
      </c>
      <c r="AD6" s="10" t="s">
        <v>8</v>
      </c>
      <c r="AE6" s="10" t="s">
        <v>27</v>
      </c>
      <c r="AF6" s="10" t="s">
        <v>101</v>
      </c>
      <c r="AG6" s="10" t="s">
        <v>134</v>
      </c>
      <c r="AH6" s="10" t="s">
        <v>103</v>
      </c>
      <c r="AI6" s="5" t="s">
        <v>88</v>
      </c>
      <c r="AJ6" s="5" t="s">
        <v>44</v>
      </c>
      <c r="AK6" s="5" t="s">
        <v>112</v>
      </c>
      <c r="AL6" s="5" t="s">
        <v>113</v>
      </c>
      <c r="AM6" s="5" t="s">
        <v>89</v>
      </c>
      <c r="AN6" s="5" t="s">
        <v>104</v>
      </c>
      <c r="AO6" s="5" t="s">
        <v>87</v>
      </c>
      <c r="AP6" s="5" t="s">
        <v>45</v>
      </c>
      <c r="AQ6" s="5" t="s">
        <v>90</v>
      </c>
      <c r="AR6" s="8" t="s">
        <v>8</v>
      </c>
      <c r="AS6" s="8" t="s">
        <v>28</v>
      </c>
      <c r="AT6" s="39" t="s">
        <v>116</v>
      </c>
      <c r="AU6" s="39" t="s">
        <v>118</v>
      </c>
      <c r="AV6" s="39" t="s">
        <v>121</v>
      </c>
      <c r="AW6" s="39" t="s">
        <v>119</v>
      </c>
      <c r="AX6" s="39" t="s">
        <v>120</v>
      </c>
      <c r="AY6" s="39" t="s">
        <v>117</v>
      </c>
      <c r="AZ6" s="39" t="s">
        <v>122</v>
      </c>
      <c r="BA6" s="39" t="s">
        <v>123</v>
      </c>
      <c r="BB6" s="25" t="s">
        <v>82</v>
      </c>
      <c r="BC6" s="25" t="s">
        <v>83</v>
      </c>
      <c r="BD6" s="25" t="s">
        <v>78</v>
      </c>
      <c r="BE6" s="25" t="s">
        <v>81</v>
      </c>
      <c r="BF6" s="30"/>
      <c r="BG6" s="15" t="s">
        <v>9</v>
      </c>
      <c r="BH6" s="15" t="s">
        <v>10</v>
      </c>
      <c r="BI6" s="15" t="s">
        <v>11</v>
      </c>
      <c r="BJ6" s="15" t="s">
        <v>29</v>
      </c>
      <c r="BK6" s="15" t="s">
        <v>12</v>
      </c>
      <c r="BL6" s="28" t="s">
        <v>93</v>
      </c>
      <c r="BM6" s="28" t="s">
        <v>94</v>
      </c>
      <c r="BN6" s="28" t="s">
        <v>95</v>
      </c>
      <c r="BO6" s="28" t="s">
        <v>93</v>
      </c>
      <c r="BP6" s="28" t="s">
        <v>94</v>
      </c>
      <c r="BQ6" s="15" t="s">
        <v>19</v>
      </c>
      <c r="BR6" s="15" t="s">
        <v>20</v>
      </c>
      <c r="BS6" s="15" t="s">
        <v>21</v>
      </c>
      <c r="BT6" s="15" t="s">
        <v>30</v>
      </c>
      <c r="BU6" s="15" t="s">
        <v>22</v>
      </c>
      <c r="BV6" s="15" t="s">
        <v>23</v>
      </c>
      <c r="BW6" s="15" t="s">
        <v>24</v>
      </c>
      <c r="BX6" s="15" t="s">
        <v>31</v>
      </c>
      <c r="BY6" s="15" t="s">
        <v>40</v>
      </c>
      <c r="BZ6" s="15" t="s">
        <v>25</v>
      </c>
      <c r="CA6" s="15" t="s">
        <v>26</v>
      </c>
      <c r="CB6" s="15" t="s">
        <v>54</v>
      </c>
      <c r="CC6" s="15" t="s">
        <v>55</v>
      </c>
      <c r="CD6" s="15" t="s">
        <v>56</v>
      </c>
      <c r="CE6" s="15" t="s">
        <v>57</v>
      </c>
      <c r="CF6" s="15" t="s">
        <v>58</v>
      </c>
      <c r="CG6" s="15" t="s">
        <v>59</v>
      </c>
      <c r="CH6" s="15" t="s">
        <v>60</v>
      </c>
      <c r="CI6" s="15" t="s">
        <v>61</v>
      </c>
      <c r="CJ6" s="15" t="s">
        <v>62</v>
      </c>
      <c r="CK6" s="15" t="s">
        <v>63</v>
      </c>
      <c r="CL6" s="24" t="s">
        <v>76</v>
      </c>
      <c r="CM6" s="24" t="s">
        <v>77</v>
      </c>
      <c r="CO6" s="15" t="s">
        <v>64</v>
      </c>
      <c r="CP6" s="15" t="s">
        <v>65</v>
      </c>
      <c r="CQ6" s="15" t="s">
        <v>66</v>
      </c>
      <c r="CR6" s="15" t="s">
        <v>67</v>
      </c>
      <c r="CS6" s="15" t="s">
        <v>68</v>
      </c>
      <c r="CT6" s="14" t="s">
        <v>69</v>
      </c>
    </row>
    <row r="7" spans="1:97" s="2" customFormat="1" ht="16.5">
      <c r="A7" s="2"/>
      <c r="B7" s="3" t="s">
        <v>135</v>
      </c>
      <c r="C7" s="3" t="s">
        <v>135</v>
      </c>
      <c r="D7" s="3" t="s">
        <v>135</v>
      </c>
      <c r="E7" s="3" t="s">
        <v>135</v>
      </c>
      <c r="F7" s="33">
        <f>IFERROR(BG7/BK7,"")</f>
        <v>316.0</v>
      </c>
      <c r="G7" s="17">
        <f>IFERROR(F7/BO7-1,"")</f>
        <v>-0.03321678321678312</v>
      </c>
      <c r="H7" s="33">
        <f>IFERROR(BH7/BK7,"")</f>
        <v>60.37619047619047</v>
      </c>
      <c r="I7" s="17">
        <f>IFERROR(H7/BP7-1,"")</f>
        <v>0.1063699825479929</v>
      </c>
      <c r="J7" s="33">
        <v>237.0</v>
      </c>
      <c r="K7" s="33">
        <v>54.33333333333334</v>
      </c>
      <c r="L7" s="16">
        <v>5.214814814814815</v>
      </c>
      <c r="M7" s="16">
        <f>IFERROR(BZ7/CA7,"")</f>
        <v>7.112564102564102</v>
      </c>
      <c r="N7" s="17">
        <f>IFERROR(M7/CQ7,"-")</f>
        <v>0.23708547008547007</v>
      </c>
      <c r="O7" s="16" t="str">
        <f>IFERROR(CB7/CC7,"")</f>
        <v/>
      </c>
      <c r="P7" s="16" t="str">
        <f>IFERROR(CD7/CE7,"")</f>
        <v/>
      </c>
      <c r="Q7" s="16" t="str">
        <f>IFERROR(CF7/CG7,"")</f>
        <v/>
      </c>
      <c r="R7" s="16" t="str">
        <f>IFERROR(CH7/CI7,"")</f>
        <v/>
      </c>
      <c r="S7" s="16" t="str">
        <f>IFERROR(CJ7/CK7,"")</f>
        <v/>
      </c>
      <c r="T7" s="33">
        <v>375.0</v>
      </c>
      <c r="U7" s="19">
        <f>IFERROR(BQ7/BS7,"")</f>
        <v>3.026666666666667</v>
      </c>
      <c r="V7" s="17">
        <f>IFERROR(U7/CR7,"-")</f>
        <v>0.3026666666666667</v>
      </c>
      <c r="W7" s="19">
        <f>IFERROR(BR7/BT7,"")</f>
        <v>1.0725108225108226</v>
      </c>
      <c r="X7" s="33">
        <v>1135.0</v>
      </c>
      <c r="Y7" s="35">
        <v>3.026666666666667</v>
      </c>
      <c r="Z7" s="33">
        <v>193.0</v>
      </c>
      <c r="AA7" s="36">
        <v>0.02555066079295154</v>
      </c>
      <c r="AB7" s="33">
        <f>IFERROR(BW7,"")</f>
        <v>569.0</v>
      </c>
      <c r="AC7" s="17">
        <f>IFERROR(BW7/BY7-1,"")</f>
        <v>0.0675422138836772</v>
      </c>
      <c r="AD7" s="19">
        <f>IFERROR(BU7/BW7,"")</f>
        <v>1.8927943760984183</v>
      </c>
      <c r="AE7" s="19">
        <f>IFERROR(BV7/BX7,"")</f>
        <v>0.29488817891373803</v>
      </c>
      <c r="AF7" s="33">
        <v>1077.0</v>
      </c>
      <c r="AG7" s="33">
        <v>922.0</v>
      </c>
      <c r="AH7" s="36">
        <v>0.0018570102135561746</v>
      </c>
      <c r="AI7" s="37">
        <v>199.0</v>
      </c>
      <c r="AJ7" s="34">
        <v>105.0</v>
      </c>
      <c r="AK7" s="34">
        <v>92.0</v>
      </c>
      <c r="AL7" s="34">
        <v>0.0</v>
      </c>
      <c r="AM7" s="17">
        <f>IFERROR(AJ7/AI7,"")</f>
        <v>0.5276381909547738</v>
      </c>
      <c r="AN7" s="17">
        <v>0.2571428571428571</v>
      </c>
      <c r="AO7" s="38">
        <v>0.0</v>
      </c>
      <c r="AP7" s="38">
        <v>0.0</v>
      </c>
      <c r="AQ7" s="17" t="str">
        <f>IFERROR(AP7/AO7,"")</f>
        <v/>
      </c>
      <c r="AR7" s="19">
        <f>IFERROR(BG7/BI7,"")</f>
        <v>2.343220338983051</v>
      </c>
      <c r="AS7" s="19">
        <f>IFERROR(BH7/BJ7,"")</f>
        <v>0.6805689747718733</v>
      </c>
      <c r="AT7" s="33">
        <v>183.0</v>
      </c>
      <c r="AU7" s="33">
        <v>39.0</v>
      </c>
      <c r="AV7" s="33">
        <v>18.0</v>
      </c>
      <c r="AW7" s="40">
        <v>0.21311475409836064</v>
      </c>
      <c r="AX7" s="40">
        <v>0.09836065573770492</v>
      </c>
      <c r="AY7" s="40">
        <v>0.453551912568306</v>
      </c>
      <c r="AZ7" s="40">
        <v>0.7948717948717948</v>
      </c>
      <c r="BA7" s="40">
        <v>0.9444444444444444</v>
      </c>
      <c r="BB7" s="3">
        <v>0.0</v>
      </c>
      <c r="BC7" s="26" t="str">
        <f>IFERROR(CL7/BB7,"")</f>
        <v/>
      </c>
      <c r="BD7" s="27">
        <v>0.0</v>
      </c>
      <c r="BE7" s="26" t="str">
        <f>IFERROR(CM7/BD7,"")</f>
        <v/>
      </c>
      <c r="BF7" s="31"/>
      <c r="BG7" s="20">
        <v>2212.0</v>
      </c>
      <c r="BH7" s="20">
        <v>422.6333333333333</v>
      </c>
      <c r="BI7" s="20">
        <v>944.0</v>
      </c>
      <c r="BJ7" s="21">
        <v>621.0</v>
      </c>
      <c r="BK7" s="29">
        <v>7.0</v>
      </c>
      <c r="BL7" s="20">
        <v>2288.0</v>
      </c>
      <c r="BM7" s="20">
        <v>382.0</v>
      </c>
      <c r="BN7" s="20">
        <v>7.0</v>
      </c>
      <c r="BO7" s="20">
        <f>IFERROR(BL7/BN7,"")</f>
        <v>326.85714285714283</v>
      </c>
      <c r="BP7" s="20">
        <f>IFERROR(BM7/BN7,"")</f>
        <v>54.57142857142857</v>
      </c>
      <c r="BQ7" s="20">
        <v>1135.0</v>
      </c>
      <c r="BR7" s="20">
        <v>330.33333333333337</v>
      </c>
      <c r="BS7" s="20">
        <v>375.0</v>
      </c>
      <c r="BT7" s="20">
        <v>308.0</v>
      </c>
      <c r="BU7" s="20">
        <v>1077.0</v>
      </c>
      <c r="BV7" s="20">
        <v>92.30000000000001</v>
      </c>
      <c r="BW7" s="20">
        <v>569.0</v>
      </c>
      <c r="BX7" s="20">
        <v>313.0</v>
      </c>
      <c r="BY7" s="20">
        <v>533.0</v>
      </c>
      <c r="BZ7" s="20">
        <v>1386.9499999999998</v>
      </c>
      <c r="CA7" s="20">
        <v>195.0</v>
      </c>
      <c r="CB7" s="20">
        <v>0.0</v>
      </c>
      <c r="CC7" s="20">
        <v>0.0</v>
      </c>
      <c r="CD7" s="20">
        <v>0.0</v>
      </c>
      <c r="CE7" s="20">
        <v>0.0</v>
      </c>
      <c r="CF7" s="20">
        <v>0.0</v>
      </c>
      <c r="CG7" s="20">
        <v>0.0</v>
      </c>
      <c r="CH7" s="20">
        <v>0.0</v>
      </c>
      <c r="CI7" s="20">
        <v>0.0</v>
      </c>
      <c r="CJ7" s="20">
        <v>0.0</v>
      </c>
      <c r="CK7" s="20">
        <v>0.0</v>
      </c>
      <c r="CL7" s="3">
        <v>0.0</v>
      </c>
      <c r="CM7" s="3">
        <v>0.0</v>
      </c>
      <c r="CO7" s="18">
        <v>200.0</v>
      </c>
      <c r="CP7" s="18">
        <v>25.0</v>
      </c>
      <c r="CQ7" s="18">
        <f>IF(C7="总计",30,"-")</f>
        <v>30.0</v>
      </c>
      <c r="CR7" s="18">
        <f>IF(C7="总计",10,"-")</f>
        <v>10.0</v>
      </c>
      <c r="CS7" s="18">
        <f>IF(C7="总计",1,"-")</f>
        <v>1.0</v>
      </c>
    </row>
    <row r="8" spans="1:97" s="2" customFormat="1" ht="16.5">
      <c r="A8" s="2"/>
      <c r="B8" s="3"/>
      <c r="C8" s="3"/>
      <c r="D8" s="3" t="s">
        <v>111</v>
      </c>
      <c r="E8" s="3" t="s">
        <v>110</v>
      </c>
      <c r="F8" s="33" t="str">
        <f>IFERROR(BG8/BK8,"")</f>
        <v/>
      </c>
      <c r="G8" s="17" t="str">
        <f>IFERROR(F8/BO8-1,"")</f>
        <v/>
      </c>
      <c r="H8" s="33" t="str">
        <f>IFERROR(BH8/BK8,"")</f>
        <v/>
      </c>
      <c r="I8" s="17" t="str">
        <f>IFERROR(H8/BP8-1,"")</f>
        <v/>
      </c>
      <c r="J8" s="33">
        <v>0.0</v>
      </c>
      <c r="K8" s="33">
        <v>0.0</v>
      </c>
      <c r="L8" s="16"/>
      <c r="M8" s="16" t="str">
        <f>IFERROR(BZ8/CA8,"")</f>
        <v/>
      </c>
      <c r="N8" s="17" t="str">
        <f>IFERROR(M8/CQ8,"-")</f>
        <v>-</v>
      </c>
      <c r="O8" s="16" t="str">
        <f>IFERROR(CB8/CC8,"")</f>
        <v/>
      </c>
      <c r="P8" s="16" t="str">
        <f>IFERROR(CD8/CE8,"")</f>
        <v/>
      </c>
      <c r="Q8" s="16" t="str">
        <f>IFERROR(CF8/CG8,"")</f>
        <v/>
      </c>
      <c r="R8" s="16" t="str">
        <f>IFERROR(CH8/CI8,"")</f>
        <v/>
      </c>
      <c r="S8" s="16" t="str">
        <f>IFERROR(CJ8/CK8,"")</f>
        <v/>
      </c>
      <c r="T8" s="33">
        <v>0.0</v>
      </c>
      <c r="U8" s="19" t="str">
        <f>IFERROR(BQ8/BS8,"")</f>
        <v/>
      </c>
      <c r="V8" s="17" t="str">
        <f>IFERROR(U8/CR8,"-")</f>
        <v>-</v>
      </c>
      <c r="W8" s="19" t="str">
        <f>IFERROR(BR8/BT8,"")</f>
        <v/>
      </c>
      <c r="X8" s="33">
        <v>0.0</v>
      </c>
      <c r="Y8" s="35"/>
      <c r="Z8" s="33">
        <v>0.0</v>
      </c>
      <c r="AA8" s="36"/>
      <c r="AB8" s="33">
        <f>IFERROR(BW8,"")</f>
        <v>0.0</v>
      </c>
      <c r="AC8" s="17">
        <f>IFERROR(BW8/BY8-1,"")</f>
        <v>-1.0</v>
      </c>
      <c r="AD8" s="19" t="str">
        <f>IFERROR(BU8/BW8,"")</f>
        <v/>
      </c>
      <c r="AE8" s="19" t="str">
        <f>IFERROR(BV8/BX8,"")</f>
        <v/>
      </c>
      <c r="AF8" s="33">
        <v>0.0</v>
      </c>
      <c r="AG8" s="33">
        <v>0.0</v>
      </c>
      <c r="AH8" s="36"/>
      <c r="AI8" s="37">
        <v>0.0</v>
      </c>
      <c r="AJ8" s="34">
        <v>0.0</v>
      </c>
      <c r="AK8" s="34">
        <v>0.0</v>
      </c>
      <c r="AL8" s="34">
        <v>0.0</v>
      </c>
      <c r="AM8" s="17" t="str">
        <f>IFERROR(AJ8/AI8,"")</f>
        <v/>
      </c>
      <c r="AN8" s="17"/>
      <c r="AO8" s="38">
        <v>0.0</v>
      </c>
      <c r="AP8" s="38">
        <v>0.0</v>
      </c>
      <c r="AQ8" s="17" t="str">
        <f>IFERROR(AP8/AO8,"")</f>
        <v/>
      </c>
      <c r="AR8" s="19" t="str">
        <f>IFERROR(BG8/BI8,"")</f>
        <v/>
      </c>
      <c r="AS8" s="19" t="str">
        <f>IFERROR(BH8/BJ8,"")</f>
        <v/>
      </c>
      <c r="AT8" s="33">
        <v>0.0</v>
      </c>
      <c r="AU8" s="33">
        <v>0.0</v>
      </c>
      <c r="AV8" s="33">
        <v>0.0</v>
      </c>
      <c r="AW8" s="40"/>
      <c r="AX8" s="40"/>
      <c r="AY8" s="40"/>
      <c r="AZ8" s="40"/>
      <c r="BA8" s="40"/>
      <c r="BB8" s="3">
        <v>0.0</v>
      </c>
      <c r="BC8" s="26" t="str">
        <f>IFERROR(CL8/BB8,"")</f>
        <v/>
      </c>
      <c r="BD8" s="27">
        <v>0.0</v>
      </c>
      <c r="BE8" s="26" t="str">
        <f>IFERROR(CM8/BD8,"")</f>
        <v/>
      </c>
      <c r="BF8" s="31"/>
      <c r="BG8" s="20">
        <v>0.0</v>
      </c>
      <c r="BH8" s="20">
        <v>0.0</v>
      </c>
      <c r="BI8" s="20">
        <v>0.0</v>
      </c>
      <c r="BJ8" s="21">
        <v>0.0</v>
      </c>
      <c r="BK8" s="29">
        <v>0.0</v>
      </c>
      <c r="BL8" s="20">
        <v>12.0</v>
      </c>
      <c r="BM8" s="20">
        <v>1.05</v>
      </c>
      <c r="BN8" s="20">
        <v>5.0</v>
      </c>
      <c r="BO8" s="20">
        <f>IFERROR(BL8/BN8,"")</f>
        <v>2.4</v>
      </c>
      <c r="BP8" s="20">
        <f>IFERROR(BM8/BN8,"")</f>
        <v>0.21000000000000002</v>
      </c>
      <c r="BQ8" s="20">
        <v>0.0</v>
      </c>
      <c r="BR8" s="20">
        <v>0.0</v>
      </c>
      <c r="BS8" s="20">
        <v>0.0</v>
      </c>
      <c r="BT8" s="20">
        <v>0.0</v>
      </c>
      <c r="BU8" s="20">
        <v>0.0</v>
      </c>
      <c r="BV8" s="20">
        <v>0.0</v>
      </c>
      <c r="BW8" s="20">
        <v>0.0</v>
      </c>
      <c r="BX8" s="20">
        <v>0.0</v>
      </c>
      <c r="BY8" s="20">
        <v>6.0</v>
      </c>
      <c r="BZ8" s="20">
        <v>0.0</v>
      </c>
      <c r="CA8" s="20">
        <v>0.0</v>
      </c>
      <c r="CB8" s="20">
        <v>0.0</v>
      </c>
      <c r="CC8" s="20">
        <v>0.0</v>
      </c>
      <c r="CD8" s="20">
        <v>0.0</v>
      </c>
      <c r="CE8" s="20">
        <v>0.0</v>
      </c>
      <c r="CF8" s="20">
        <v>0.0</v>
      </c>
      <c r="CG8" s="20">
        <v>0.0</v>
      </c>
      <c r="CH8" s="20">
        <v>0.0</v>
      </c>
      <c r="CI8" s="20">
        <v>0.0</v>
      </c>
      <c r="CJ8" s="20">
        <v>0.0</v>
      </c>
      <c r="CK8" s="20">
        <v>0.0</v>
      </c>
      <c r="CL8" s="3">
        <v>0.0</v>
      </c>
      <c r="CM8" s="3">
        <v>0.0</v>
      </c>
      <c r="CO8" s="18"/>
      <c r="CP8" s="18"/>
      <c r="CQ8" s="18">
        <f>IF(C7="总计",30,"-")</f>
        <v>30.0</v>
      </c>
      <c r="CR8" s="18">
        <f>IF(C7="总计",10,"-")</f>
        <v>10.0</v>
      </c>
      <c r="CS8" s="18">
        <f>IF(C7="总计",1,"-")</f>
        <v>1.0</v>
      </c>
    </row>
    <row r="9" spans="1:97" s="2" customFormat="1" ht="16.5">
      <c r="A9" s="2"/>
      <c r="B9" s="3"/>
      <c r="C9" s="3"/>
      <c r="D9" s="3"/>
      <c r="E9" s="3" t="s">
        <v>136</v>
      </c>
      <c r="F9" s="33" t="str">
        <f>IFERROR(BG9/BK9,"")</f>
        <v/>
      </c>
      <c r="G9" s="17" t="str">
        <f>IFERROR(F9/BO9-1,"")</f>
        <v/>
      </c>
      <c r="H9" s="33" t="str">
        <f>IFERROR(BH9/BK9,"")</f>
        <v/>
      </c>
      <c r="I9" s="17" t="str">
        <f>IFERROR(H9/BP9-1,"")</f>
        <v/>
      </c>
      <c r="J9" s="33">
        <v>0.0</v>
      </c>
      <c r="K9" s="33">
        <v>0.0</v>
      </c>
      <c r="L9" s="16"/>
      <c r="M9" s="16" t="str">
        <f>IFERROR(BZ9/CA9,"")</f>
        <v/>
      </c>
      <c r="N9" s="17" t="str">
        <f>IFERROR(M9/CQ9,"-")</f>
        <v>-</v>
      </c>
      <c r="O9" s="16" t="str">
        <f>IFERROR(CB9/CC9,"")</f>
        <v/>
      </c>
      <c r="P9" s="16" t="str">
        <f>IFERROR(CD9/CE9,"")</f>
        <v/>
      </c>
      <c r="Q9" s="16" t="str">
        <f>IFERROR(CF9/CG9,"")</f>
        <v/>
      </c>
      <c r="R9" s="16" t="str">
        <f>IFERROR(CH9/CI9,"")</f>
        <v/>
      </c>
      <c r="S9" s="16" t="str">
        <f>IFERROR(CJ9/CK9,"")</f>
        <v/>
      </c>
      <c r="T9" s="33">
        <v>0.0</v>
      </c>
      <c r="U9" s="19" t="str">
        <f>IFERROR(BQ9/BS9,"")</f>
        <v/>
      </c>
      <c r="V9" s="17" t="str">
        <f>IFERROR(U9/CR9,"-")</f>
        <v>-</v>
      </c>
      <c r="W9" s="19" t="str">
        <f>IFERROR(BR9/BT9,"")</f>
        <v/>
      </c>
      <c r="X9" s="33">
        <v>0.0</v>
      </c>
      <c r="Y9" s="35"/>
      <c r="Z9" s="33">
        <v>0.0</v>
      </c>
      <c r="AA9" s="36"/>
      <c r="AB9" s="33">
        <f>IFERROR(BW9,"")</f>
        <v>0.0</v>
      </c>
      <c r="AC9" s="17">
        <f>IFERROR(BW9/BY9-1,"")</f>
        <v>-1.0</v>
      </c>
      <c r="AD9" s="19" t="str">
        <f>IFERROR(BU9/BW9,"")</f>
        <v/>
      </c>
      <c r="AE9" s="19" t="str">
        <f>IFERROR(BV9/BX9,"")</f>
        <v/>
      </c>
      <c r="AF9" s="33">
        <v>0.0</v>
      </c>
      <c r="AG9" s="33">
        <v>0.0</v>
      </c>
      <c r="AH9" s="36"/>
      <c r="AI9" s="37">
        <v>0.0</v>
      </c>
      <c r="AJ9" s="34">
        <v>0.0</v>
      </c>
      <c r="AK9" s="34">
        <v>0.0</v>
      </c>
      <c r="AL9" s="34">
        <v>0.0</v>
      </c>
      <c r="AM9" s="17" t="str">
        <f>IFERROR(AJ9/AI9,"")</f>
        <v/>
      </c>
      <c r="AN9" s="17"/>
      <c r="AO9" s="38">
        <v>0.0</v>
      </c>
      <c r="AP9" s="38">
        <v>0.0</v>
      </c>
      <c r="AQ9" s="17" t="str">
        <f>IFERROR(AP9/AO9,"")</f>
        <v/>
      </c>
      <c r="AR9" s="19" t="str">
        <f>IFERROR(BG9/BI9,"")</f>
        <v/>
      </c>
      <c r="AS9" s="19" t="str">
        <f>IFERROR(BH9/BJ9,"")</f>
        <v/>
      </c>
      <c r="AT9" s="33">
        <v>0.0</v>
      </c>
      <c r="AU9" s="33">
        <v>0.0</v>
      </c>
      <c r="AV9" s="33">
        <v>0.0</v>
      </c>
      <c r="AW9" s="40"/>
      <c r="AX9" s="40"/>
      <c r="AY9" s="40"/>
      <c r="AZ9" s="40"/>
      <c r="BA9" s="40"/>
      <c r="BB9" s="3">
        <v>0.0</v>
      </c>
      <c r="BC9" s="26" t="str">
        <f>IFERROR(CL9/BB9,"")</f>
        <v/>
      </c>
      <c r="BD9" s="27">
        <v>0.0</v>
      </c>
      <c r="BE9" s="26" t="str">
        <f>IFERROR(CM9/BD9,"")</f>
        <v/>
      </c>
      <c r="BF9" s="31"/>
      <c r="BG9" s="20">
        <v>0.0</v>
      </c>
      <c r="BH9" s="20">
        <v>0.0</v>
      </c>
      <c r="BI9" s="20">
        <v>0.0</v>
      </c>
      <c r="BJ9" s="21">
        <v>0.0</v>
      </c>
      <c r="BK9" s="29">
        <v>0.0</v>
      </c>
      <c r="BL9" s="20">
        <v>12.0</v>
      </c>
      <c r="BM9" s="20">
        <v>1.05</v>
      </c>
      <c r="BN9" s="20">
        <v>5.0</v>
      </c>
      <c r="BO9" s="20">
        <f>IFERROR(BL9/BN9,"")</f>
        <v>2.4</v>
      </c>
      <c r="BP9" s="20">
        <f>IFERROR(BM9/BN9,"")</f>
        <v>0.21000000000000002</v>
      </c>
      <c r="BQ9" s="20">
        <v>0.0</v>
      </c>
      <c r="BR9" s="20">
        <v>0.0</v>
      </c>
      <c r="BS9" s="20">
        <v>0.0</v>
      </c>
      <c r="BT9" s="20">
        <v>0.0</v>
      </c>
      <c r="BU9" s="20">
        <v>0.0</v>
      </c>
      <c r="BV9" s="20">
        <v>0.0</v>
      </c>
      <c r="BW9" s="20">
        <v>0.0</v>
      </c>
      <c r="BX9" s="20">
        <v>0.0</v>
      </c>
      <c r="BY9" s="20">
        <v>6.0</v>
      </c>
      <c r="BZ9" s="20">
        <v>0.0</v>
      </c>
      <c r="CA9" s="20">
        <v>0.0</v>
      </c>
      <c r="CB9" s="20">
        <v>0.0</v>
      </c>
      <c r="CC9" s="20">
        <v>0.0</v>
      </c>
      <c r="CD9" s="20">
        <v>0.0</v>
      </c>
      <c r="CE9" s="20">
        <v>0.0</v>
      </c>
      <c r="CF9" s="20">
        <v>0.0</v>
      </c>
      <c r="CG9" s="20">
        <v>0.0</v>
      </c>
      <c r="CH9" s="20">
        <v>0.0</v>
      </c>
      <c r="CI9" s="20">
        <v>0.0</v>
      </c>
      <c r="CJ9" s="20">
        <v>0.0</v>
      </c>
      <c r="CK9" s="20">
        <v>0.0</v>
      </c>
      <c r="CL9" s="3">
        <v>0.0</v>
      </c>
      <c r="CM9" s="3">
        <v>0.0</v>
      </c>
      <c r="CO9" s="18"/>
      <c r="CP9" s="18"/>
      <c r="CQ9" s="18">
        <f>IF(C7="总计",30,"-")</f>
        <v>30.0</v>
      </c>
      <c r="CR9" s="18">
        <f>IF(C7="总计",10,"-")</f>
        <v>10.0</v>
      </c>
      <c r="CS9" s="18">
        <f>IF(C7="总计",1,"-")</f>
        <v>1.0</v>
      </c>
    </row>
    <row r="10" spans="1:97" s="2" customFormat="1" ht="16.5">
      <c r="A10" s="2"/>
      <c r="B10" s="3"/>
      <c r="C10" s="3"/>
      <c r="D10" s="3" t="s">
        <v>137</v>
      </c>
      <c r="E10" s="3" t="s">
        <v>110</v>
      </c>
      <c r="F10" s="33">
        <f>IFERROR(BG10/BK10,"")</f>
        <v>316.0</v>
      </c>
      <c r="G10" s="17">
        <f>IFERROR(F10/BO10-1,"")</f>
        <v>-0.02811950790861162</v>
      </c>
      <c r="H10" s="33">
        <f>IFERROR(BH10/BK10,"")</f>
        <v>60.37619047619047</v>
      </c>
      <c r="I10" s="17">
        <f>IFERROR(H10/BP10-1,"")</f>
        <v>0.10941943387146158</v>
      </c>
      <c r="J10" s="33">
        <v>237.0</v>
      </c>
      <c r="K10" s="33">
        <v>54.33333333333334</v>
      </c>
      <c r="L10" s="16">
        <v>5.214814814814815</v>
      </c>
      <c r="M10" s="16">
        <f>IFERROR(BZ10/CA10,"")</f>
        <v>7.112564102564102</v>
      </c>
      <c r="N10" s="17">
        <f>IFERROR(M10/CQ10,"-")</f>
        <v>0.23708547008547007</v>
      </c>
      <c r="O10" s="16" t="str">
        <f>IFERROR(CB10/CC10,"")</f>
        <v/>
      </c>
      <c r="P10" s="16" t="str">
        <f>IFERROR(CD10/CE10,"")</f>
        <v/>
      </c>
      <c r="Q10" s="16" t="str">
        <f>IFERROR(CF10/CG10,"")</f>
        <v/>
      </c>
      <c r="R10" s="16" t="str">
        <f>IFERROR(CH10/CI10,"")</f>
        <v/>
      </c>
      <c r="S10" s="16" t="str">
        <f>IFERROR(CJ10/CK10,"")</f>
        <v/>
      </c>
      <c r="T10" s="33">
        <v>375.0</v>
      </c>
      <c r="U10" s="19">
        <f>IFERROR(BQ10/BS10,"")</f>
        <v>3.026666666666667</v>
      </c>
      <c r="V10" s="17">
        <f>IFERROR(U10/CR10,"-")</f>
        <v>0.3026666666666667</v>
      </c>
      <c r="W10" s="19">
        <f>IFERROR(BR10/BT10,"")</f>
        <v>1.0725108225108226</v>
      </c>
      <c r="X10" s="33">
        <v>1135.0</v>
      </c>
      <c r="Y10" s="35">
        <v>3.026666666666667</v>
      </c>
      <c r="Z10" s="33">
        <v>193.0</v>
      </c>
      <c r="AA10" s="36">
        <v>0.02555066079295154</v>
      </c>
      <c r="AB10" s="33">
        <f>IFERROR(BW10,"")</f>
        <v>569.0</v>
      </c>
      <c r="AC10" s="17">
        <f>IFERROR(BW10/BY10-1,"")</f>
        <v>0.07969639468690692</v>
      </c>
      <c r="AD10" s="19">
        <f>IFERROR(BU10/BW10,"")</f>
        <v>1.8927943760984183</v>
      </c>
      <c r="AE10" s="19">
        <f>IFERROR(BV10/BX10,"")</f>
        <v>0.29488817891373803</v>
      </c>
      <c r="AF10" s="33">
        <v>1077.0</v>
      </c>
      <c r="AG10" s="33">
        <v>922.0</v>
      </c>
      <c r="AH10" s="36">
        <v>0.0018570102135561746</v>
      </c>
      <c r="AI10" s="37">
        <v>199.0</v>
      </c>
      <c r="AJ10" s="34">
        <v>105.0</v>
      </c>
      <c r="AK10" s="34">
        <v>92.0</v>
      </c>
      <c r="AL10" s="34">
        <v>0.0</v>
      </c>
      <c r="AM10" s="17">
        <f>IFERROR(AJ10/AI10,"")</f>
        <v>0.5276381909547738</v>
      </c>
      <c r="AN10" s="17">
        <v>0.2571428571428571</v>
      </c>
      <c r="AO10" s="38">
        <v>0.0</v>
      </c>
      <c r="AP10" s="38">
        <v>0.0</v>
      </c>
      <c r="AQ10" s="17" t="str">
        <f>IFERROR(AP10/AO10,"")</f>
        <v/>
      </c>
      <c r="AR10" s="19">
        <f>IFERROR(BG10/BI10,"")</f>
        <v>2.343220338983051</v>
      </c>
      <c r="AS10" s="19">
        <f>IFERROR(BH10/BJ10,"")</f>
        <v>0.6805689747718733</v>
      </c>
      <c r="AT10" s="33">
        <v>183.0</v>
      </c>
      <c r="AU10" s="33">
        <v>39.0</v>
      </c>
      <c r="AV10" s="33">
        <v>18.0</v>
      </c>
      <c r="AW10" s="40">
        <v>0.21311475409836064</v>
      </c>
      <c r="AX10" s="40">
        <v>0.09836065573770492</v>
      </c>
      <c r="AY10" s="40">
        <v>0.453551912568306</v>
      </c>
      <c r="AZ10" s="40">
        <v>0.7948717948717948</v>
      </c>
      <c r="BA10" s="40">
        <v>0.9444444444444444</v>
      </c>
      <c r="BB10" s="3">
        <v>0.0</v>
      </c>
      <c r="BC10" s="26" t="str">
        <f>IFERROR(CL10/BB10,"")</f>
        <v/>
      </c>
      <c r="BD10" s="27">
        <v>0.0</v>
      </c>
      <c r="BE10" s="26" t="str">
        <f>IFERROR(CM10/BD10,"")</f>
        <v/>
      </c>
      <c r="BF10" s="31"/>
      <c r="BG10" s="20">
        <v>2212.0</v>
      </c>
      <c r="BH10" s="20">
        <v>422.6333333333333</v>
      </c>
      <c r="BI10" s="20">
        <v>944.0</v>
      </c>
      <c r="BJ10" s="21">
        <v>621.0</v>
      </c>
      <c r="BK10" s="29">
        <v>7.0</v>
      </c>
      <c r="BL10" s="20">
        <v>2276.0</v>
      </c>
      <c r="BM10" s="20">
        <v>380.95000000000005</v>
      </c>
      <c r="BN10" s="20">
        <v>7.0</v>
      </c>
      <c r="BO10" s="20">
        <f>IFERROR(BL10/BN10,"")</f>
        <v>325.14285714285717</v>
      </c>
      <c r="BP10" s="20">
        <f>IFERROR(BM10/BN10,"")</f>
        <v>54.42142857142858</v>
      </c>
      <c r="BQ10" s="20">
        <v>1135.0</v>
      </c>
      <c r="BR10" s="20">
        <v>330.33333333333337</v>
      </c>
      <c r="BS10" s="20">
        <v>375.0</v>
      </c>
      <c r="BT10" s="20">
        <v>308.0</v>
      </c>
      <c r="BU10" s="20">
        <v>1077.0</v>
      </c>
      <c r="BV10" s="20">
        <v>92.30000000000001</v>
      </c>
      <c r="BW10" s="20">
        <v>569.0</v>
      </c>
      <c r="BX10" s="20">
        <v>313.0</v>
      </c>
      <c r="BY10" s="20">
        <v>527.0</v>
      </c>
      <c r="BZ10" s="20">
        <v>1386.9499999999998</v>
      </c>
      <c r="CA10" s="20">
        <v>195.0</v>
      </c>
      <c r="CB10" s="20">
        <v>0.0</v>
      </c>
      <c r="CC10" s="20">
        <v>0.0</v>
      </c>
      <c r="CD10" s="20">
        <v>0.0</v>
      </c>
      <c r="CE10" s="20">
        <v>0.0</v>
      </c>
      <c r="CF10" s="20">
        <v>0.0</v>
      </c>
      <c r="CG10" s="20">
        <v>0.0</v>
      </c>
      <c r="CH10" s="20">
        <v>0.0</v>
      </c>
      <c r="CI10" s="20">
        <v>0.0</v>
      </c>
      <c r="CJ10" s="20">
        <v>0.0</v>
      </c>
      <c r="CK10" s="20">
        <v>0.0</v>
      </c>
      <c r="CL10" s="3">
        <v>0.0</v>
      </c>
      <c r="CM10" s="3">
        <v>0.0</v>
      </c>
      <c r="CO10" s="18"/>
      <c r="CP10" s="18"/>
      <c r="CQ10" s="18">
        <f>IF(C7="总计",30,"-")</f>
        <v>30.0</v>
      </c>
      <c r="CR10" s="18">
        <f>IF(C7="总计",10,"-")</f>
        <v>10.0</v>
      </c>
      <c r="CS10" s="18">
        <f>IF(C7="总计",1,"-")</f>
        <v>1.0</v>
      </c>
    </row>
    <row r="11" spans="1:97" s="2" customFormat="1" ht="16.5">
      <c r="A11" s="2"/>
      <c r="B11" s="3"/>
      <c r="C11" s="3"/>
      <c r="D11" s="3"/>
      <c r="E11" s="3" t="s">
        <v>98</v>
      </c>
      <c r="F11" s="33">
        <f>IFERROR(BG11/BK11,"")</f>
        <v>21.571428571428573</v>
      </c>
      <c r="G11" s="17">
        <f>IFERROR(F11/BO11-1,"")</f>
        <v>-0.33965014577259467</v>
      </c>
      <c r="H11" s="33">
        <f>IFERROR(BH11/BK11,"")</f>
        <v>1.9000000000000001</v>
      </c>
      <c r="I11" s="17">
        <f>IFERROR(H11/BP11-1,"")</f>
        <v>-0.435177539223782</v>
      </c>
      <c r="J11" s="33">
        <v>13.0</v>
      </c>
      <c r="K11" s="33">
        <v>0.6333333333333333</v>
      </c>
      <c r="L11" s="16"/>
      <c r="M11" s="16" t="str">
        <f>IFERROR(BZ11/CA11,"")</f>
        <v/>
      </c>
      <c r="N11" s="17" t="str">
        <f>IFERROR(M11/CQ11,"-")</f>
        <v>-</v>
      </c>
      <c r="O11" s="16" t="str">
        <f>IFERROR(CB11/CC11,"")</f>
        <v/>
      </c>
      <c r="P11" s="16" t="str">
        <f>IFERROR(CD11/CE11,"")</f>
        <v/>
      </c>
      <c r="Q11" s="16" t="str">
        <f>IFERROR(CF11/CG11,"")</f>
        <v/>
      </c>
      <c r="R11" s="16" t="str">
        <f>IFERROR(CH11/CI11,"")</f>
        <v/>
      </c>
      <c r="S11" s="16" t="str">
        <f>IFERROR(CJ11/CK11,"")</f>
        <v/>
      </c>
      <c r="T11" s="33">
        <v>30.0</v>
      </c>
      <c r="U11" s="19">
        <f>IFERROR(BQ11/BS11,"")</f>
        <v>1.7666666666666666</v>
      </c>
      <c r="V11" s="17">
        <f>IFERROR(U11/CR11,"-")</f>
        <v>0.17666666666666667</v>
      </c>
      <c r="W11" s="19">
        <f>IFERROR(BR11/BT11,"")</f>
        <v>0.36</v>
      </c>
      <c r="X11" s="33">
        <v>53.0</v>
      </c>
      <c r="Y11" s="35">
        <v>1.7666666666666666</v>
      </c>
      <c r="Z11" s="33">
        <v>38.0</v>
      </c>
      <c r="AA11" s="36">
        <v>0.0</v>
      </c>
      <c r="AB11" s="33">
        <f>IFERROR(BW11,"")</f>
        <v>42.0</v>
      </c>
      <c r="AC11" s="17">
        <f>IFERROR(BW11/BY11-1,"")</f>
        <v>0.2727272727272727</v>
      </c>
      <c r="AD11" s="19">
        <f>IFERROR(BU11/BW11,"")</f>
        <v>2.3333333333333335</v>
      </c>
      <c r="AE11" s="19">
        <f>IFERROR(BV11/BX11,"")</f>
        <v>0.29047619047619044</v>
      </c>
      <c r="AF11" s="33">
        <v>98.0</v>
      </c>
      <c r="AG11" s="33">
        <v>95.0</v>
      </c>
      <c r="AH11" s="36">
        <v>0.0</v>
      </c>
      <c r="AI11" s="37">
        <v>0.0</v>
      </c>
      <c r="AJ11" s="34">
        <v>1.0</v>
      </c>
      <c r="AK11" s="34">
        <v>0.0</v>
      </c>
      <c r="AL11" s="34">
        <v>0.0</v>
      </c>
      <c r="AM11" s="17" t="str">
        <f>IFERROR(AJ11/AI11,"")</f>
        <v/>
      </c>
      <c r="AN11" s="17">
        <v>0.0</v>
      </c>
      <c r="AO11" s="38">
        <v>0.0</v>
      </c>
      <c r="AP11" s="38">
        <v>0.0</v>
      </c>
      <c r="AQ11" s="17" t="str">
        <f>IFERROR(AP11/AO11,"")</f>
        <v/>
      </c>
      <c r="AR11" s="19">
        <f>IFERROR(BG11/BI11,"")</f>
        <v>2.0972222222222223</v>
      </c>
      <c r="AS11" s="19">
        <f>IFERROR(BH11/BJ11,"")</f>
        <v>0.32439024390243903</v>
      </c>
      <c r="AT11" s="33">
        <v>0.0</v>
      </c>
      <c r="AU11" s="33">
        <v>0.0</v>
      </c>
      <c r="AV11" s="33">
        <v>0.0</v>
      </c>
      <c r="AW11" s="40"/>
      <c r="AX11" s="40"/>
      <c r="AY11" s="40"/>
      <c r="AZ11" s="40"/>
      <c r="BA11" s="40"/>
      <c r="BB11" s="3">
        <v>0.0</v>
      </c>
      <c r="BC11" s="26" t="str">
        <f>IFERROR(CL11/BB11,"")</f>
        <v/>
      </c>
      <c r="BD11" s="27">
        <v>0.0</v>
      </c>
      <c r="BE11" s="26" t="str">
        <f>IFERROR(CM11/BD11,"")</f>
        <v/>
      </c>
      <c r="BF11" s="31"/>
      <c r="BG11" s="20">
        <v>151.0</v>
      </c>
      <c r="BH11" s="20">
        <v>13.3</v>
      </c>
      <c r="BI11" s="20">
        <v>72.0</v>
      </c>
      <c r="BJ11" s="21">
        <v>41.0</v>
      </c>
      <c r="BK11" s="29">
        <v>7.0</v>
      </c>
      <c r="BL11" s="20">
        <v>196.0</v>
      </c>
      <c r="BM11" s="20">
        <v>20.183333333333334</v>
      </c>
      <c r="BN11" s="20">
        <v>6.0</v>
      </c>
      <c r="BO11" s="20">
        <f>IFERROR(BL11/BN11,"")</f>
        <v>32.666666666666664</v>
      </c>
      <c r="BP11" s="20">
        <f>IFERROR(BM11/BN11,"")</f>
        <v>3.363888888888889</v>
      </c>
      <c r="BQ11" s="20">
        <v>53.0</v>
      </c>
      <c r="BR11" s="20">
        <v>7.2</v>
      </c>
      <c r="BS11" s="20">
        <v>30.0</v>
      </c>
      <c r="BT11" s="20">
        <v>20.0</v>
      </c>
      <c r="BU11" s="20">
        <v>98.0</v>
      </c>
      <c r="BV11" s="20">
        <v>6.1</v>
      </c>
      <c r="BW11" s="20">
        <v>42.0</v>
      </c>
      <c r="BX11" s="20">
        <v>21.0</v>
      </c>
      <c r="BY11" s="20">
        <v>33.0</v>
      </c>
      <c r="BZ11" s="20">
        <v>0.0</v>
      </c>
      <c r="CA11" s="20">
        <v>0.0</v>
      </c>
      <c r="CB11" s="20">
        <v>0.0</v>
      </c>
      <c r="CC11" s="20">
        <v>0.0</v>
      </c>
      <c r="CD11" s="20">
        <v>0.0</v>
      </c>
      <c r="CE11" s="20">
        <v>0.0</v>
      </c>
      <c r="CF11" s="20">
        <v>0.0</v>
      </c>
      <c r="CG11" s="20">
        <v>0.0</v>
      </c>
      <c r="CH11" s="20">
        <v>0.0</v>
      </c>
      <c r="CI11" s="20">
        <v>0.0</v>
      </c>
      <c r="CJ11" s="20">
        <v>0.0</v>
      </c>
      <c r="CK11" s="20">
        <v>0.0</v>
      </c>
      <c r="CL11" s="3">
        <v>0.0</v>
      </c>
      <c r="CM11" s="3">
        <v>0.0</v>
      </c>
      <c r="CO11" s="18"/>
      <c r="CP11" s="18"/>
      <c r="CQ11" s="18">
        <f>IF(C7="总计",30,"-")</f>
        <v>30.0</v>
      </c>
      <c r="CR11" s="18">
        <f>IF(C7="总计",10,"-")</f>
        <v>10.0</v>
      </c>
      <c r="CS11" s="18">
        <f>IF(C7="总计",1,"-")</f>
        <v>1.0</v>
      </c>
    </row>
    <row r="12" spans="1:97" s="2" customFormat="1" ht="16.5">
      <c r="A12" s="2"/>
      <c r="B12" s="3"/>
      <c r="C12" s="3"/>
      <c r="D12" s="3"/>
      <c r="E12" s="3" t="s">
        <v>138</v>
      </c>
      <c r="F12" s="33">
        <f>IFERROR(BG12/BK12,"")</f>
        <v>43.714285714285715</v>
      </c>
      <c r="G12" s="17">
        <f>IFERROR(F12/BO12-1,"")</f>
        <v>-0.022364217252396124</v>
      </c>
      <c r="H12" s="33">
        <f>IFERROR(BH12/BK12,"")</f>
        <v>9.340476190476192</v>
      </c>
      <c r="I12" s="17">
        <f>IFERROR(H12/BP12-1,"")</f>
        <v>-0.039892315222711416</v>
      </c>
      <c r="J12" s="33">
        <v>42.0</v>
      </c>
      <c r="K12" s="33">
        <v>6.183333333333334</v>
      </c>
      <c r="L12" s="16">
        <v>3.208333333333333</v>
      </c>
      <c r="M12" s="16">
        <f>IFERROR(BZ12/CA12,"")</f>
        <v>7.62111111111111</v>
      </c>
      <c r="N12" s="17">
        <f>IFERROR(M12/CQ12,"-")</f>
        <v>0.254037037037037</v>
      </c>
      <c r="O12" s="16" t="str">
        <f>IFERROR(CB12/CC12,"")</f>
        <v/>
      </c>
      <c r="P12" s="16" t="str">
        <f>IFERROR(CD12/CE12,"")</f>
        <v/>
      </c>
      <c r="Q12" s="16" t="str">
        <f>IFERROR(CF12/CG12,"")</f>
        <v/>
      </c>
      <c r="R12" s="16" t="str">
        <f>IFERROR(CH12/CI12,"")</f>
        <v/>
      </c>
      <c r="S12" s="16" t="str">
        <f>IFERROR(CJ12/CK12,"")</f>
        <v/>
      </c>
      <c r="T12" s="33">
        <v>51.0</v>
      </c>
      <c r="U12" s="19">
        <f>IFERROR(BQ12/BS12,"")</f>
        <v>3.549019607843137</v>
      </c>
      <c r="V12" s="17">
        <f>IFERROR(U12/CR12,"-")</f>
        <v>0.3549019607843137</v>
      </c>
      <c r="W12" s="19">
        <f>IFERROR(BR12/BT12,"")</f>
        <v>1.2416666666666667</v>
      </c>
      <c r="X12" s="33">
        <v>181.0</v>
      </c>
      <c r="Y12" s="35">
        <v>3.549019607843137</v>
      </c>
      <c r="Z12" s="33">
        <v>40.0</v>
      </c>
      <c r="AA12" s="36">
        <v>0.022099447513812154</v>
      </c>
      <c r="AB12" s="33">
        <f>IFERROR(BW12,"")</f>
        <v>63.0</v>
      </c>
      <c r="AC12" s="17">
        <f>IFERROR(BW12/BY12-1,"")</f>
        <v>-0.11267605633802813</v>
      </c>
      <c r="AD12" s="19">
        <f>IFERROR(BU12/BW12,"")</f>
        <v>1.9841269841269842</v>
      </c>
      <c r="AE12" s="19">
        <f>IFERROR(BV12/BX12,"")</f>
        <v>0.38333333333333336</v>
      </c>
      <c r="AF12" s="33">
        <v>125.0</v>
      </c>
      <c r="AG12" s="33">
        <v>122.0</v>
      </c>
      <c r="AH12" s="36">
        <v>0.0</v>
      </c>
      <c r="AI12" s="37">
        <v>30.0</v>
      </c>
      <c r="AJ12" s="34">
        <v>16.0</v>
      </c>
      <c r="AK12" s="34">
        <v>14.0</v>
      </c>
      <c r="AL12" s="34">
        <v>0.0</v>
      </c>
      <c r="AM12" s="17">
        <f>IFERROR(AJ12/AI12,"")</f>
        <v>0.5333333333333333</v>
      </c>
      <c r="AN12" s="17">
        <v>0.3125</v>
      </c>
      <c r="AO12" s="38">
        <v>0.0</v>
      </c>
      <c r="AP12" s="38">
        <v>0.0</v>
      </c>
      <c r="AQ12" s="17" t="str">
        <f>IFERROR(AP12/AO12,"")</f>
        <v/>
      </c>
      <c r="AR12" s="19">
        <f>IFERROR(BG12/BI12,"")</f>
        <v>2.6842105263157894</v>
      </c>
      <c r="AS12" s="19">
        <f>IFERROR(BH12/BJ12,"")</f>
        <v>0.807201646090535</v>
      </c>
      <c r="AT12" s="33">
        <v>28.0</v>
      </c>
      <c r="AU12" s="33">
        <v>3.0</v>
      </c>
      <c r="AV12" s="33">
        <v>1.0</v>
      </c>
      <c r="AW12" s="40">
        <v>0.10714285714285714</v>
      </c>
      <c r="AX12" s="40">
        <v>0.03571428571428571</v>
      </c>
      <c r="AY12" s="40">
        <v>0.4642857142857143</v>
      </c>
      <c r="AZ12" s="40">
        <v>0.6666666666666666</v>
      </c>
      <c r="BA12" s="40">
        <v>0.0</v>
      </c>
      <c r="BB12" s="3">
        <v>0.0</v>
      </c>
      <c r="BC12" s="26" t="str">
        <f>IFERROR(CL12/BB12,"")</f>
        <v/>
      </c>
      <c r="BD12" s="27">
        <v>0.0</v>
      </c>
      <c r="BE12" s="26" t="str">
        <f>IFERROR(CM12/BD12,"")</f>
        <v/>
      </c>
      <c r="BF12" s="31"/>
      <c r="BG12" s="20">
        <v>306.0</v>
      </c>
      <c r="BH12" s="20">
        <v>65.38333333333334</v>
      </c>
      <c r="BI12" s="20">
        <v>114.0</v>
      </c>
      <c r="BJ12" s="21">
        <v>81.0</v>
      </c>
      <c r="BK12" s="29">
        <v>7.0</v>
      </c>
      <c r="BL12" s="20">
        <v>313.0</v>
      </c>
      <c r="BM12" s="20">
        <v>68.1</v>
      </c>
      <c r="BN12" s="20">
        <v>7.0</v>
      </c>
      <c r="BO12" s="20">
        <f>IFERROR(BL12/BN12,"")</f>
        <v>44.714285714285715</v>
      </c>
      <c r="BP12" s="20">
        <f>IFERROR(BM12/BN12,"")</f>
        <v>9.728571428571428</v>
      </c>
      <c r="BQ12" s="20">
        <v>181.0</v>
      </c>
      <c r="BR12" s="20">
        <v>49.666666666666664</v>
      </c>
      <c r="BS12" s="20">
        <v>51.0</v>
      </c>
      <c r="BT12" s="20">
        <v>40.0</v>
      </c>
      <c r="BU12" s="20">
        <v>125.0</v>
      </c>
      <c r="BV12" s="20">
        <v>15.716666666666667</v>
      </c>
      <c r="BW12" s="20">
        <v>63.0</v>
      </c>
      <c r="BX12" s="20">
        <v>41.0</v>
      </c>
      <c r="BY12" s="20">
        <v>71.0</v>
      </c>
      <c r="BZ12" s="20">
        <v>228.6333333333333</v>
      </c>
      <c r="CA12" s="20">
        <v>30.0</v>
      </c>
      <c r="CB12" s="20">
        <v>0.0</v>
      </c>
      <c r="CC12" s="20">
        <v>0.0</v>
      </c>
      <c r="CD12" s="20">
        <v>0.0</v>
      </c>
      <c r="CE12" s="20">
        <v>0.0</v>
      </c>
      <c r="CF12" s="20">
        <v>0.0</v>
      </c>
      <c r="CG12" s="20">
        <v>0.0</v>
      </c>
      <c r="CH12" s="20">
        <v>0.0</v>
      </c>
      <c r="CI12" s="20">
        <v>0.0</v>
      </c>
      <c r="CJ12" s="20">
        <v>0.0</v>
      </c>
      <c r="CK12" s="20">
        <v>0.0</v>
      </c>
      <c r="CL12" s="3">
        <v>0.0</v>
      </c>
      <c r="CM12" s="3">
        <v>0.0</v>
      </c>
      <c r="CO12" s="18"/>
      <c r="CP12" s="18"/>
      <c r="CQ12" s="18">
        <f>IF(C7="总计",30,"-")</f>
        <v>30.0</v>
      </c>
      <c r="CR12" s="18">
        <f>IF(C7="总计",10,"-")</f>
        <v>10.0</v>
      </c>
      <c r="CS12" s="18">
        <f>IF(C7="总计",1,"-")</f>
        <v>1.0</v>
      </c>
    </row>
    <row r="13" spans="1:97" s="2" customFormat="1" ht="16.5">
      <c r="A13" s="2"/>
      <c r="B13" s="3"/>
      <c r="C13" s="3"/>
      <c r="D13" s="3"/>
      <c r="E13" s="3" t="s">
        <v>139</v>
      </c>
      <c r="F13" s="33">
        <f>IFERROR(BG13/BK13,"")</f>
        <v>52.57142857142857</v>
      </c>
      <c r="G13" s="17">
        <f>IFERROR(F13/BO13-1,"")</f>
        <v>-0.07769423558897248</v>
      </c>
      <c r="H13" s="33">
        <f>IFERROR(BH13/BK13,"")</f>
        <v>13.666666666666668</v>
      </c>
      <c r="I13" s="17">
        <f>IFERROR(H13/BP13-1,"")</f>
        <v>0.21173738653156016</v>
      </c>
      <c r="J13" s="33">
        <v>0.0</v>
      </c>
      <c r="K13" s="33">
        <v>0.0</v>
      </c>
      <c r="L13" s="16"/>
      <c r="M13" s="16">
        <f>IFERROR(BZ13/CA13,"")</f>
        <v>8.419696969696968</v>
      </c>
      <c r="N13" s="17">
        <f>IFERROR(M13/CQ13,"-")</f>
        <v>0.2806565656565656</v>
      </c>
      <c r="O13" s="16" t="str">
        <f>IFERROR(CB13/CC13,"")</f>
        <v/>
      </c>
      <c r="P13" s="16" t="str">
        <f>IFERROR(CD13/CE13,"")</f>
        <v/>
      </c>
      <c r="Q13" s="16" t="str">
        <f>IFERROR(CF13/CG13,"")</f>
        <v/>
      </c>
      <c r="R13" s="16" t="str">
        <f>IFERROR(CH13/CI13,"")</f>
        <v/>
      </c>
      <c r="S13" s="16" t="str">
        <f>IFERROR(CJ13/CK13,"")</f>
        <v/>
      </c>
      <c r="T13" s="33">
        <v>72.0</v>
      </c>
      <c r="U13" s="19">
        <f>IFERROR(BQ13/BS13,"")</f>
        <v>2.375</v>
      </c>
      <c r="V13" s="17">
        <f>IFERROR(U13/CR13,"-")</f>
        <v>0.2375</v>
      </c>
      <c r="W13" s="19">
        <f>IFERROR(BR13/BT13,"")</f>
        <v>1.3083333333333333</v>
      </c>
      <c r="X13" s="33">
        <v>171.0</v>
      </c>
      <c r="Y13" s="35">
        <v>2.375</v>
      </c>
      <c r="Z13" s="33">
        <v>19.0</v>
      </c>
      <c r="AA13" s="36">
        <v>0.06432748538011696</v>
      </c>
      <c r="AB13" s="33">
        <f>IFERROR(BW13,"")</f>
        <v>85.0</v>
      </c>
      <c r="AC13" s="17">
        <f>IFERROR(BW13/BY13-1,"")</f>
        <v>-0.2857142857142857</v>
      </c>
      <c r="AD13" s="19">
        <f>IFERROR(BU13/BW13,"")</f>
        <v>2.3176470588235296</v>
      </c>
      <c r="AE13" s="19">
        <f>IFERROR(BV13/BX13,"")</f>
        <v>0.31790123456790126</v>
      </c>
      <c r="AF13" s="33">
        <v>197.0</v>
      </c>
      <c r="AG13" s="33">
        <v>159.0</v>
      </c>
      <c r="AH13" s="36">
        <v>0.0</v>
      </c>
      <c r="AI13" s="37">
        <v>45.0</v>
      </c>
      <c r="AJ13" s="34">
        <v>28.0</v>
      </c>
      <c r="AK13" s="34">
        <v>23.0</v>
      </c>
      <c r="AL13" s="34">
        <v>0.0</v>
      </c>
      <c r="AM13" s="17">
        <f>IFERROR(AJ13/AI13,"")</f>
        <v>0.6222222222222222</v>
      </c>
      <c r="AN13" s="17">
        <v>0.2857142857142857</v>
      </c>
      <c r="AO13" s="38">
        <v>0.0</v>
      </c>
      <c r="AP13" s="38">
        <v>0.0</v>
      </c>
      <c r="AQ13" s="17" t="str">
        <f>IFERROR(AP13/AO13,"")</f>
        <v/>
      </c>
      <c r="AR13" s="19">
        <f>IFERROR(BG13/BI13,"")</f>
        <v>2.343949044585987</v>
      </c>
      <c r="AS13" s="19">
        <f>IFERROR(BH13/BJ13,"")</f>
        <v>0.8391812865497077</v>
      </c>
      <c r="AT13" s="33">
        <v>42.0</v>
      </c>
      <c r="AU13" s="33">
        <v>11.0</v>
      </c>
      <c r="AV13" s="33">
        <v>8.0</v>
      </c>
      <c r="AW13" s="40">
        <v>0.2619047619047619</v>
      </c>
      <c r="AX13" s="40">
        <v>0.19047619047619047</v>
      </c>
      <c r="AY13" s="40">
        <v>0.5238095238095238</v>
      </c>
      <c r="AZ13" s="40">
        <v>0.9090909090909091</v>
      </c>
      <c r="BA13" s="40">
        <v>1.0</v>
      </c>
      <c r="BB13" s="3">
        <v>0.0</v>
      </c>
      <c r="BC13" s="26" t="str">
        <f>IFERROR(CL13/BB13,"")</f>
        <v/>
      </c>
      <c r="BD13" s="27">
        <v>0.0</v>
      </c>
      <c r="BE13" s="26" t="str">
        <f>IFERROR(CM13/BD13,"")</f>
        <v/>
      </c>
      <c r="BF13" s="31"/>
      <c r="BG13" s="20">
        <v>368.0</v>
      </c>
      <c r="BH13" s="20">
        <v>95.66666666666667</v>
      </c>
      <c r="BI13" s="20">
        <v>157.0</v>
      </c>
      <c r="BJ13" s="21">
        <v>114.0</v>
      </c>
      <c r="BK13" s="29">
        <v>7.0</v>
      </c>
      <c r="BL13" s="20">
        <v>399.0</v>
      </c>
      <c r="BM13" s="20">
        <v>78.95</v>
      </c>
      <c r="BN13" s="20">
        <v>7.0</v>
      </c>
      <c r="BO13" s="20">
        <f>IFERROR(BL13/BN13,"")</f>
        <v>57.0</v>
      </c>
      <c r="BP13" s="20">
        <f>IFERROR(BM13/BN13,"")</f>
        <v>11.278571428571428</v>
      </c>
      <c r="BQ13" s="20">
        <v>171.0</v>
      </c>
      <c r="BR13" s="20">
        <v>78.5</v>
      </c>
      <c r="BS13" s="20">
        <v>72.0</v>
      </c>
      <c r="BT13" s="20">
        <v>60.0</v>
      </c>
      <c r="BU13" s="20">
        <v>197.0</v>
      </c>
      <c r="BV13" s="20">
        <v>17.166666666666668</v>
      </c>
      <c r="BW13" s="20">
        <v>85.0</v>
      </c>
      <c r="BX13" s="20">
        <v>54.0</v>
      </c>
      <c r="BY13" s="20">
        <v>119.0</v>
      </c>
      <c r="BZ13" s="20">
        <v>370.4666666666666</v>
      </c>
      <c r="CA13" s="20">
        <v>44.0</v>
      </c>
      <c r="CB13" s="20">
        <v>0.0</v>
      </c>
      <c r="CC13" s="20">
        <v>0.0</v>
      </c>
      <c r="CD13" s="20">
        <v>0.0</v>
      </c>
      <c r="CE13" s="20">
        <v>0.0</v>
      </c>
      <c r="CF13" s="20">
        <v>0.0</v>
      </c>
      <c r="CG13" s="20">
        <v>0.0</v>
      </c>
      <c r="CH13" s="20">
        <v>0.0</v>
      </c>
      <c r="CI13" s="20">
        <v>0.0</v>
      </c>
      <c r="CJ13" s="20">
        <v>0.0</v>
      </c>
      <c r="CK13" s="20">
        <v>0.0</v>
      </c>
      <c r="CL13" s="3">
        <v>0.0</v>
      </c>
      <c r="CM13" s="3">
        <v>0.0</v>
      </c>
      <c r="CO13" s="18"/>
      <c r="CP13" s="18"/>
      <c r="CQ13" s="18">
        <f>IF(C7="总计",30,"-")</f>
        <v>30.0</v>
      </c>
      <c r="CR13" s="18">
        <f>IF(C7="总计",10,"-")</f>
        <v>10.0</v>
      </c>
      <c r="CS13" s="18">
        <f>IF(C7="总计",1,"-")</f>
        <v>1.0</v>
      </c>
    </row>
    <row r="14" spans="1:97" s="2" customFormat="1" ht="16.5">
      <c r="A14" s="2"/>
      <c r="B14" s="3"/>
      <c r="C14" s="3"/>
      <c r="D14" s="3"/>
      <c r="E14" s="3" t="s">
        <v>140</v>
      </c>
      <c r="F14" s="33">
        <f>IFERROR(BG14/BK14,"")</f>
        <v>55.42857142857143</v>
      </c>
      <c r="G14" s="17">
        <f>IFERROR(F14/BO14-1,"")</f>
        <v>-0.017721518987341756</v>
      </c>
      <c r="H14" s="33">
        <f>IFERROR(BH14/BK14,"")</f>
        <v>12.147619047619047</v>
      </c>
      <c r="I14" s="17">
        <f>IFERROR(H14/BP14-1,"")</f>
        <v>0.3440463645943097</v>
      </c>
      <c r="J14" s="33">
        <v>87.0</v>
      </c>
      <c r="K14" s="33">
        <v>25.033333333333335</v>
      </c>
      <c r="L14" s="16">
        <v>6.044444444444445</v>
      </c>
      <c r="M14" s="16">
        <f>IFERROR(BZ14/CA14,"")</f>
        <v>8.125833333333333</v>
      </c>
      <c r="N14" s="17">
        <f>IFERROR(M14/CQ14,"-")</f>
        <v>0.2708611111111111</v>
      </c>
      <c r="O14" s="16" t="str">
        <f>IFERROR(CB14/CC14,"")</f>
        <v/>
      </c>
      <c r="P14" s="16" t="str">
        <f>IFERROR(CD14/CE14,"")</f>
        <v/>
      </c>
      <c r="Q14" s="16" t="str">
        <f>IFERROR(CF14/CG14,"")</f>
        <v/>
      </c>
      <c r="R14" s="16" t="str">
        <f>IFERROR(CH14/CI14,"")</f>
        <v/>
      </c>
      <c r="S14" s="16" t="str">
        <f>IFERROR(CJ14/CK14,"")</f>
        <v/>
      </c>
      <c r="T14" s="33">
        <v>78.0</v>
      </c>
      <c r="U14" s="19">
        <f>IFERROR(BQ14/BS14,"")</f>
        <v>3.6153846153846154</v>
      </c>
      <c r="V14" s="17">
        <f>IFERROR(U14/CR14,"-")</f>
        <v>0.36153846153846153</v>
      </c>
      <c r="W14" s="19">
        <f>IFERROR(BR14/BT14,"")</f>
        <v>1.0098039215686274</v>
      </c>
      <c r="X14" s="33">
        <v>282.0</v>
      </c>
      <c r="Y14" s="35">
        <v>3.6153846153846154</v>
      </c>
      <c r="Z14" s="33">
        <v>28.0</v>
      </c>
      <c r="AA14" s="36">
        <v>0.014184397163120567</v>
      </c>
      <c r="AB14" s="33">
        <f>IFERROR(BW14,"")</f>
        <v>35.0</v>
      </c>
      <c r="AC14" s="17">
        <f>IFERROR(BW14/BY14-1,"")</f>
        <v>-0.02777777777777779</v>
      </c>
      <c r="AD14" s="19">
        <f>IFERROR(BU14/BW14,"")</f>
        <v>3.0285714285714285</v>
      </c>
      <c r="AE14" s="19">
        <f>IFERROR(BV14/BX14,"")</f>
        <v>0.6061728395061728</v>
      </c>
      <c r="AF14" s="33">
        <v>106.0</v>
      </c>
      <c r="AG14" s="33">
        <v>68.0</v>
      </c>
      <c r="AH14" s="36">
        <v>0.018867924528301886</v>
      </c>
      <c r="AI14" s="37">
        <v>40.0</v>
      </c>
      <c r="AJ14" s="34">
        <v>22.0</v>
      </c>
      <c r="AK14" s="34">
        <v>18.0</v>
      </c>
      <c r="AL14" s="34">
        <v>0.0</v>
      </c>
      <c r="AM14" s="17">
        <f>IFERROR(AJ14/AI14,"")</f>
        <v>0.55</v>
      </c>
      <c r="AN14" s="17">
        <v>0.18181818181818182</v>
      </c>
      <c r="AO14" s="38">
        <v>0.0</v>
      </c>
      <c r="AP14" s="38">
        <v>0.0</v>
      </c>
      <c r="AQ14" s="17" t="str">
        <f>IFERROR(AP14/AO14,"")</f>
        <v/>
      </c>
      <c r="AR14" s="19">
        <f>IFERROR(BG14/BI14,"")</f>
        <v>3.433628318584071</v>
      </c>
      <c r="AS14" s="19">
        <f>IFERROR(BH14/BJ14,"")</f>
        <v>0.8950877192982456</v>
      </c>
      <c r="AT14" s="33">
        <v>37.0</v>
      </c>
      <c r="AU14" s="33">
        <v>9.0</v>
      </c>
      <c r="AV14" s="33">
        <v>3.0</v>
      </c>
      <c r="AW14" s="40">
        <v>0.24324324324324326</v>
      </c>
      <c r="AX14" s="40">
        <v>0.08108108108108109</v>
      </c>
      <c r="AY14" s="40">
        <v>0.43243243243243246</v>
      </c>
      <c r="AZ14" s="40">
        <v>0.8888888888888888</v>
      </c>
      <c r="BA14" s="40">
        <v>1.0</v>
      </c>
      <c r="BB14" s="3">
        <v>0.0</v>
      </c>
      <c r="BC14" s="26" t="str">
        <f>IFERROR(CL14/BB14,"")</f>
        <v/>
      </c>
      <c r="BD14" s="27">
        <v>0.0</v>
      </c>
      <c r="BE14" s="26" t="str">
        <f>IFERROR(CM14/BD14,"")</f>
        <v/>
      </c>
      <c r="BF14" s="31"/>
      <c r="BG14" s="20">
        <v>388.0</v>
      </c>
      <c r="BH14" s="20">
        <v>85.03333333333333</v>
      </c>
      <c r="BI14" s="20">
        <v>113.0</v>
      </c>
      <c r="BJ14" s="21">
        <v>95.0</v>
      </c>
      <c r="BK14" s="29">
        <v>7.0</v>
      </c>
      <c r="BL14" s="20">
        <v>395.0</v>
      </c>
      <c r="BM14" s="20">
        <v>63.266666666666666</v>
      </c>
      <c r="BN14" s="20">
        <v>7.0</v>
      </c>
      <c r="BO14" s="20">
        <f>IFERROR(BL14/BN14,"")</f>
        <v>56.42857142857143</v>
      </c>
      <c r="BP14" s="20">
        <f>IFERROR(BM14/BN14,"")</f>
        <v>9.038095238095238</v>
      </c>
      <c r="BQ14" s="20">
        <v>282.0</v>
      </c>
      <c r="BR14" s="20">
        <v>68.66666666666667</v>
      </c>
      <c r="BS14" s="20">
        <v>78.0</v>
      </c>
      <c r="BT14" s="20">
        <v>68.0</v>
      </c>
      <c r="BU14" s="20">
        <v>106.0</v>
      </c>
      <c r="BV14" s="20">
        <v>16.366666666666667</v>
      </c>
      <c r="BW14" s="20">
        <v>35.0</v>
      </c>
      <c r="BX14" s="20">
        <v>27.0</v>
      </c>
      <c r="BY14" s="20">
        <v>36.0</v>
      </c>
      <c r="BZ14" s="20">
        <v>325.0333333333333</v>
      </c>
      <c r="CA14" s="20">
        <v>40.0</v>
      </c>
      <c r="CB14" s="20">
        <v>0.0</v>
      </c>
      <c r="CC14" s="20">
        <v>0.0</v>
      </c>
      <c r="CD14" s="20">
        <v>0.0</v>
      </c>
      <c r="CE14" s="20">
        <v>0.0</v>
      </c>
      <c r="CF14" s="20">
        <v>0.0</v>
      </c>
      <c r="CG14" s="20">
        <v>0.0</v>
      </c>
      <c r="CH14" s="20">
        <v>0.0</v>
      </c>
      <c r="CI14" s="20">
        <v>0.0</v>
      </c>
      <c r="CJ14" s="20">
        <v>0.0</v>
      </c>
      <c r="CK14" s="20">
        <v>0.0</v>
      </c>
      <c r="CL14" s="3">
        <v>0.0</v>
      </c>
      <c r="CM14" s="3">
        <v>0.0</v>
      </c>
      <c r="CO14" s="18"/>
      <c r="CP14" s="18"/>
      <c r="CQ14" s="18">
        <f>IF(C7="总计",30,"-")</f>
        <v>30.0</v>
      </c>
      <c r="CR14" s="18">
        <f>IF(C7="总计",10,"-")</f>
        <v>10.0</v>
      </c>
      <c r="CS14" s="18">
        <f>IF(C7="总计",1,"-")</f>
        <v>1.0</v>
      </c>
    </row>
    <row r="15" spans="1:97" s="2" customFormat="1" ht="16.5">
      <c r="A15" s="2"/>
      <c r="B15" s="3"/>
      <c r="C15" s="3"/>
      <c r="D15" s="3"/>
      <c r="E15" s="3" t="s">
        <v>141</v>
      </c>
      <c r="F15" s="33">
        <f>IFERROR(BG15/BK15,"")</f>
        <v>48.0</v>
      </c>
      <c r="G15" s="17">
        <f>IFERROR(F15/BO15-1,"")</f>
        <v>-0.16666666666666674</v>
      </c>
      <c r="H15" s="33">
        <f>IFERROR(BH15/BK15,"")</f>
        <v>7.821428571428571</v>
      </c>
      <c r="I15" s="17">
        <f>IFERROR(H15/BP15-1,"")</f>
        <v>-0.18696168696168702</v>
      </c>
      <c r="J15" s="33">
        <v>0.0</v>
      </c>
      <c r="K15" s="33">
        <v>0.0</v>
      </c>
      <c r="L15" s="16"/>
      <c r="M15" s="16">
        <f>IFERROR(BZ15/CA15,"")</f>
        <v>6.319696969696969</v>
      </c>
      <c r="N15" s="17">
        <f>IFERROR(M15/CQ15,"-")</f>
        <v>0.21065656565656565</v>
      </c>
      <c r="O15" s="16" t="str">
        <f>IFERROR(CB15/CC15,"")</f>
        <v/>
      </c>
      <c r="P15" s="16" t="str">
        <f>IFERROR(CD15/CE15,"")</f>
        <v/>
      </c>
      <c r="Q15" s="16" t="str">
        <f>IFERROR(CF15/CG15,"")</f>
        <v/>
      </c>
      <c r="R15" s="16" t="str">
        <f>IFERROR(CH15/CI15,"")</f>
        <v/>
      </c>
      <c r="S15" s="16" t="str">
        <f>IFERROR(CJ15/CK15,"")</f>
        <v/>
      </c>
      <c r="T15" s="33">
        <v>49.0</v>
      </c>
      <c r="U15" s="19">
        <f>IFERROR(BQ15/BS15,"")</f>
        <v>3.2653061224489797</v>
      </c>
      <c r="V15" s="17">
        <f>IFERROR(U15/CR15,"-")</f>
        <v>0.326530612244898</v>
      </c>
      <c r="W15" s="19">
        <f>IFERROR(BR15/BT15,"")</f>
        <v>0.9886178861788617</v>
      </c>
      <c r="X15" s="33">
        <v>160.0</v>
      </c>
      <c r="Y15" s="35">
        <v>3.2653061224489797</v>
      </c>
      <c r="Z15" s="33">
        <v>20.0</v>
      </c>
      <c r="AA15" s="36">
        <v>0.01875</v>
      </c>
      <c r="AB15" s="33">
        <f>IFERROR(BW15,"")</f>
        <v>88.0</v>
      </c>
      <c r="AC15" s="17">
        <f>IFERROR(BW15/BY15-1,"")</f>
        <v>0.8723404255319149</v>
      </c>
      <c r="AD15" s="19">
        <f>IFERROR(BU15/BW15,"")</f>
        <v>2.0</v>
      </c>
      <c r="AE15" s="19">
        <f>IFERROR(BV15/BX15,"")</f>
        <v>0.2843333333333333</v>
      </c>
      <c r="AF15" s="33">
        <v>176.0</v>
      </c>
      <c r="AG15" s="33">
        <v>136.0</v>
      </c>
      <c r="AH15" s="36">
        <v>0.0</v>
      </c>
      <c r="AI15" s="37">
        <v>34.0</v>
      </c>
      <c r="AJ15" s="34">
        <v>15.0</v>
      </c>
      <c r="AK15" s="34">
        <v>13.0</v>
      </c>
      <c r="AL15" s="34">
        <v>0.0</v>
      </c>
      <c r="AM15" s="17">
        <f>IFERROR(AJ15/AI15,"")</f>
        <v>0.4411764705882353</v>
      </c>
      <c r="AN15" s="17">
        <v>0.4</v>
      </c>
      <c r="AO15" s="38">
        <v>0.0</v>
      </c>
      <c r="AP15" s="38">
        <v>0.0</v>
      </c>
      <c r="AQ15" s="17" t="str">
        <f>IFERROR(AP15/AO15,"")</f>
        <v/>
      </c>
      <c r="AR15" s="19">
        <f>IFERROR(BG15/BI15,"")</f>
        <v>2.4525547445255476</v>
      </c>
      <c r="AS15" s="19">
        <f>IFERROR(BH15/BJ15,"")</f>
        <v>0.6016483516483516</v>
      </c>
      <c r="AT15" s="33">
        <v>31.0</v>
      </c>
      <c r="AU15" s="33">
        <v>8.0</v>
      </c>
      <c r="AV15" s="33">
        <v>2.0</v>
      </c>
      <c r="AW15" s="40">
        <v>0.25806451612903225</v>
      </c>
      <c r="AX15" s="40">
        <v>0.06451612903225806</v>
      </c>
      <c r="AY15" s="40">
        <v>0.3548387096774194</v>
      </c>
      <c r="AZ15" s="40">
        <v>0.625</v>
      </c>
      <c r="BA15" s="40">
        <v>1.0</v>
      </c>
      <c r="BB15" s="3">
        <v>0.0</v>
      </c>
      <c r="BC15" s="26" t="str">
        <f>IFERROR(CL15/BB15,"")</f>
        <v/>
      </c>
      <c r="BD15" s="27">
        <v>0.0</v>
      </c>
      <c r="BE15" s="26" t="str">
        <f>IFERROR(CM15/BD15,"")</f>
        <v/>
      </c>
      <c r="BF15" s="31"/>
      <c r="BG15" s="20">
        <v>336.0</v>
      </c>
      <c r="BH15" s="20">
        <v>54.75</v>
      </c>
      <c r="BI15" s="20">
        <v>137.0</v>
      </c>
      <c r="BJ15" s="21">
        <v>91.0</v>
      </c>
      <c r="BK15" s="29">
        <v>7.0</v>
      </c>
      <c r="BL15" s="20">
        <v>288.0</v>
      </c>
      <c r="BM15" s="20">
        <v>48.1</v>
      </c>
      <c r="BN15" s="20">
        <v>5.0</v>
      </c>
      <c r="BO15" s="20">
        <f>IFERROR(BL15/BN15,"")</f>
        <v>57.6</v>
      </c>
      <c r="BP15" s="20">
        <f>IFERROR(BM15/BN15,"")</f>
        <v>9.620000000000001</v>
      </c>
      <c r="BQ15" s="20">
        <v>160.0</v>
      </c>
      <c r="BR15" s="20">
        <v>40.53333333333333</v>
      </c>
      <c r="BS15" s="20">
        <v>49.0</v>
      </c>
      <c r="BT15" s="20">
        <v>41.0</v>
      </c>
      <c r="BU15" s="20">
        <v>176.0</v>
      </c>
      <c r="BV15" s="20">
        <v>14.216666666666667</v>
      </c>
      <c r="BW15" s="20">
        <v>88.0</v>
      </c>
      <c r="BX15" s="20">
        <v>50.0</v>
      </c>
      <c r="BY15" s="20">
        <v>47.0</v>
      </c>
      <c r="BZ15" s="20">
        <v>208.54999999999998</v>
      </c>
      <c r="CA15" s="20">
        <v>33.0</v>
      </c>
      <c r="CB15" s="20">
        <v>0.0</v>
      </c>
      <c r="CC15" s="20">
        <v>0.0</v>
      </c>
      <c r="CD15" s="20">
        <v>0.0</v>
      </c>
      <c r="CE15" s="20">
        <v>0.0</v>
      </c>
      <c r="CF15" s="20">
        <v>0.0</v>
      </c>
      <c r="CG15" s="20">
        <v>0.0</v>
      </c>
      <c r="CH15" s="20">
        <v>0.0</v>
      </c>
      <c r="CI15" s="20">
        <v>0.0</v>
      </c>
      <c r="CJ15" s="20">
        <v>0.0</v>
      </c>
      <c r="CK15" s="20">
        <v>0.0</v>
      </c>
      <c r="CL15" s="3">
        <v>0.0</v>
      </c>
      <c r="CM15" s="3">
        <v>0.0</v>
      </c>
      <c r="CO15" s="18"/>
      <c r="CP15" s="18"/>
      <c r="CQ15" s="18">
        <f>IF(C7="总计",30,"-")</f>
        <v>30.0</v>
      </c>
      <c r="CR15" s="18">
        <f>IF(C7="总计",10,"-")</f>
        <v>10.0</v>
      </c>
      <c r="CS15" s="18">
        <f>IF(C7="总计",1,"-")</f>
        <v>1.0</v>
      </c>
    </row>
    <row r="16" spans="1:97" s="2" customFormat="1" ht="16.5">
      <c r="A16" s="2"/>
      <c r="B16" s="3"/>
      <c r="C16" s="3"/>
      <c r="D16" s="3"/>
      <c r="E16" s="3" t="s">
        <v>142</v>
      </c>
      <c r="F16" s="33">
        <f>IFERROR(BG16/BK16,"")</f>
        <v>54.42857142857143</v>
      </c>
      <c r="G16" s="17">
        <f>IFERROR(F16/BO16-1,"")</f>
        <v>-0.14573991031390132</v>
      </c>
      <c r="H16" s="33">
        <f>IFERROR(BH16/BK16,"")</f>
        <v>10.471428571428572</v>
      </c>
      <c r="I16" s="17">
        <f>IFERROR(H16/BP16-1,"")</f>
        <v>-0.044328552803129084</v>
      </c>
      <c r="J16" s="33">
        <v>53.0</v>
      </c>
      <c r="K16" s="33">
        <v>17.783333333333335</v>
      </c>
      <c r="L16" s="16">
        <v>6.391666666666667</v>
      </c>
      <c r="M16" s="16">
        <f>IFERROR(BZ16/CA16,"")</f>
        <v>5.721428571428571</v>
      </c>
      <c r="N16" s="17">
        <f>IFERROR(M16/CQ16,"-")</f>
        <v>0.1907142857142857</v>
      </c>
      <c r="O16" s="16" t="str">
        <f>IFERROR(CB16/CC16,"")</f>
        <v/>
      </c>
      <c r="P16" s="16" t="str">
        <f>IFERROR(CD16/CE16,"")</f>
        <v/>
      </c>
      <c r="Q16" s="16" t="str">
        <f>IFERROR(CF16/CG16,"")</f>
        <v/>
      </c>
      <c r="R16" s="16" t="str">
        <f>IFERROR(CH16/CI16,"")</f>
        <v/>
      </c>
      <c r="S16" s="16" t="str">
        <f>IFERROR(CJ16/CK16,"")</f>
        <v/>
      </c>
      <c r="T16" s="33">
        <v>59.0</v>
      </c>
      <c r="U16" s="19">
        <f>IFERROR(BQ16/BS16,"")</f>
        <v>2.9661016949152543</v>
      </c>
      <c r="V16" s="17">
        <f>IFERROR(U16/CR16,"-")</f>
        <v>0.2966101694915254</v>
      </c>
      <c r="W16" s="19">
        <f>IFERROR(BR16/BT16,"")</f>
        <v>1.2173469387755103</v>
      </c>
      <c r="X16" s="33">
        <v>175.0</v>
      </c>
      <c r="Y16" s="35">
        <v>2.9661016949152543</v>
      </c>
      <c r="Z16" s="33">
        <v>48.0</v>
      </c>
      <c r="AA16" s="36">
        <v>0.03428571428571429</v>
      </c>
      <c r="AB16" s="33">
        <f>IFERROR(BW16,"")</f>
        <v>169.0</v>
      </c>
      <c r="AC16" s="17">
        <f>IFERROR(BW16/BY16-1,"")</f>
        <v>0.3307086614173229</v>
      </c>
      <c r="AD16" s="19">
        <f>IFERROR(BU16/BW16,"")</f>
        <v>1.2189349112426036</v>
      </c>
      <c r="AE16" s="19">
        <f>IFERROR(BV16/BX16,"")</f>
        <v>0.17727272727272728</v>
      </c>
      <c r="AF16" s="33">
        <v>206.0</v>
      </c>
      <c r="AG16" s="33">
        <v>202.0</v>
      </c>
      <c r="AH16" s="36">
        <v>0.0</v>
      </c>
      <c r="AI16" s="37">
        <v>36.0</v>
      </c>
      <c r="AJ16" s="34">
        <v>18.0</v>
      </c>
      <c r="AK16" s="34">
        <v>19.0</v>
      </c>
      <c r="AL16" s="34">
        <v>0.0</v>
      </c>
      <c r="AM16" s="17">
        <f>IFERROR(AJ16/AI16,"")</f>
        <v>0.5</v>
      </c>
      <c r="AN16" s="17">
        <v>0.2222222222222222</v>
      </c>
      <c r="AO16" s="38">
        <v>0.0</v>
      </c>
      <c r="AP16" s="38">
        <v>0.0</v>
      </c>
      <c r="AQ16" s="17" t="str">
        <f>IFERROR(AP16/AO16,"")</f>
        <v/>
      </c>
      <c r="AR16" s="19">
        <f>IFERROR(BG16/BI16,"")</f>
        <v>1.6710526315789473</v>
      </c>
      <c r="AS16" s="19">
        <f>IFERROR(BH16/BJ16,"")</f>
        <v>0.5817460317460317</v>
      </c>
      <c r="AT16" s="33">
        <v>32.0</v>
      </c>
      <c r="AU16" s="33">
        <v>6.0</v>
      </c>
      <c r="AV16" s="33">
        <v>3.0</v>
      </c>
      <c r="AW16" s="40">
        <v>0.1875</v>
      </c>
      <c r="AX16" s="40">
        <v>0.09375</v>
      </c>
      <c r="AY16" s="40">
        <v>0.53125</v>
      </c>
      <c r="AZ16" s="40">
        <v>0.8333333333333334</v>
      </c>
      <c r="BA16" s="40">
        <v>1.0</v>
      </c>
      <c r="BB16" s="3">
        <v>0.0</v>
      </c>
      <c r="BC16" s="26" t="str">
        <f>IFERROR(CL16/BB16,"")</f>
        <v/>
      </c>
      <c r="BD16" s="27">
        <v>0.0</v>
      </c>
      <c r="BE16" s="26" t="str">
        <f>IFERROR(CM16/BD16,"")</f>
        <v/>
      </c>
      <c r="BF16" s="31"/>
      <c r="BG16" s="20">
        <v>381.0</v>
      </c>
      <c r="BH16" s="20">
        <v>73.3</v>
      </c>
      <c r="BI16" s="20">
        <v>228.0</v>
      </c>
      <c r="BJ16" s="21">
        <v>126.0</v>
      </c>
      <c r="BK16" s="29">
        <v>7.0</v>
      </c>
      <c r="BL16" s="20">
        <v>446.0</v>
      </c>
      <c r="BM16" s="20">
        <v>76.7</v>
      </c>
      <c r="BN16" s="20">
        <v>7.0</v>
      </c>
      <c r="BO16" s="20">
        <f>IFERROR(BL16/BN16,"")</f>
        <v>63.714285714285715</v>
      </c>
      <c r="BP16" s="20">
        <f>IFERROR(BM16/BN16,"")</f>
        <v>10.957142857142857</v>
      </c>
      <c r="BQ16" s="20">
        <v>175.0</v>
      </c>
      <c r="BR16" s="20">
        <v>59.65</v>
      </c>
      <c r="BS16" s="20">
        <v>59.0</v>
      </c>
      <c r="BT16" s="20">
        <v>49.0</v>
      </c>
      <c r="BU16" s="20">
        <v>206.0</v>
      </c>
      <c r="BV16" s="20">
        <v>13.65</v>
      </c>
      <c r="BW16" s="20">
        <v>169.0</v>
      </c>
      <c r="BX16" s="20">
        <v>77.0</v>
      </c>
      <c r="BY16" s="20">
        <v>127.0</v>
      </c>
      <c r="BZ16" s="20">
        <v>200.24999999999997</v>
      </c>
      <c r="CA16" s="20">
        <v>35.0</v>
      </c>
      <c r="CB16" s="20">
        <v>0.0</v>
      </c>
      <c r="CC16" s="20">
        <v>0.0</v>
      </c>
      <c r="CD16" s="20">
        <v>0.0</v>
      </c>
      <c r="CE16" s="20">
        <v>0.0</v>
      </c>
      <c r="CF16" s="20">
        <v>0.0</v>
      </c>
      <c r="CG16" s="20">
        <v>0.0</v>
      </c>
      <c r="CH16" s="20">
        <v>0.0</v>
      </c>
      <c r="CI16" s="20">
        <v>0.0</v>
      </c>
      <c r="CJ16" s="20">
        <v>0.0</v>
      </c>
      <c r="CK16" s="20">
        <v>0.0</v>
      </c>
      <c r="CL16" s="3">
        <v>0.0</v>
      </c>
      <c r="CM16" s="3">
        <v>0.0</v>
      </c>
      <c r="CO16" s="18"/>
      <c r="CP16" s="18"/>
      <c r="CQ16" s="18">
        <f>IF(C7="总计",30,"-")</f>
        <v>30.0</v>
      </c>
      <c r="CR16" s="18">
        <f>IF(C7="总计",10,"-")</f>
        <v>10.0</v>
      </c>
      <c r="CS16" s="18">
        <f>IF(C7="总计",1,"-")</f>
        <v>1.0</v>
      </c>
    </row>
    <row r="17" spans="1:97" s="2" customFormat="1" ht="16.5">
      <c r="A17" s="2"/>
      <c r="B17" s="3"/>
      <c r="C17" s="3"/>
      <c r="D17" s="3"/>
      <c r="E17" s="3" t="s">
        <v>71</v>
      </c>
      <c r="F17" s="33">
        <f>IFERROR(BG17/BK17,"")</f>
        <v>40.285714285714285</v>
      </c>
      <c r="G17" s="17">
        <f>IFERROR(F17/BO17-1,"")</f>
        <v>-0.15720263000597723</v>
      </c>
      <c r="H17" s="33">
        <f>IFERROR(BH17/BK17,"")</f>
        <v>5.028571428571429</v>
      </c>
      <c r="I17" s="17">
        <f>IFERROR(H17/BP17-1,"")</f>
        <v>-0.01977165135059855</v>
      </c>
      <c r="J17" s="33">
        <v>42.0</v>
      </c>
      <c r="K17" s="33">
        <v>4.7</v>
      </c>
      <c r="L17" s="16"/>
      <c r="M17" s="16">
        <f>IFERROR(BZ17/CA17,"")</f>
        <v>4.1551282051282055</v>
      </c>
      <c r="N17" s="17">
        <f>IFERROR(M17/CQ17,"-")</f>
        <v>0.13850427350427352</v>
      </c>
      <c r="O17" s="16" t="str">
        <f>IFERROR(CB17/CC17,"")</f>
        <v/>
      </c>
      <c r="P17" s="16" t="str">
        <f>IFERROR(CD17/CE17,"")</f>
        <v/>
      </c>
      <c r="Q17" s="16" t="str">
        <f>IFERROR(CF17/CG17,"")</f>
        <v/>
      </c>
      <c r="R17" s="16" t="str">
        <f>IFERROR(CH17/CI17,"")</f>
        <v/>
      </c>
      <c r="S17" s="16" t="str">
        <f>IFERROR(CJ17/CK17,"")</f>
        <v/>
      </c>
      <c r="T17" s="33">
        <v>36.0</v>
      </c>
      <c r="U17" s="19">
        <f>IFERROR(BQ17/BS17,"")</f>
        <v>3.138888888888889</v>
      </c>
      <c r="V17" s="17">
        <f>IFERROR(U17/CR17,"-")</f>
        <v>0.3138888888888889</v>
      </c>
      <c r="W17" s="19">
        <f>IFERROR(BR17/BT17,"")</f>
        <v>0.8705555555555555</v>
      </c>
      <c r="X17" s="33">
        <v>113.0</v>
      </c>
      <c r="Y17" s="35">
        <v>3.138888888888889</v>
      </c>
      <c r="Z17" s="33">
        <v>0.0</v>
      </c>
      <c r="AA17" s="36">
        <v>0.008849557522123894</v>
      </c>
      <c r="AB17" s="33">
        <f>IFERROR(BW17,"")</f>
        <v>87.0</v>
      </c>
      <c r="AC17" s="17">
        <f>IFERROR(BW17/BY17-1,"")</f>
        <v>-0.07446808510638303</v>
      </c>
      <c r="AD17" s="19">
        <f>IFERROR(BU17/BW17,"")</f>
        <v>1.9425287356321839</v>
      </c>
      <c r="AE17" s="19">
        <f>IFERROR(BV17/BX17,"")</f>
        <v>0.2112403100775194</v>
      </c>
      <c r="AF17" s="33">
        <v>169.0</v>
      </c>
      <c r="AG17" s="33">
        <v>140.0</v>
      </c>
      <c r="AH17" s="36">
        <v>0.0</v>
      </c>
      <c r="AI17" s="37">
        <v>14.0</v>
      </c>
      <c r="AJ17" s="34">
        <v>5.0</v>
      </c>
      <c r="AK17" s="34">
        <v>5.0</v>
      </c>
      <c r="AL17" s="34">
        <v>0.0</v>
      </c>
      <c r="AM17" s="17">
        <f>IFERROR(AJ17/AI17,"")</f>
        <v>0.35714285714285715</v>
      </c>
      <c r="AN17" s="17">
        <v>0.0</v>
      </c>
      <c r="AO17" s="38">
        <v>0.0</v>
      </c>
      <c r="AP17" s="38">
        <v>0.0</v>
      </c>
      <c r="AQ17" s="17" t="str">
        <f>IFERROR(AP17/AO17,"")</f>
        <v/>
      </c>
      <c r="AR17" s="19">
        <f>IFERROR(BG17/BI17,"")</f>
        <v>2.292682926829268</v>
      </c>
      <c r="AS17" s="19">
        <f>IFERROR(BH17/BJ17,"")</f>
        <v>0.4821917808219178</v>
      </c>
      <c r="AT17" s="33">
        <v>13.0</v>
      </c>
      <c r="AU17" s="33">
        <v>2.0</v>
      </c>
      <c r="AV17" s="33">
        <v>1.0</v>
      </c>
      <c r="AW17" s="40">
        <v>0.15384615384615385</v>
      </c>
      <c r="AX17" s="40">
        <v>0.07692307692307693</v>
      </c>
      <c r="AY17" s="40">
        <v>0.3076923076923077</v>
      </c>
      <c r="AZ17" s="40">
        <v>0.5</v>
      </c>
      <c r="BA17" s="40">
        <v>1.0</v>
      </c>
      <c r="BB17" s="3">
        <v>0.0</v>
      </c>
      <c r="BC17" s="26" t="str">
        <f>IFERROR(CL17/BB17,"")</f>
        <v/>
      </c>
      <c r="BD17" s="27">
        <v>0.0</v>
      </c>
      <c r="BE17" s="26" t="str">
        <f>IFERROR(CM17/BD17,"")</f>
        <v/>
      </c>
      <c r="BF17" s="31"/>
      <c r="BG17" s="20">
        <v>282.0</v>
      </c>
      <c r="BH17" s="20">
        <v>35.2</v>
      </c>
      <c r="BI17" s="20">
        <v>123.0</v>
      </c>
      <c r="BJ17" s="21">
        <v>73.0</v>
      </c>
      <c r="BK17" s="29">
        <v>7.0</v>
      </c>
      <c r="BL17" s="20">
        <v>239.0</v>
      </c>
      <c r="BM17" s="20">
        <v>25.65</v>
      </c>
      <c r="BN17" s="20">
        <v>5.0</v>
      </c>
      <c r="BO17" s="20">
        <f>IFERROR(BL17/BN17,"")</f>
        <v>47.8</v>
      </c>
      <c r="BP17" s="20">
        <f>IFERROR(BM17/BN17,"")</f>
        <v>5.13</v>
      </c>
      <c r="BQ17" s="20">
        <v>113.0</v>
      </c>
      <c r="BR17" s="20">
        <v>26.116666666666667</v>
      </c>
      <c r="BS17" s="20">
        <v>36.0</v>
      </c>
      <c r="BT17" s="20">
        <v>30.0</v>
      </c>
      <c r="BU17" s="20">
        <v>169.0</v>
      </c>
      <c r="BV17" s="20">
        <v>9.083333333333334</v>
      </c>
      <c r="BW17" s="20">
        <v>87.0</v>
      </c>
      <c r="BX17" s="20">
        <v>43.0</v>
      </c>
      <c r="BY17" s="20">
        <v>94.0</v>
      </c>
      <c r="BZ17" s="20">
        <v>54.016666666666666</v>
      </c>
      <c r="CA17" s="20">
        <v>13.0</v>
      </c>
      <c r="CB17" s="20">
        <v>0.0</v>
      </c>
      <c r="CC17" s="20">
        <v>0.0</v>
      </c>
      <c r="CD17" s="20">
        <v>0.0</v>
      </c>
      <c r="CE17" s="20">
        <v>0.0</v>
      </c>
      <c r="CF17" s="20">
        <v>0.0</v>
      </c>
      <c r="CG17" s="20">
        <v>0.0</v>
      </c>
      <c r="CH17" s="20">
        <v>0.0</v>
      </c>
      <c r="CI17" s="20">
        <v>0.0</v>
      </c>
      <c r="CJ17" s="20">
        <v>0.0</v>
      </c>
      <c r="CK17" s="20">
        <v>0.0</v>
      </c>
      <c r="CL17" s="3">
        <v>0.0</v>
      </c>
      <c r="CM17" s="3">
        <v>0.0</v>
      </c>
      <c r="CO17" s="18"/>
      <c r="CP17" s="18"/>
      <c r="CQ17" s="18">
        <f>IF(C7="总计",30,"-")</f>
        <v>30.0</v>
      </c>
      <c r="CR17" s="18">
        <f>IF(C7="总计",10,"-")</f>
        <v>10.0</v>
      </c>
      <c r="CS17" s="18">
        <f>IF(C7="总计",1,"-")</f>
        <v>1.0</v>
      </c>
    </row>
    <row r="18" spans="1:14" ht="16.5">
      <c r="A18" s="1"/>
      <c r="N18" s="23" t="s">
        <v>73</v>
      </c>
    </row>
    <row r="19" spans="1:1" ht="16.5">
      <c r="A19" s="1"/>
    </row>
    <row r="20" spans="1:1" ht="16.5">
      <c r="A20" s="1"/>
    </row>
    <row r="21" spans="1:1" ht="16.5">
      <c r="A21" s="1"/>
    </row>
    <row r="22" spans="1:5" ht="16.5">
      <c r="A22" s="1"/>
      <c r="C22" s="12" t="s">
        <v>32</v>
      </c>
      <c r="D22" s="12"/>
      <c r="E22" s="12"/>
    </row>
    <row r="23" spans="1:5" ht="16.5">
      <c r="A23" s="1"/>
      <c r="C23" s="12" t="s">
        <v>33</v>
      </c>
      <c r="D23" s="12"/>
      <c r="E23" s="12"/>
    </row>
    <row r="24" spans="1:5" ht="16.5">
      <c r="A24" s="1"/>
      <c r="C24" s="12" t="s">
        <v>34</v>
      </c>
      <c r="D24" s="12"/>
      <c r="E24" s="12"/>
    </row>
    <row r="25" spans="1:5" ht="16.5">
      <c r="A25" s="1"/>
      <c r="C25" s="22" t="s">
        <v>114</v>
      </c>
      <c r="D25" s="22"/>
      <c r="E25" s="22"/>
    </row>
    <row r="26" spans="1:5" ht="16.5">
      <c r="A26" s="1"/>
      <c r="C26" s="12" t="s">
        <v>35</v>
      </c>
      <c r="D26" s="12"/>
      <c r="E26" s="12"/>
    </row>
    <row r="27" spans="1:5" ht="16.5">
      <c r="A27" s="1"/>
      <c r="C27" s="12" t="s">
        <v>36</v>
      </c>
      <c r="D27" s="12"/>
      <c r="E27" s="12"/>
    </row>
    <row r="28" spans="1:5" ht="16.5">
      <c r="A28" s="1"/>
      <c r="C28" s="12" t="s">
        <v>37</v>
      </c>
      <c r="D28" s="12"/>
      <c r="E28" s="12"/>
    </row>
    <row r="29" spans="1:5" ht="16.5">
      <c r="A29" s="1"/>
      <c r="C29" s="12" t="s">
        <v>38</v>
      </c>
      <c r="D29" s="12"/>
      <c r="E29" s="12"/>
    </row>
    <row r="30" spans="1:5" ht="16.5">
      <c r="A30" s="1"/>
      <c r="C30" s="12" t="s">
        <v>39</v>
      </c>
      <c r="D30" s="12"/>
      <c r="E30" s="12"/>
    </row>
    <row r="31" spans="1:5" ht="16.5">
      <c r="A31" s="1"/>
      <c r="C31" s="12" t="s">
        <v>70</v>
      </c>
      <c r="D31" s="12"/>
      <c r="E31" s="12"/>
    </row>
    <row r="32" spans="1:5" ht="16.5">
      <c r="A32" s="1"/>
      <c r="C32" s="12" t="s">
        <v>79</v>
      </c>
      <c r="D32" s="12"/>
      <c r="E32" s="12"/>
    </row>
    <row r="33" spans="1:5" ht="16.5">
      <c r="A33" s="1"/>
      <c r="C33" s="12" t="s">
        <v>108</v>
      </c>
      <c r="D33" s="12"/>
      <c r="E33" s="12"/>
    </row>
    <row r="34" spans="1:5" ht="16.5">
      <c r="A34" s="1"/>
      <c r="C34" s="12" t="s">
        <v>125</v>
      </c>
      <c r="D34" s="12"/>
      <c r="E34" s="12"/>
    </row>
    <row r="35" spans="1:5" ht="16.5">
      <c r="A35" s="1"/>
      <c r="C35" s="12" t="s">
        <v>124</v>
      </c>
      <c r="D35" s="12"/>
      <c r="E35" s="12"/>
    </row>
    <row r="36" spans="1:5" ht="16.5" hidden="1">
      <c r="A36" s="1"/>
      <c r="C36" s="12" t="s">
        <v>109</v>
      </c>
      <c r="D36" s="12"/>
      <c r="E36" s="12"/>
    </row>
    <row r="37" spans="1:3" ht="16.5">
      <c r="A37" s="1"/>
      <c r="C37" s="12" t="s">
        <v>126</v>
      </c>
    </row>
    <row r="38" spans="1:3" ht="16.5">
      <c r="A38" s="1"/>
      <c r="C38" s="12" t="s">
        <v>127</v>
      </c>
    </row>
    <row r="39" spans="1:3" ht="16.5">
      <c r="A39" s="1"/>
      <c r="C39" s="12" t="s">
        <v>128</v>
      </c>
    </row>
    <row r="40" spans="1:3" ht="16.5">
      <c r="A40" s="1"/>
      <c r="C40" s="12" t="s">
        <v>129</v>
      </c>
    </row>
    <row r="41" spans="1:3" ht="16.5">
      <c r="A41" s="1"/>
      <c r="C41" s="12" t="s">
        <v>130</v>
      </c>
    </row>
    <row r="42" spans="1:3" ht="16.5">
      <c r="A42" s="1"/>
      <c r="C42" s="12" t="s">
        <v>131</v>
      </c>
    </row>
    <row r="43" spans="1:3" ht="16.5">
      <c r="A43" s="1"/>
      <c r="C43" s="12" t="s">
        <v>132</v>
      </c>
    </row>
    <row r="44" spans="3:3" ht="16.5">
      <c r="C44" s="12" t="s">
        <v>133</v>
      </c>
    </row>
  </sheetData>
  <mergeCells count="19">
    <mergeCell ref="B5:B6"/>
    <mergeCell ref="C5:C6"/>
    <mergeCell ref="D5:D6"/>
    <mergeCell ref="E5:E6"/>
    <mergeCell ref="F5:K5"/>
    <mergeCell ref="L5:S5"/>
    <mergeCell ref="T5:AA5"/>
    <mergeCell ref="AB5:AH5"/>
    <mergeCell ref="AI5:AQ5"/>
    <mergeCell ref="AR5:AS5"/>
    <mergeCell ref="AT5:BA5"/>
    <mergeCell ref="BB5:BE5"/>
    <mergeCell ref="A7:A17"/>
    <mergeCell ref="B7:B17"/>
    <mergeCell ref="C7:C17"/>
    <mergeCell ref="CO7:CO17"/>
    <mergeCell ref="CP7:CP17"/>
    <mergeCell ref="D8:D9"/>
    <mergeCell ref="D10:D17"/>
  </mergeCells>
  <conditionalFormatting sqref="G7:G17">
    <cfRule type="cellIs" priority="2" dxfId="0" operator="lessThan">
      <formula>0</formula>
    </cfRule>
  </conditionalFormatting>
  <conditionalFormatting sqref="I7:I17">
    <cfRule type="cellIs" priority="1" dxfId="0" operator="lessThan">
      <formula>0</formula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林海涛</dc:creator>
  <cp:keywords/>
  <dc:description/>
  <cp:lastModifiedBy>刘秀芳</cp:lastModifiedBy>
  <dcterms:created xsi:type="dcterms:W3CDTF">2015-06-05T18:19:34Z</dcterms:created>
  <dcterms:modified xsi:type="dcterms:W3CDTF">2025-11-04T05:38:38Z</dcterms:modified>
  <cp:category/>
</cp:coreProperties>
</file>